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njianfei\Desktop\"/>
    </mc:Choice>
  </mc:AlternateContent>
  <bookViews>
    <workbookView xWindow="0" yWindow="0" windowWidth="23250" windowHeight="12135" tabRatio="893" activeTab="1"/>
  </bookViews>
  <sheets>
    <sheet name="封面" sheetId="22" r:id="rId1"/>
    <sheet name="有公式" sheetId="1" r:id="rId2"/>
    <sheet name="5-12" sheetId="426" r:id="rId3"/>
  </sheets>
  <externalReferences>
    <externalReference r:id="rId4"/>
  </externalReferences>
  <definedNames>
    <definedName name="_xlnm._FilterDatabase" localSheetId="2" hidden="1">'5-12'!$A$1:$O$1</definedName>
  </definedNames>
  <calcPr calcId="152511"/>
</workbook>
</file>

<file path=xl/calcChain.xml><?xml version="1.0" encoding="utf-8"?>
<calcChain xmlns="http://schemas.openxmlformats.org/spreadsheetml/2006/main">
  <c r="A2" i="1" l="1"/>
  <c r="A5" i="1" l="1"/>
  <c r="A7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K1010" i="1"/>
  <c r="K1008" i="1"/>
  <c r="K1006" i="1"/>
  <c r="K1004" i="1"/>
  <c r="K1002" i="1"/>
  <c r="K1000" i="1"/>
  <c r="K998" i="1"/>
  <c r="K996" i="1"/>
  <c r="K994" i="1"/>
  <c r="K992" i="1"/>
  <c r="K990" i="1"/>
  <c r="K988" i="1"/>
  <c r="K986" i="1"/>
  <c r="K984" i="1"/>
  <c r="K982" i="1"/>
  <c r="K980" i="1"/>
  <c r="K978" i="1"/>
  <c r="K976" i="1"/>
  <c r="K974" i="1"/>
  <c r="K972" i="1"/>
  <c r="K970" i="1"/>
  <c r="K968" i="1"/>
  <c r="K966" i="1"/>
  <c r="K964" i="1"/>
  <c r="K962" i="1"/>
  <c r="K960" i="1"/>
  <c r="N1008" i="1"/>
  <c r="D1006" i="1"/>
  <c r="L1003" i="1"/>
  <c r="N1000" i="1"/>
  <c r="D998" i="1"/>
  <c r="L995" i="1"/>
  <c r="N992" i="1"/>
  <c r="D990" i="1"/>
  <c r="L987" i="1"/>
  <c r="N984" i="1"/>
  <c r="D982" i="1"/>
  <c r="L979" i="1"/>
  <c r="L1008" i="1"/>
  <c r="N1005" i="1"/>
  <c r="D1003" i="1"/>
  <c r="L1000" i="1"/>
  <c r="N997" i="1"/>
  <c r="D995" i="1"/>
  <c r="L992" i="1"/>
  <c r="N989" i="1"/>
  <c r="D987" i="1"/>
  <c r="L984" i="1"/>
  <c r="N981" i="1"/>
  <c r="D979" i="1"/>
  <c r="L976" i="1"/>
  <c r="N973" i="1"/>
  <c r="D971" i="1"/>
  <c r="E1009" i="1"/>
  <c r="E1001" i="1"/>
  <c r="E993" i="1"/>
  <c r="E985" i="1"/>
  <c r="D978" i="1"/>
  <c r="L971" i="1"/>
  <c r="N967" i="1"/>
  <c r="L964" i="1"/>
  <c r="O961" i="1"/>
  <c r="E959" i="1"/>
  <c r="E957" i="1"/>
  <c r="E955" i="1"/>
  <c r="E953" i="1"/>
  <c r="E951" i="1"/>
  <c r="E949" i="1"/>
  <c r="E947" i="1"/>
  <c r="E945" i="1"/>
  <c r="E943" i="1"/>
  <c r="E941" i="1"/>
  <c r="E939" i="1"/>
  <c r="E937" i="1"/>
  <c r="E935" i="1"/>
  <c r="E933" i="1"/>
  <c r="E931" i="1"/>
  <c r="E929" i="1"/>
  <c r="E927" i="1"/>
  <c r="E925" i="1"/>
  <c r="E923" i="1"/>
  <c r="E921" i="1"/>
  <c r="M1008" i="1"/>
  <c r="M1000" i="1"/>
  <c r="M992" i="1"/>
  <c r="M984" i="1"/>
  <c r="M978" i="1"/>
  <c r="M974" i="1"/>
  <c r="M970" i="1"/>
  <c r="E967" i="1"/>
  <c r="D965" i="1"/>
  <c r="M960" i="1"/>
  <c r="N957" i="1"/>
  <c r="D955" i="1"/>
  <c r="L952" i="1"/>
  <c r="N949" i="1"/>
  <c r="D947" i="1"/>
  <c r="L944" i="1"/>
  <c r="N941" i="1"/>
  <c r="D939" i="1"/>
  <c r="L936" i="1"/>
  <c r="N933" i="1"/>
  <c r="D931" i="1"/>
  <c r="M1006" i="1"/>
  <c r="M998" i="1"/>
  <c r="M990" i="1"/>
  <c r="M982" i="1"/>
  <c r="N976" i="1"/>
  <c r="D972" i="1"/>
  <c r="D968" i="1"/>
  <c r="N964" i="1"/>
  <c r="E961" i="1"/>
  <c r="O958" i="1"/>
  <c r="O956" i="1"/>
  <c r="O954" i="1"/>
  <c r="O952" i="1"/>
  <c r="K1009" i="1"/>
  <c r="K1001" i="1"/>
  <c r="K993" i="1"/>
  <c r="K985" i="1"/>
  <c r="K977" i="1"/>
  <c r="K973" i="1"/>
  <c r="K969" i="1"/>
  <c r="N965" i="1"/>
  <c r="L962" i="1"/>
  <c r="D960" i="1"/>
  <c r="L957" i="1"/>
  <c r="O1008" i="1"/>
  <c r="E1006" i="1"/>
  <c r="M1003" i="1"/>
  <c r="O1000" i="1"/>
  <c r="E998" i="1"/>
  <c r="M995" i="1"/>
  <c r="O992" i="1"/>
  <c r="E990" i="1"/>
  <c r="M987" i="1"/>
  <c r="O984" i="1"/>
  <c r="E982" i="1"/>
  <c r="M979" i="1"/>
  <c r="O976" i="1"/>
  <c r="E974" i="1"/>
  <c r="M971" i="1"/>
  <c r="O968" i="1"/>
  <c r="E966" i="1"/>
  <c r="M963" i="1"/>
  <c r="O960" i="1"/>
  <c r="D1008" i="1"/>
  <c r="N1004" i="1"/>
  <c r="L1001" i="1"/>
  <c r="L997" i="1"/>
  <c r="D994" i="1"/>
  <c r="N990" i="1"/>
  <c r="N986" i="1"/>
  <c r="L983" i="1"/>
  <c r="D980" i="1"/>
  <c r="N1007" i="1"/>
  <c r="L1004" i="1"/>
  <c r="D1001" i="1"/>
  <c r="D997" i="1"/>
  <c r="N993" i="1"/>
  <c r="L990" i="1"/>
  <c r="L986" i="1"/>
  <c r="D983" i="1"/>
  <c r="N979" i="1"/>
  <c r="N975" i="1"/>
  <c r="L972" i="1"/>
  <c r="M1010" i="1"/>
  <c r="K999" i="1"/>
  <c r="O989" i="1"/>
  <c r="N978" i="1"/>
  <c r="N970" i="1"/>
  <c r="L965" i="1"/>
  <c r="D963" i="1"/>
  <c r="M958" i="1"/>
  <c r="O955" i="1"/>
  <c r="K953" i="1"/>
  <c r="M950" i="1"/>
  <c r="O947" i="1"/>
  <c r="K945" i="1"/>
  <c r="M942" i="1"/>
  <c r="O939" i="1"/>
  <c r="K937" i="1"/>
  <c r="M934" i="1"/>
  <c r="O931" i="1"/>
  <c r="K929" i="1"/>
  <c r="M926" i="1"/>
  <c r="O923" i="1"/>
  <c r="K921" i="1"/>
  <c r="E1007" i="1"/>
  <c r="K997" i="1"/>
  <c r="O987" i="1"/>
  <c r="O977" i="1"/>
  <c r="E973" i="1"/>
  <c r="L967" i="1"/>
  <c r="O963" i="1"/>
  <c r="D959" i="1"/>
  <c r="N955" i="1"/>
  <c r="N951" i="1"/>
  <c r="L948" i="1"/>
  <c r="D945" i="1"/>
  <c r="D941" i="1"/>
  <c r="N937" i="1"/>
  <c r="L934" i="1"/>
  <c r="L930" i="1"/>
  <c r="K1003" i="1"/>
  <c r="O993" i="1"/>
  <c r="E981" i="1"/>
  <c r="L973" i="1"/>
  <c r="L968" i="1"/>
  <c r="N963" i="1"/>
  <c r="E960" i="1"/>
  <c r="M957" i="1"/>
  <c r="K954" i="1"/>
  <c r="E952" i="1"/>
  <c r="E1003" i="1"/>
  <c r="O991" i="1"/>
  <c r="M980" i="1"/>
  <c r="E975" i="1"/>
  <c r="D969" i="1"/>
  <c r="L963" i="1"/>
  <c r="D961" i="1"/>
  <c r="N956" i="1"/>
  <c r="D954" i="1"/>
  <c r="L951" i="1"/>
  <c r="N948" i="1"/>
  <c r="D946" i="1"/>
  <c r="L943" i="1"/>
  <c r="N940" i="1"/>
  <c r="O944" i="1"/>
  <c r="M937" i="1"/>
  <c r="M933" i="1"/>
  <c r="M929" i="1"/>
  <c r="O926" i="1"/>
  <c r="L922" i="1"/>
  <c r="K920" i="1"/>
  <c r="N917" i="1"/>
  <c r="D915" i="1"/>
  <c r="L912" i="1"/>
  <c r="N909" i="1"/>
  <c r="D907" i="1"/>
  <c r="L904" i="1"/>
  <c r="N901" i="1"/>
  <c r="D899" i="1"/>
  <c r="L896" i="1"/>
  <c r="N893" i="1"/>
  <c r="D891" i="1"/>
  <c r="L888" i="1"/>
  <c r="N885" i="1"/>
  <c r="D883" i="1"/>
  <c r="L880" i="1"/>
  <c r="K944" i="1"/>
  <c r="N936" i="1"/>
  <c r="D932" i="1"/>
  <c r="N926" i="1"/>
  <c r="O1010" i="1"/>
  <c r="M1007" i="1"/>
  <c r="E1004" i="1"/>
  <c r="E1000" i="1"/>
  <c r="O996" i="1"/>
  <c r="M993" i="1"/>
  <c r="M989" i="1"/>
  <c r="E986" i="1"/>
  <c r="O982" i="1"/>
  <c r="O978" i="1"/>
  <c r="M975" i="1"/>
  <c r="E972" i="1"/>
  <c r="E968" i="1"/>
  <c r="O964" i="1"/>
  <c r="M961" i="1"/>
  <c r="L1007" i="1"/>
  <c r="N1002" i="1"/>
  <c r="N998" i="1"/>
  <c r="L993" i="1"/>
  <c r="N988" i="1"/>
  <c r="D984" i="1"/>
  <c r="L1010" i="1"/>
  <c r="L1006" i="1"/>
  <c r="N1001" i="1"/>
  <c r="L996" i="1"/>
  <c r="N991" i="1"/>
  <c r="N987" i="1"/>
  <c r="L982" i="1"/>
  <c r="N977" i="1"/>
  <c r="D973" i="1"/>
  <c r="K1007" i="1"/>
  <c r="M994" i="1"/>
  <c r="O981" i="1"/>
  <c r="D970" i="1"/>
  <c r="D964" i="1"/>
  <c r="K959" i="1"/>
  <c r="K955" i="1"/>
  <c r="O951" i="1"/>
  <c r="M948" i="1"/>
  <c r="M944" i="1"/>
  <c r="K941" i="1"/>
  <c r="O937" i="1"/>
  <c r="O933" i="1"/>
  <c r="M930" i="1"/>
  <c r="K927" i="1"/>
  <c r="K923" i="1"/>
  <c r="O919" i="1"/>
  <c r="E999" i="1"/>
  <c r="E983" i="1"/>
  <c r="K975" i="1"/>
  <c r="M968" i="1"/>
  <c r="N962" i="1"/>
  <c r="D957" i="1"/>
  <c r="D953" i="1"/>
  <c r="N947" i="1"/>
  <c r="D943" i="1"/>
  <c r="L938" i="1"/>
  <c r="D933" i="1"/>
  <c r="O1009" i="1"/>
  <c r="K995" i="1"/>
  <c r="K979" i="1"/>
  <c r="L969" i="1"/>
  <c r="O965" i="1"/>
  <c r="M959" i="1"/>
  <c r="E956" i="1"/>
  <c r="K952" i="1"/>
  <c r="O999" i="1"/>
  <c r="E987" i="1"/>
  <c r="O975" i="1"/>
  <c r="O967" i="1"/>
  <c r="D962" i="1"/>
  <c r="D958" i="1"/>
  <c r="L953" i="1"/>
  <c r="D950" i="1"/>
  <c r="N946" i="1"/>
  <c r="N942" i="1"/>
  <c r="E948" i="1"/>
  <c r="K938" i="1"/>
  <c r="O932" i="1"/>
  <c r="K928" i="1"/>
  <c r="M923" i="1"/>
  <c r="D920" i="1"/>
  <c r="L916" i="1"/>
  <c r="D913" i="1"/>
  <c r="D909" i="1"/>
  <c r="N905" i="1"/>
  <c r="L902" i="1"/>
  <c r="L898" i="1"/>
  <c r="D895" i="1"/>
  <c r="N891" i="1"/>
  <c r="N887" i="1"/>
  <c r="L884" i="1"/>
  <c r="D881" i="1"/>
  <c r="O942" i="1"/>
  <c r="L933" i="1"/>
  <c r="N927" i="1"/>
  <c r="L923" i="1"/>
  <c r="O920" i="1"/>
  <c r="E918" i="1"/>
  <c r="E916" i="1"/>
  <c r="E914" i="1"/>
  <c r="E912" i="1"/>
  <c r="E910" i="1"/>
  <c r="E908" i="1"/>
  <c r="E906" i="1"/>
  <c r="E904" i="1"/>
  <c r="E902" i="1"/>
  <c r="E900" i="1"/>
  <c r="E898" i="1"/>
  <c r="E896" i="1"/>
  <c r="E894" i="1"/>
  <c r="E944" i="1"/>
  <c r="O938" i="1"/>
  <c r="O934" i="1"/>
  <c r="O930" i="1"/>
  <c r="L926" i="1"/>
  <c r="K924" i="1"/>
  <c r="N920" i="1"/>
  <c r="L917" i="1"/>
  <c r="N914" i="1"/>
  <c r="D912" i="1"/>
  <c r="L909" i="1"/>
  <c r="N906" i="1"/>
  <c r="D904" i="1"/>
  <c r="L901" i="1"/>
  <c r="N898" i="1"/>
  <c r="D896" i="1"/>
  <c r="E950" i="1"/>
  <c r="E942" i="1"/>
  <c r="D938" i="1"/>
  <c r="L931" i="1"/>
  <c r="E928" i="1"/>
  <c r="D926" i="1"/>
  <c r="M921" i="1"/>
  <c r="E919" i="1"/>
  <c r="E917" i="1"/>
  <c r="E915" i="1"/>
  <c r="E913" i="1"/>
  <c r="E911" i="1"/>
  <c r="E909" i="1"/>
  <c r="E907" i="1"/>
  <c r="E905" i="1"/>
  <c r="E903" i="1"/>
  <c r="E901" i="1"/>
  <c r="E899" i="1"/>
  <c r="E897" i="1"/>
  <c r="E895" i="1"/>
  <c r="E893" i="1"/>
  <c r="E891" i="1"/>
  <c r="E889" i="1"/>
  <c r="E887" i="1"/>
  <c r="E885" i="1"/>
  <c r="E892" i="1"/>
  <c r="E888" i="1"/>
  <c r="E884" i="1"/>
  <c r="D882" i="1"/>
  <c r="L879" i="1"/>
  <c r="N876" i="1"/>
  <c r="D874" i="1"/>
  <c r="L871" i="1"/>
  <c r="N868" i="1"/>
  <c r="D866" i="1"/>
  <c r="L863" i="1"/>
  <c r="N860" i="1"/>
  <c r="D858" i="1"/>
  <c r="L855" i="1"/>
  <c r="N852" i="1"/>
  <c r="D850" i="1"/>
  <c r="L847" i="1"/>
  <c r="N844" i="1"/>
  <c r="D842" i="1"/>
  <c r="L839" i="1"/>
  <c r="N836" i="1"/>
  <c r="D834" i="1"/>
  <c r="L831" i="1"/>
  <c r="L893" i="1"/>
  <c r="N888" i="1"/>
  <c r="D884" i="1"/>
  <c r="N880" i="1"/>
  <c r="M878" i="1"/>
  <c r="M876" i="1"/>
  <c r="M874" i="1"/>
  <c r="M872" i="1"/>
  <c r="M870" i="1"/>
  <c r="M868" i="1"/>
  <c r="M866" i="1"/>
  <c r="M864" i="1"/>
  <c r="M862" i="1"/>
  <c r="M860" i="1"/>
  <c r="M858" i="1"/>
  <c r="M856" i="1"/>
  <c r="M854" i="1"/>
  <c r="M852" i="1"/>
  <c r="M850" i="1"/>
  <c r="M848" i="1"/>
  <c r="M846" i="1"/>
  <c r="M844" i="1"/>
  <c r="M842" i="1"/>
  <c r="M840" i="1"/>
  <c r="M838" i="1"/>
  <c r="O890" i="1"/>
  <c r="O886" i="1"/>
  <c r="N882" i="1"/>
  <c r="D879" i="1"/>
  <c r="L876" i="1"/>
  <c r="N873" i="1"/>
  <c r="D871" i="1"/>
  <c r="L868" i="1"/>
  <c r="N865" i="1"/>
  <c r="D863" i="1"/>
  <c r="L860" i="1"/>
  <c r="N857" i="1"/>
  <c r="D855" i="1"/>
  <c r="L852" i="1"/>
  <c r="N849" i="1"/>
  <c r="D847" i="1"/>
  <c r="L844" i="1"/>
  <c r="N841" i="1"/>
  <c r="D839" i="1"/>
  <c r="N890" i="1"/>
  <c r="D886" i="1"/>
  <c r="L881" i="1"/>
  <c r="M879" i="1"/>
  <c r="M877" i="1"/>
  <c r="M875" i="1"/>
  <c r="M873" i="1"/>
  <c r="M871" i="1"/>
  <c r="M869" i="1"/>
  <c r="M867" i="1"/>
  <c r="M865" i="1"/>
  <c r="M863" i="1"/>
  <c r="M861" i="1"/>
  <c r="M859" i="1"/>
  <c r="M857" i="1"/>
  <c r="M855" i="1"/>
  <c r="M853" i="1"/>
  <c r="M851" i="1"/>
  <c r="M849" i="1"/>
  <c r="M847" i="1"/>
  <c r="M845" i="1"/>
  <c r="M843" i="1"/>
  <c r="M841" i="1"/>
  <c r="M839" i="1"/>
  <c r="M837" i="1"/>
  <c r="M835" i="1"/>
  <c r="M833" i="1"/>
  <c r="M831" i="1"/>
  <c r="M829" i="1"/>
  <c r="D835" i="1"/>
  <c r="O828" i="1"/>
  <c r="O826" i="1"/>
  <c r="O824" i="1"/>
  <c r="O822" i="1"/>
  <c r="O820" i="1"/>
  <c r="O818" i="1"/>
  <c r="E1010" i="1"/>
  <c r="M1005" i="1"/>
  <c r="M1001" i="1"/>
  <c r="E996" i="1"/>
  <c r="M991" i="1"/>
  <c r="O986" i="1"/>
  <c r="M981" i="1"/>
  <c r="M977" i="1"/>
  <c r="O972" i="1"/>
  <c r="M967" i="1"/>
  <c r="O962" i="1"/>
  <c r="L1009" i="1"/>
  <c r="D1002" i="1"/>
  <c r="D996" i="1"/>
  <c r="L989" i="1"/>
  <c r="N982" i="1"/>
  <c r="D1009" i="1"/>
  <c r="L1002" i="1"/>
  <c r="N995" i="1"/>
  <c r="D989" i="1"/>
  <c r="N983" i="1"/>
  <c r="D977" i="1"/>
  <c r="L970" i="1"/>
  <c r="O997" i="1"/>
  <c r="L975" i="1"/>
  <c r="M966" i="1"/>
  <c r="O959" i="1"/>
  <c r="M954" i="1"/>
  <c r="O949" i="1"/>
  <c r="O945" i="1"/>
  <c r="M940" i="1"/>
  <c r="O935" i="1"/>
  <c r="K931" i="1"/>
  <c r="O925" i="1"/>
  <c r="O921" i="1"/>
  <c r="O1003" i="1"/>
  <c r="K981" i="1"/>
  <c r="K971" i="1"/>
  <c r="K965" i="1"/>
  <c r="L956" i="1"/>
  <c r="L950" i="1"/>
  <c r="N943" i="1"/>
  <c r="D937" i="1"/>
  <c r="N931" i="1"/>
  <c r="E997" i="1"/>
  <c r="L977" i="1"/>
  <c r="K967" i="1"/>
  <c r="L960" i="1"/>
  <c r="M955" i="1"/>
  <c r="O1007" i="1"/>
  <c r="M988" i="1"/>
  <c r="M972" i="1"/>
  <c r="M964" i="1"/>
  <c r="N958" i="1"/>
  <c r="N952" i="1"/>
  <c r="D948" i="1"/>
  <c r="D944" i="1"/>
  <c r="K946" i="1"/>
  <c r="E936" i="1"/>
  <c r="D929" i="1"/>
  <c r="E922" i="1"/>
  <c r="L918" i="1"/>
  <c r="N913" i="1"/>
  <c r="L908" i="1"/>
  <c r="N903" i="1"/>
  <c r="N899" i="1"/>
  <c r="L894" i="1"/>
  <c r="N889" i="1"/>
  <c r="D885" i="1"/>
  <c r="O950" i="1"/>
  <c r="L937" i="1"/>
  <c r="O928" i="1"/>
  <c r="D923" i="1"/>
  <c r="O918" i="1"/>
  <c r="K916" i="1"/>
  <c r="M913" i="1"/>
  <c r="O910" i="1"/>
  <c r="K908" i="1"/>
  <c r="M905" i="1"/>
  <c r="O902" i="1"/>
  <c r="K900" i="1"/>
  <c r="M897" i="1"/>
  <c r="O894" i="1"/>
  <c r="M945" i="1"/>
  <c r="E938" i="1"/>
  <c r="K932" i="1"/>
  <c r="M927" i="1"/>
  <c r="D924" i="1"/>
  <c r="N918" i="1"/>
  <c r="L915" i="1"/>
  <c r="L911" i="1"/>
  <c r="D908" i="1"/>
  <c r="N904" i="1"/>
  <c r="N900" i="1"/>
  <c r="L897" i="1"/>
  <c r="D894" i="1"/>
  <c r="K940" i="1"/>
  <c r="N934" i="1"/>
  <c r="L928" i="1"/>
  <c r="O924" i="1"/>
  <c r="E920" i="1"/>
  <c r="K917" i="1"/>
  <c r="M914" i="1"/>
  <c r="O911" i="1"/>
  <c r="K909" i="1"/>
  <c r="M906" i="1"/>
  <c r="O903" i="1"/>
  <c r="K901" i="1"/>
  <c r="M898" i="1"/>
  <c r="O895" i="1"/>
  <c r="K893" i="1"/>
  <c r="M890" i="1"/>
  <c r="O887" i="1"/>
  <c r="K885" i="1"/>
  <c r="K890" i="1"/>
  <c r="M885" i="1"/>
  <c r="K882" i="1"/>
  <c r="N878" i="1"/>
  <c r="L875" i="1"/>
  <c r="D872" i="1"/>
  <c r="D868" i="1"/>
  <c r="N864" i="1"/>
  <c r="L861" i="1"/>
  <c r="L857" i="1"/>
  <c r="D854" i="1"/>
  <c r="N850" i="1"/>
  <c r="N846" i="1"/>
  <c r="L843" i="1"/>
  <c r="D840" i="1"/>
  <c r="D836" i="1"/>
  <c r="N832" i="1"/>
  <c r="L829" i="1"/>
  <c r="D888" i="1"/>
  <c r="O882" i="1"/>
  <c r="E879" i="1"/>
  <c r="O875" i="1"/>
  <c r="K873" i="1"/>
  <c r="E871" i="1"/>
  <c r="O867" i="1"/>
  <c r="K865" i="1"/>
  <c r="E863" i="1"/>
  <c r="O859" i="1"/>
  <c r="K857" i="1"/>
  <c r="E855" i="1"/>
  <c r="O851" i="1"/>
  <c r="K849" i="1"/>
  <c r="E847" i="1"/>
  <c r="O843" i="1"/>
  <c r="K841" i="1"/>
  <c r="E839" i="1"/>
  <c r="E890" i="1"/>
  <c r="K884" i="1"/>
  <c r="N879" i="1"/>
  <c r="N875" i="1"/>
  <c r="L872" i="1"/>
  <c r="D869" i="1"/>
  <c r="D865" i="1"/>
  <c r="N861" i="1"/>
  <c r="L858" i="1"/>
  <c r="L854" i="1"/>
  <c r="D851" i="1"/>
  <c r="N847" i="1"/>
  <c r="N843" i="1"/>
  <c r="L840" i="1"/>
  <c r="L891" i="1"/>
  <c r="M883" i="1"/>
  <c r="K880" i="1"/>
  <c r="E878" i="1"/>
  <c r="O874" i="1"/>
  <c r="K872" i="1"/>
  <c r="E870" i="1"/>
  <c r="O866" i="1"/>
  <c r="K864" i="1"/>
  <c r="E862" i="1"/>
  <c r="O858" i="1"/>
  <c r="K856" i="1"/>
  <c r="E854" i="1"/>
  <c r="O850" i="1"/>
  <c r="K848" i="1"/>
  <c r="E846" i="1"/>
  <c r="O842" i="1"/>
  <c r="K840" i="1"/>
  <c r="E838" i="1"/>
  <c r="O834" i="1"/>
  <c r="K832" i="1"/>
  <c r="E830" i="1"/>
  <c r="L832" i="1"/>
  <c r="E828" i="1"/>
  <c r="M825" i="1"/>
  <c r="K822" i="1"/>
  <c r="E820" i="1"/>
  <c r="M817" i="1"/>
  <c r="M815" i="1"/>
  <c r="M813" i="1"/>
  <c r="M811" i="1"/>
  <c r="M809" i="1"/>
  <c r="M807" i="1"/>
  <c r="M805" i="1"/>
  <c r="M803" i="1"/>
  <c r="M801" i="1"/>
  <c r="M799" i="1"/>
  <c r="M797" i="1"/>
  <c r="M795" i="1"/>
  <c r="M793" i="1"/>
  <c r="M791" i="1"/>
  <c r="M789" i="1"/>
  <c r="M787" i="1"/>
  <c r="M785" i="1"/>
  <c r="M783" i="1"/>
  <c r="E1008" i="1"/>
  <c r="O1002" i="1"/>
  <c r="O998" i="1"/>
  <c r="E994" i="1"/>
  <c r="O988" i="1"/>
  <c r="E984" i="1"/>
  <c r="E980" i="1"/>
  <c r="O974" i="1"/>
  <c r="E970" i="1"/>
  <c r="M965" i="1"/>
  <c r="N1010" i="1"/>
  <c r="L1005" i="1"/>
  <c r="L999" i="1"/>
  <c r="D992" i="1"/>
  <c r="D986" i="1"/>
  <c r="N980" i="1"/>
  <c r="D1005" i="1"/>
  <c r="D999" i="1"/>
  <c r="D993" i="1"/>
  <c r="N985" i="1"/>
  <c r="L980" i="1"/>
  <c r="L974" i="1"/>
  <c r="O1005" i="1"/>
  <c r="M986" i="1"/>
  <c r="D974" i="1"/>
  <c r="K963" i="1"/>
  <c r="K957" i="1"/>
  <c r="M952" i="1"/>
  <c r="K947" i="1"/>
  <c r="K943" i="1"/>
  <c r="M938" i="1"/>
  <c r="K933" i="1"/>
  <c r="M928" i="1"/>
  <c r="M924" i="1"/>
  <c r="K919" i="1"/>
  <c r="E991" i="1"/>
  <c r="E977" i="1"/>
  <c r="L966" i="1"/>
  <c r="N959" i="1"/>
  <c r="N953" i="1"/>
  <c r="L946" i="1"/>
  <c r="L940" i="1"/>
  <c r="D935" i="1"/>
  <c r="E1005" i="1"/>
  <c r="K987" i="1"/>
  <c r="N972" i="1"/>
  <c r="M962" i="1"/>
  <c r="E958" i="1"/>
  <c r="M953" i="1"/>
  <c r="M996" i="1"/>
  <c r="E979" i="1"/>
  <c r="E971" i="1"/>
  <c r="K961" i="1"/>
  <c r="L955" i="1"/>
  <c r="N950" i="1"/>
  <c r="L945" i="1"/>
  <c r="L941" i="1"/>
  <c r="E940" i="1"/>
  <c r="E932" i="1"/>
  <c r="N925" i="1"/>
  <c r="D921" i="1"/>
  <c r="N915" i="1"/>
  <c r="D911" i="1"/>
  <c r="L906" i="1"/>
  <c r="D901" i="1"/>
  <c r="D897" i="1"/>
  <c r="L892" i="1"/>
  <c r="D887" i="1"/>
  <c r="L882" i="1"/>
  <c r="E946" i="1"/>
  <c r="N932" i="1"/>
  <c r="L924" i="1"/>
  <c r="D922" i="1"/>
  <c r="M917" i="1"/>
  <c r="O914" i="1"/>
  <c r="K912" i="1"/>
  <c r="M909" i="1"/>
  <c r="O906" i="1"/>
  <c r="K904" i="1"/>
  <c r="M901" i="1"/>
  <c r="O898" i="1"/>
  <c r="K896" i="1"/>
  <c r="K950" i="1"/>
  <c r="O940" i="1"/>
  <c r="M935" i="1"/>
  <c r="E930" i="1"/>
  <c r="L925" i="1"/>
  <c r="N921" i="1"/>
  <c r="N916" i="1"/>
  <c r="L913" i="1"/>
  <c r="D910" i="1"/>
  <c r="D906" i="1"/>
  <c r="N902" i="1"/>
  <c r="L899" i="1"/>
  <c r="L895" i="1"/>
  <c r="O946" i="1"/>
  <c r="N938" i="1"/>
  <c r="N930" i="1"/>
  <c r="D927" i="1"/>
  <c r="N922" i="1"/>
  <c r="M918" i="1"/>
  <c r="O915" i="1"/>
  <c r="K913" i="1"/>
  <c r="M910" i="1"/>
  <c r="O907" i="1"/>
  <c r="K905" i="1"/>
  <c r="M902" i="1"/>
  <c r="O899" i="1"/>
  <c r="K897" i="1"/>
  <c r="M894" i="1"/>
  <c r="O891" i="1"/>
  <c r="K889" i="1"/>
  <c r="M886" i="1"/>
  <c r="M893" i="1"/>
  <c r="O888" i="1"/>
  <c r="L883" i="1"/>
  <c r="O880" i="1"/>
  <c r="L877" i="1"/>
  <c r="L873" i="1"/>
  <c r="D870" i="1"/>
  <c r="N866" i="1"/>
  <c r="N862" i="1"/>
  <c r="L859" i="1"/>
  <c r="D856" i="1"/>
  <c r="D852" i="1"/>
  <c r="N848" i="1"/>
  <c r="L845" i="1"/>
  <c r="L841" i="1"/>
  <c r="D838" i="1"/>
  <c r="N834" i="1"/>
  <c r="N830" i="1"/>
  <c r="D892" i="1"/>
  <c r="N884" i="1"/>
  <c r="O879" i="1"/>
  <c r="K877" i="1"/>
  <c r="E875" i="1"/>
  <c r="O871" i="1"/>
  <c r="K869" i="1"/>
  <c r="E867" i="1"/>
  <c r="O863" i="1"/>
  <c r="K861" i="1"/>
  <c r="E859" i="1"/>
  <c r="O855" i="1"/>
  <c r="K853" i="1"/>
  <c r="E851" i="1"/>
  <c r="O847" i="1"/>
  <c r="K845" i="1"/>
  <c r="E843" i="1"/>
  <c r="O839" i="1"/>
  <c r="K892" i="1"/>
  <c r="M887" i="1"/>
  <c r="M881" i="1"/>
  <c r="N877" i="1"/>
  <c r="L874" i="1"/>
  <c r="L870" i="1"/>
  <c r="D867" i="1"/>
  <c r="N863" i="1"/>
  <c r="N859" i="1"/>
  <c r="L856" i="1"/>
  <c r="D853" i="1"/>
  <c r="D849" i="1"/>
  <c r="N845" i="1"/>
  <c r="L842" i="1"/>
  <c r="L838" i="1"/>
  <c r="L887" i="1"/>
  <c r="E882" i="1"/>
  <c r="O878" i="1"/>
  <c r="K876" i="1"/>
  <c r="E874" i="1"/>
  <c r="O870" i="1"/>
  <c r="K868" i="1"/>
  <c r="E866" i="1"/>
  <c r="O862" i="1"/>
  <c r="K860" i="1"/>
  <c r="E858" i="1"/>
  <c r="O854" i="1"/>
  <c r="K852" i="1"/>
  <c r="E850" i="1"/>
  <c r="O846" i="1"/>
  <c r="K844" i="1"/>
  <c r="E842" i="1"/>
  <c r="O838" i="1"/>
  <c r="K836" i="1"/>
  <c r="E834" i="1"/>
  <c r="O830" i="1"/>
  <c r="L836" i="1"/>
  <c r="D831" i="1"/>
  <c r="K826" i="1"/>
  <c r="E824" i="1"/>
  <c r="M821" i="1"/>
  <c r="K818" i="1"/>
  <c r="K816" i="1"/>
  <c r="K814" i="1"/>
  <c r="K812" i="1"/>
  <c r="K810" i="1"/>
  <c r="K808" i="1"/>
  <c r="K806" i="1"/>
  <c r="K804" i="1"/>
  <c r="K802" i="1"/>
  <c r="K800" i="1"/>
  <c r="K798" i="1"/>
  <c r="K796" i="1"/>
  <c r="K794" i="1"/>
  <c r="K792" i="1"/>
  <c r="K790" i="1"/>
  <c r="K788" i="1"/>
  <c r="K786" i="1"/>
  <c r="K784" i="1"/>
  <c r="K782" i="1"/>
  <c r="K780" i="1"/>
  <c r="K778" i="1"/>
  <c r="K776" i="1"/>
  <c r="K774" i="1"/>
  <c r="K772" i="1"/>
  <c r="K770" i="1"/>
  <c r="K768" i="1"/>
  <c r="K766" i="1"/>
  <c r="K764" i="1"/>
  <c r="K762" i="1"/>
  <c r="K760" i="1"/>
  <c r="K758" i="1"/>
  <c r="K756" i="1"/>
  <c r="K754" i="1"/>
  <c r="K752" i="1"/>
  <c r="K750" i="1"/>
  <c r="K748" i="1"/>
  <c r="K746" i="1"/>
  <c r="K744" i="1"/>
  <c r="K742" i="1"/>
  <c r="K740" i="1"/>
  <c r="K738" i="1"/>
  <c r="K736" i="1"/>
  <c r="K734" i="1"/>
  <c r="K732" i="1"/>
  <c r="K835" i="1"/>
  <c r="K831" i="1"/>
  <c r="D828" i="1"/>
  <c r="L825" i="1"/>
  <c r="N822" i="1"/>
  <c r="D820" i="1"/>
  <c r="L817" i="1"/>
  <c r="N814" i="1"/>
  <c r="D812" i="1"/>
  <c r="L809" i="1"/>
  <c r="N806" i="1"/>
  <c r="D804" i="1"/>
  <c r="L801" i="1"/>
  <c r="N798" i="1"/>
  <c r="D796" i="1"/>
  <c r="L793" i="1"/>
  <c r="N790" i="1"/>
  <c r="D788" i="1"/>
  <c r="L785" i="1"/>
  <c r="N782" i="1"/>
  <c r="D780" i="1"/>
  <c r="M1009" i="1"/>
  <c r="M999" i="1"/>
  <c r="O990" i="1"/>
  <c r="O980" i="1"/>
  <c r="O970" i="1"/>
  <c r="E962" i="1"/>
  <c r="D1000" i="1"/>
  <c r="D988" i="1"/>
  <c r="D1007" i="1"/>
  <c r="L994" i="1"/>
  <c r="D981" i="1"/>
  <c r="N969" i="1"/>
  <c r="N974" i="1"/>
  <c r="O957" i="1"/>
  <c r="K949" i="1"/>
  <c r="K939" i="1"/>
  <c r="O929" i="1"/>
  <c r="M920" i="1"/>
  <c r="O979" i="1"/>
  <c r="N961" i="1"/>
  <c r="D949" i="1"/>
  <c r="N935" i="1"/>
  <c r="E989" i="1"/>
  <c r="D967" i="1"/>
  <c r="E954" i="1"/>
  <c r="O983" i="1"/>
  <c r="E963" i="1"/>
  <c r="D952" i="1"/>
  <c r="D942" i="1"/>
  <c r="K934" i="1"/>
  <c r="L921" i="1"/>
  <c r="N911" i="1"/>
  <c r="D903" i="1"/>
  <c r="D893" i="1"/>
  <c r="N883" i="1"/>
  <c r="D936" i="1"/>
  <c r="K922" i="1"/>
  <c r="M915" i="1"/>
  <c r="K910" i="1"/>
  <c r="O904" i="1"/>
  <c r="M899" i="1"/>
  <c r="K894" i="1"/>
  <c r="K936" i="1"/>
  <c r="E926" i="1"/>
  <c r="D918" i="1"/>
  <c r="N910" i="1"/>
  <c r="L903" i="1"/>
  <c r="N896" i="1"/>
  <c r="L939" i="1"/>
  <c r="L927" i="1"/>
  <c r="L919" i="1"/>
  <c r="O913" i="1"/>
  <c r="M908" i="1"/>
  <c r="K903" i="1"/>
  <c r="O897" i="1"/>
  <c r="M892" i="1"/>
  <c r="K887" i="1"/>
  <c r="M889" i="1"/>
  <c r="K881" i="1"/>
  <c r="N874" i="1"/>
  <c r="L867" i="1"/>
  <c r="D860" i="1"/>
  <c r="L853" i="1"/>
  <c r="D846" i="1"/>
  <c r="N838" i="1"/>
  <c r="D832" i="1"/>
  <c r="L885" i="1"/>
  <c r="O877" i="1"/>
  <c r="E873" i="1"/>
  <c r="K867" i="1"/>
  <c r="O861" i="1"/>
  <c r="E857" i="1"/>
  <c r="K851" i="1"/>
  <c r="O845" i="1"/>
  <c r="E841" i="1"/>
  <c r="K888" i="1"/>
  <c r="L878" i="1"/>
  <c r="N871" i="1"/>
  <c r="L864" i="1"/>
  <c r="D857" i="1"/>
  <c r="L850" i="1"/>
  <c r="D843" i="1"/>
  <c r="D890" i="1"/>
  <c r="E880" i="1"/>
  <c r="K874" i="1"/>
  <c r="O868" i="1"/>
  <c r="E864" i="1"/>
  <c r="K858" i="1"/>
  <c r="O852" i="1"/>
  <c r="E848" i="1"/>
  <c r="K842" i="1"/>
  <c r="O836" i="1"/>
  <c r="E832" i="1"/>
  <c r="N831" i="1"/>
  <c r="K824" i="1"/>
  <c r="M819" i="1"/>
  <c r="O814" i="1"/>
  <c r="O810" i="1"/>
  <c r="O806" i="1"/>
  <c r="O802" i="1"/>
  <c r="O798" i="1"/>
  <c r="O794" i="1"/>
  <c r="O790" i="1"/>
  <c r="O786" i="1"/>
  <c r="O782" i="1"/>
  <c r="E780" i="1"/>
  <c r="M777" i="1"/>
  <c r="O774" i="1"/>
  <c r="E772" i="1"/>
  <c r="M769" i="1"/>
  <c r="O766" i="1"/>
  <c r="E764" i="1"/>
  <c r="M761" i="1"/>
  <c r="O758" i="1"/>
  <c r="E756" i="1"/>
  <c r="M753" i="1"/>
  <c r="O750" i="1"/>
  <c r="E748" i="1"/>
  <c r="M745" i="1"/>
  <c r="O742" i="1"/>
  <c r="E740" i="1"/>
  <c r="M737" i="1"/>
  <c r="O734" i="1"/>
  <c r="E732" i="1"/>
  <c r="O833" i="1"/>
  <c r="N828" i="1"/>
  <c r="N824" i="1"/>
  <c r="L821" i="1"/>
  <c r="D818" i="1"/>
  <c r="D814" i="1"/>
  <c r="N810" i="1"/>
  <c r="L807" i="1"/>
  <c r="L803" i="1"/>
  <c r="D800" i="1"/>
  <c r="N796" i="1"/>
  <c r="N792" i="1"/>
  <c r="L789" i="1"/>
  <c r="D786" i="1"/>
  <c r="D782" i="1"/>
  <c r="N778" i="1"/>
  <c r="D776" i="1"/>
  <c r="L773" i="1"/>
  <c r="N770" i="1"/>
  <c r="D768" i="1"/>
  <c r="L765" i="1"/>
  <c r="N762" i="1"/>
  <c r="D760" i="1"/>
  <c r="L757" i="1"/>
  <c r="N754" i="1"/>
  <c r="D833" i="1"/>
  <c r="M828" i="1"/>
  <c r="M826" i="1"/>
  <c r="M824" i="1"/>
  <c r="M822" i="1"/>
  <c r="M820" i="1"/>
  <c r="M818" i="1"/>
  <c r="M816" i="1"/>
  <c r="M814" i="1"/>
  <c r="M812" i="1"/>
  <c r="M810" i="1"/>
  <c r="M808" i="1"/>
  <c r="M806" i="1"/>
  <c r="M804" i="1"/>
  <c r="M802" i="1"/>
  <c r="M800" i="1"/>
  <c r="M798" i="1"/>
  <c r="M796" i="1"/>
  <c r="M794" i="1"/>
  <c r="M792" i="1"/>
  <c r="M790" i="1"/>
  <c r="M788" i="1"/>
  <c r="M786" i="1"/>
  <c r="M784" i="1"/>
  <c r="M782" i="1"/>
  <c r="M780" i="1"/>
  <c r="M778" i="1"/>
  <c r="M776" i="1"/>
  <c r="M774" i="1"/>
  <c r="M772" i="1"/>
  <c r="M770" i="1"/>
  <c r="M768" i="1"/>
  <c r="M766" i="1"/>
  <c r="M764" i="1"/>
  <c r="M762" i="1"/>
  <c r="M760" i="1"/>
  <c r="M758" i="1"/>
  <c r="M756" i="1"/>
  <c r="M754" i="1"/>
  <c r="M752" i="1"/>
  <c r="M750" i="1"/>
  <c r="M748" i="1"/>
  <c r="M746" i="1"/>
  <c r="M744" i="1"/>
  <c r="O835" i="1"/>
  <c r="O831" i="1"/>
  <c r="L828" i="1"/>
  <c r="N825" i="1"/>
  <c r="D823" i="1"/>
  <c r="L820" i="1"/>
  <c r="N817" i="1"/>
  <c r="D815" i="1"/>
  <c r="L812" i="1"/>
  <c r="N809" i="1"/>
  <c r="D807" i="1"/>
  <c r="L804" i="1"/>
  <c r="N801" i="1"/>
  <c r="D799" i="1"/>
  <c r="L796" i="1"/>
  <c r="N793" i="1"/>
  <c r="D791" i="1"/>
  <c r="L788" i="1"/>
  <c r="N785" i="1"/>
  <c r="D783" i="1"/>
  <c r="L780" i="1"/>
  <c r="N777" i="1"/>
  <c r="D775" i="1"/>
  <c r="L772" i="1"/>
  <c r="N769" i="1"/>
  <c r="D767" i="1"/>
  <c r="L764" i="1"/>
  <c r="N761" i="1"/>
  <c r="D759" i="1"/>
  <c r="L756" i="1"/>
  <c r="N753" i="1"/>
  <c r="D751" i="1"/>
  <c r="L748" i="1"/>
  <c r="N745" i="1"/>
  <c r="D743" i="1"/>
  <c r="L740" i="1"/>
  <c r="N737" i="1"/>
  <c r="N744" i="1"/>
  <c r="L737" i="1"/>
  <c r="K735" i="1"/>
  <c r="N731" i="1"/>
  <c r="M729" i="1"/>
  <c r="M727" i="1"/>
  <c r="M725" i="1"/>
  <c r="M723" i="1"/>
  <c r="M721" i="1"/>
  <c r="M719" i="1"/>
  <c r="M717" i="1"/>
  <c r="M715" i="1"/>
  <c r="M713" i="1"/>
  <c r="M711" i="1"/>
  <c r="M709" i="1"/>
  <c r="M707" i="1"/>
  <c r="M705" i="1"/>
  <c r="M703" i="1"/>
  <c r="M701" i="1"/>
  <c r="M699" i="1"/>
  <c r="M697" i="1"/>
  <c r="M695" i="1"/>
  <c r="M693" i="1"/>
  <c r="M691" i="1"/>
  <c r="M689" i="1"/>
  <c r="M687" i="1"/>
  <c r="M685" i="1"/>
  <c r="M683" i="1"/>
  <c r="M681" i="1"/>
  <c r="M679" i="1"/>
  <c r="M677" i="1"/>
  <c r="M675" i="1"/>
  <c r="M673" i="1"/>
  <c r="M671" i="1"/>
  <c r="M669" i="1"/>
  <c r="M667" i="1"/>
  <c r="M665" i="1"/>
  <c r="M663" i="1"/>
  <c r="M661" i="1"/>
  <c r="M659" i="1"/>
  <c r="M657" i="1"/>
  <c r="M655" i="1"/>
  <c r="M653" i="1"/>
  <c r="M651" i="1"/>
  <c r="M649" i="1"/>
  <c r="M647" i="1"/>
  <c r="M645" i="1"/>
  <c r="M643" i="1"/>
  <c r="M641" i="1"/>
  <c r="M639" i="1"/>
  <c r="M637" i="1"/>
  <c r="M635" i="1"/>
  <c r="M633" i="1"/>
  <c r="M631" i="1"/>
  <c r="M629" i="1"/>
  <c r="M627" i="1"/>
  <c r="M625" i="1"/>
  <c r="M623" i="1"/>
  <c r="D746" i="1"/>
  <c r="O739" i="1"/>
  <c r="O735" i="1"/>
  <c r="L731" i="1"/>
  <c r="N728" i="1"/>
  <c r="D726" i="1"/>
  <c r="L723" i="1"/>
  <c r="N720" i="1"/>
  <c r="D718" i="1"/>
  <c r="L715" i="1"/>
  <c r="N712" i="1"/>
  <c r="D710" i="1"/>
  <c r="L707" i="1"/>
  <c r="N704" i="1"/>
  <c r="D702" i="1"/>
  <c r="L699" i="1"/>
  <c r="N696" i="1"/>
  <c r="D694" i="1"/>
  <c r="L691" i="1"/>
  <c r="N688" i="1"/>
  <c r="D686" i="1"/>
  <c r="L683" i="1"/>
  <c r="N680" i="1"/>
  <c r="D678" i="1"/>
  <c r="L675" i="1"/>
  <c r="N672" i="1"/>
  <c r="D670" i="1"/>
  <c r="L667" i="1"/>
  <c r="N664" i="1"/>
  <c r="D662" i="1"/>
  <c r="L659" i="1"/>
  <c r="N656" i="1"/>
  <c r="D654" i="1"/>
  <c r="D752" i="1"/>
  <c r="N742" i="1"/>
  <c r="D738" i="1"/>
  <c r="L733" i="1"/>
  <c r="K731" i="1"/>
  <c r="K729" i="1"/>
  <c r="K727" i="1"/>
  <c r="K725" i="1"/>
  <c r="K723" i="1"/>
  <c r="K721" i="1"/>
  <c r="K719" i="1"/>
  <c r="K717" i="1"/>
  <c r="K715" i="1"/>
  <c r="K713" i="1"/>
  <c r="K711" i="1"/>
  <c r="K709" i="1"/>
  <c r="K707" i="1"/>
  <c r="K705" i="1"/>
  <c r="K703" i="1"/>
  <c r="K701" i="1"/>
  <c r="K699" i="1"/>
  <c r="K697" i="1"/>
  <c r="K695" i="1"/>
  <c r="K693" i="1"/>
  <c r="K691" i="1"/>
  <c r="K689" i="1"/>
  <c r="K687" i="1"/>
  <c r="K685" i="1"/>
  <c r="K683" i="1"/>
  <c r="K681" i="1"/>
  <c r="K679" i="1"/>
  <c r="K677" i="1"/>
  <c r="K675" i="1"/>
  <c r="K673" i="1"/>
  <c r="K671" i="1"/>
  <c r="K669" i="1"/>
  <c r="K667" i="1"/>
  <c r="K665" i="1"/>
  <c r="K663" i="1"/>
  <c r="K661" i="1"/>
  <c r="K659" i="1"/>
  <c r="K657" i="1"/>
  <c r="K655" i="1"/>
  <c r="K653" i="1"/>
  <c r="K651" i="1"/>
  <c r="K649" i="1"/>
  <c r="K647" i="1"/>
  <c r="K645" i="1"/>
  <c r="K643" i="1"/>
  <c r="K641" i="1"/>
  <c r="L751" i="1"/>
  <c r="M742" i="1"/>
  <c r="M738" i="1"/>
  <c r="E735" i="1"/>
  <c r="D733" i="1"/>
  <c r="N729" i="1"/>
  <c r="D727" i="1"/>
  <c r="L724" i="1"/>
  <c r="N721" i="1"/>
  <c r="D719" i="1"/>
  <c r="L716" i="1"/>
  <c r="N713" i="1"/>
  <c r="D711" i="1"/>
  <c r="L708" i="1"/>
  <c r="N705" i="1"/>
  <c r="D703" i="1"/>
  <c r="L700" i="1"/>
  <c r="N697" i="1"/>
  <c r="D695" i="1"/>
  <c r="L692" i="1"/>
  <c r="N689" i="1"/>
  <c r="D687" i="1"/>
  <c r="L684" i="1"/>
  <c r="N681" i="1"/>
  <c r="D679" i="1"/>
  <c r="L676" i="1"/>
  <c r="N673" i="1"/>
  <c r="D671" i="1"/>
  <c r="L668" i="1"/>
  <c r="N665" i="1"/>
  <c r="N655" i="1"/>
  <c r="L648" i="1"/>
  <c r="N643" i="1"/>
  <c r="M638" i="1"/>
  <c r="D636" i="1"/>
  <c r="N632" i="1"/>
  <c r="E629" i="1"/>
  <c r="D627" i="1"/>
  <c r="N622" i="1"/>
  <c r="D620" i="1"/>
  <c r="L617" i="1"/>
  <c r="N614" i="1"/>
  <c r="D612" i="1"/>
  <c r="L609" i="1"/>
  <c r="N606" i="1"/>
  <c r="D604" i="1"/>
  <c r="L601" i="1"/>
  <c r="N598" i="1"/>
  <c r="D596" i="1"/>
  <c r="L593" i="1"/>
  <c r="N590" i="1"/>
  <c r="D588" i="1"/>
  <c r="L585" i="1"/>
  <c r="N582" i="1"/>
  <c r="D580" i="1"/>
  <c r="L577" i="1"/>
  <c r="N574" i="1"/>
  <c r="D572" i="1"/>
  <c r="L569" i="1"/>
  <c r="N566" i="1"/>
  <c r="D564" i="1"/>
  <c r="L561" i="1"/>
  <c r="N558" i="1"/>
  <c r="D556" i="1"/>
  <c r="L553" i="1"/>
  <c r="N550" i="1"/>
  <c r="D548" i="1"/>
  <c r="L545" i="1"/>
  <c r="N542" i="1"/>
  <c r="D540" i="1"/>
  <c r="L658" i="1"/>
  <c r="N650" i="1"/>
  <c r="D646" i="1"/>
  <c r="L639" i="1"/>
  <c r="K637" i="1"/>
  <c r="N633" i="1"/>
  <c r="L630" i="1"/>
  <c r="O627" i="1"/>
  <c r="L623" i="1"/>
  <c r="K621" i="1"/>
  <c r="K619" i="1"/>
  <c r="K617" i="1"/>
  <c r="K615" i="1"/>
  <c r="K613" i="1"/>
  <c r="K611" i="1"/>
  <c r="K609" i="1"/>
  <c r="K607" i="1"/>
  <c r="K605" i="1"/>
  <c r="K603" i="1"/>
  <c r="K601" i="1"/>
  <c r="K599" i="1"/>
  <c r="K597" i="1"/>
  <c r="K595" i="1"/>
  <c r="K593" i="1"/>
  <c r="K591" i="1"/>
  <c r="K589" i="1"/>
  <c r="K587" i="1"/>
  <c r="K585" i="1"/>
  <c r="K583" i="1"/>
  <c r="K581" i="1"/>
  <c r="K579" i="1"/>
  <c r="K577" i="1"/>
  <c r="K575" i="1"/>
  <c r="K573" i="1"/>
  <c r="K571" i="1"/>
  <c r="K569" i="1"/>
  <c r="K567" i="1"/>
  <c r="K565" i="1"/>
  <c r="L664" i="1"/>
  <c r="D655" i="1"/>
  <c r="L646" i="1"/>
  <c r="N641" i="1"/>
  <c r="O637" i="1"/>
  <c r="L633" i="1"/>
  <c r="K631" i="1"/>
  <c r="N627" i="1"/>
  <c r="L624" i="1"/>
  <c r="L622" i="1"/>
  <c r="N619" i="1"/>
  <c r="D617" i="1"/>
  <c r="L614" i="1"/>
  <c r="N611" i="1"/>
  <c r="D609" i="1"/>
  <c r="L606" i="1"/>
  <c r="N603" i="1"/>
  <c r="D601" i="1"/>
  <c r="L598" i="1"/>
  <c r="N595" i="1"/>
  <c r="D593" i="1"/>
  <c r="L590" i="1"/>
  <c r="N587" i="1"/>
  <c r="D585" i="1"/>
  <c r="L582" i="1"/>
  <c r="N579" i="1"/>
  <c r="D577" i="1"/>
  <c r="L574" i="1"/>
  <c r="N571" i="1"/>
  <c r="D569" i="1"/>
  <c r="L566" i="1"/>
  <c r="N563" i="1"/>
  <c r="O1004" i="1"/>
  <c r="O994" i="1"/>
  <c r="M985" i="1"/>
  <c r="E976" i="1"/>
  <c r="O966" i="1"/>
  <c r="N1006" i="1"/>
  <c r="N994" i="1"/>
  <c r="L981" i="1"/>
  <c r="N999" i="1"/>
  <c r="L988" i="1"/>
  <c r="D975" i="1"/>
  <c r="K991" i="1"/>
  <c r="E965" i="1"/>
  <c r="O953" i="1"/>
  <c r="O943" i="1"/>
  <c r="K935" i="1"/>
  <c r="K925" i="1"/>
  <c r="O995" i="1"/>
  <c r="O969" i="1"/>
  <c r="L954" i="1"/>
  <c r="L942" i="1"/>
  <c r="N929" i="1"/>
  <c r="D976" i="1"/>
  <c r="K958" i="1"/>
  <c r="M1004" i="1"/>
  <c r="O971" i="1"/>
  <c r="D956" i="1"/>
  <c r="L947" i="1"/>
  <c r="M941" i="1"/>
  <c r="D928" i="1"/>
  <c r="D917" i="1"/>
  <c r="N907" i="1"/>
  <c r="N897" i="1"/>
  <c r="D889" i="1"/>
  <c r="M947" i="1"/>
  <c r="M925" i="1"/>
  <c r="K918" i="1"/>
  <c r="O912" i="1"/>
  <c r="M907" i="1"/>
  <c r="K902" i="1"/>
  <c r="O896" i="1"/>
  <c r="K942" i="1"/>
  <c r="M931" i="1"/>
  <c r="O922" i="1"/>
  <c r="D914" i="1"/>
  <c r="L907" i="1"/>
  <c r="D900" i="1"/>
  <c r="K948" i="1"/>
  <c r="D934" i="1"/>
  <c r="N923" i="1"/>
  <c r="M916" i="1"/>
  <c r="K911" i="1"/>
  <c r="O905" i="1"/>
  <c r="M900" i="1"/>
  <c r="K895" i="1"/>
  <c r="O889" i="1"/>
  <c r="M884" i="1"/>
  <c r="O884" i="1"/>
  <c r="D878" i="1"/>
  <c r="N870" i="1"/>
  <c r="D864" i="1"/>
  <c r="N856" i="1"/>
  <c r="L849" i="1"/>
  <c r="N842" i="1"/>
  <c r="L835" i="1"/>
  <c r="N892" i="1"/>
  <c r="O881" i="1"/>
  <c r="K875" i="1"/>
  <c r="O869" i="1"/>
  <c r="E865" i="1"/>
  <c r="K859" i="1"/>
  <c r="O853" i="1"/>
  <c r="E849" i="1"/>
  <c r="K843" i="1"/>
  <c r="O837" i="1"/>
  <c r="O883" i="1"/>
  <c r="D875" i="1"/>
  <c r="N867" i="1"/>
  <c r="D861" i="1"/>
  <c r="N853" i="1"/>
  <c r="L846" i="1"/>
  <c r="N839" i="1"/>
  <c r="M882" i="1"/>
  <c r="O876" i="1"/>
  <c r="E872" i="1"/>
  <c r="K866" i="1"/>
  <c r="O860" i="1"/>
  <c r="E856" i="1"/>
  <c r="K850" i="1"/>
  <c r="O844" i="1"/>
  <c r="E840" i="1"/>
  <c r="K834" i="1"/>
  <c r="K837" i="1"/>
  <c r="M827" i="1"/>
  <c r="E822" i="1"/>
  <c r="O816" i="1"/>
  <c r="O812" i="1"/>
  <c r="O808" i="1"/>
  <c r="O804" i="1"/>
  <c r="O800" i="1"/>
  <c r="O796" i="1"/>
  <c r="O792" i="1"/>
  <c r="O788" i="1"/>
  <c r="O784" i="1"/>
  <c r="M781" i="1"/>
  <c r="O778" i="1"/>
  <c r="E776" i="1"/>
  <c r="M773" i="1"/>
  <c r="O770" i="1"/>
  <c r="E768" i="1"/>
  <c r="M765" i="1"/>
  <c r="O762" i="1"/>
  <c r="E760" i="1"/>
  <c r="M757" i="1"/>
  <c r="O754" i="1"/>
  <c r="E752" i="1"/>
  <c r="M749" i="1"/>
  <c r="O746" i="1"/>
  <c r="E744" i="1"/>
  <c r="M741" i="1"/>
  <c r="O738" i="1"/>
  <c r="E736" i="1"/>
  <c r="M733" i="1"/>
  <c r="E837" i="1"/>
  <c r="M830" i="1"/>
  <c r="N826" i="1"/>
  <c r="L823" i="1"/>
  <c r="L819" i="1"/>
  <c r="D816" i="1"/>
  <c r="N812" i="1"/>
  <c r="N808" i="1"/>
  <c r="L805" i="1"/>
  <c r="D802" i="1"/>
  <c r="D798" i="1"/>
  <c r="N794" i="1"/>
  <c r="L791" i="1"/>
  <c r="L787" i="1"/>
  <c r="D784" i="1"/>
  <c r="N780" i="1"/>
  <c r="L777" i="1"/>
  <c r="N774" i="1"/>
  <c r="D772" i="1"/>
  <c r="L769" i="1"/>
  <c r="N766" i="1"/>
  <c r="D764" i="1"/>
  <c r="L761" i="1"/>
  <c r="N758" i="1"/>
  <c r="D756" i="1"/>
  <c r="L834" i="1"/>
  <c r="N829" i="1"/>
  <c r="K827" i="1"/>
  <c r="K825" i="1"/>
  <c r="K823" i="1"/>
  <c r="K821" i="1"/>
  <c r="K819" i="1"/>
  <c r="K817" i="1"/>
  <c r="K815" i="1"/>
  <c r="K813" i="1"/>
  <c r="K811" i="1"/>
  <c r="K809" i="1"/>
  <c r="K807" i="1"/>
  <c r="K805" i="1"/>
  <c r="K803" i="1"/>
  <c r="K801" i="1"/>
  <c r="K799" i="1"/>
  <c r="K797" i="1"/>
  <c r="K795" i="1"/>
  <c r="K793" i="1"/>
  <c r="K791" i="1"/>
  <c r="K789" i="1"/>
  <c r="K787" i="1"/>
  <c r="K785" i="1"/>
  <c r="K783" i="1"/>
  <c r="K781" i="1"/>
  <c r="K779" i="1"/>
  <c r="K777" i="1"/>
  <c r="K775" i="1"/>
  <c r="K773" i="1"/>
  <c r="K771" i="1"/>
  <c r="K769" i="1"/>
  <c r="K767" i="1"/>
  <c r="K765" i="1"/>
  <c r="K763" i="1"/>
  <c r="K761" i="1"/>
  <c r="K759" i="1"/>
  <c r="K757" i="1"/>
  <c r="K755" i="1"/>
  <c r="K753" i="1"/>
  <c r="K751" i="1"/>
  <c r="K749" i="1"/>
  <c r="K747" i="1"/>
  <c r="K745" i="1"/>
  <c r="K743" i="1"/>
  <c r="K833" i="1"/>
  <c r="K829" i="1"/>
  <c r="D827" i="1"/>
  <c r="L824" i="1"/>
  <c r="N821" i="1"/>
  <c r="D819" i="1"/>
  <c r="L816" i="1"/>
  <c r="N813" i="1"/>
  <c r="D811" i="1"/>
  <c r="L808" i="1"/>
  <c r="N805" i="1"/>
  <c r="D803" i="1"/>
  <c r="L800" i="1"/>
  <c r="N797" i="1"/>
  <c r="D795" i="1"/>
  <c r="L792" i="1"/>
  <c r="N789" i="1"/>
  <c r="D787" i="1"/>
  <c r="L784" i="1"/>
  <c r="N781" i="1"/>
  <c r="D779" i="1"/>
  <c r="L776" i="1"/>
  <c r="N773" i="1"/>
  <c r="D771" i="1"/>
  <c r="L768" i="1"/>
  <c r="N765" i="1"/>
  <c r="D763" i="1"/>
  <c r="L760" i="1"/>
  <c r="N757" i="1"/>
  <c r="D755" i="1"/>
  <c r="L752" i="1"/>
  <c r="N749" i="1"/>
  <c r="D747" i="1"/>
  <c r="L744" i="1"/>
  <c r="N741" i="1"/>
  <c r="D739" i="1"/>
  <c r="L749" i="1"/>
  <c r="N740" i="1"/>
  <c r="L736" i="1"/>
  <c r="O733" i="1"/>
  <c r="K730" i="1"/>
  <c r="K728" i="1"/>
  <c r="K726" i="1"/>
  <c r="K724" i="1"/>
  <c r="K722" i="1"/>
  <c r="K720" i="1"/>
  <c r="K718" i="1"/>
  <c r="K716" i="1"/>
  <c r="K714" i="1"/>
  <c r="K712" i="1"/>
  <c r="K710" i="1"/>
  <c r="K708" i="1"/>
  <c r="K706" i="1"/>
  <c r="K704" i="1"/>
  <c r="K702" i="1"/>
  <c r="K700" i="1"/>
  <c r="K698" i="1"/>
  <c r="K696" i="1"/>
  <c r="K694" i="1"/>
  <c r="K692" i="1"/>
  <c r="K690" i="1"/>
  <c r="K688" i="1"/>
  <c r="K686" i="1"/>
  <c r="K684" i="1"/>
  <c r="K682" i="1"/>
  <c r="K680" i="1"/>
  <c r="K678" i="1"/>
  <c r="K676" i="1"/>
  <c r="K674" i="1"/>
  <c r="K672" i="1"/>
  <c r="K670" i="1"/>
  <c r="K668" i="1"/>
  <c r="K666" i="1"/>
  <c r="K664" i="1"/>
  <c r="K662" i="1"/>
  <c r="K660" i="1"/>
  <c r="K658" i="1"/>
  <c r="K656" i="1"/>
  <c r="K654" i="1"/>
  <c r="K652" i="1"/>
  <c r="K650" i="1"/>
  <c r="K648" i="1"/>
  <c r="K646" i="1"/>
  <c r="K644" i="1"/>
  <c r="K642" i="1"/>
  <c r="K640" i="1"/>
  <c r="K638" i="1"/>
  <c r="K636" i="1"/>
  <c r="K634" i="1"/>
  <c r="K632" i="1"/>
  <c r="K630" i="1"/>
  <c r="K628" i="1"/>
  <c r="K626" i="1"/>
  <c r="K624" i="1"/>
  <c r="N750" i="1"/>
  <c r="K741" i="1"/>
  <c r="K737" i="1"/>
  <c r="N733" i="1"/>
  <c r="D730" i="1"/>
  <c r="L727" i="1"/>
  <c r="N724" i="1"/>
  <c r="D722" i="1"/>
  <c r="L719" i="1"/>
  <c r="N716" i="1"/>
  <c r="D714" i="1"/>
  <c r="L711" i="1"/>
  <c r="N708" i="1"/>
  <c r="D706" i="1"/>
  <c r="L703" i="1"/>
  <c r="N700" i="1"/>
  <c r="D698" i="1"/>
  <c r="L695" i="1"/>
  <c r="N692" i="1"/>
  <c r="D690" i="1"/>
  <c r="L687" i="1"/>
  <c r="N684" i="1"/>
  <c r="D682" i="1"/>
  <c r="L679" i="1"/>
  <c r="N676" i="1"/>
  <c r="D674" i="1"/>
  <c r="L671" i="1"/>
  <c r="N668" i="1"/>
  <c r="D666" i="1"/>
  <c r="L663" i="1"/>
  <c r="N660" i="1"/>
  <c r="D658" i="1"/>
  <c r="L655" i="1"/>
  <c r="N652" i="1"/>
  <c r="L745" i="1"/>
  <c r="L739" i="1"/>
  <c r="N735" i="1"/>
  <c r="L732" i="1"/>
  <c r="M730" i="1"/>
  <c r="M728" i="1"/>
  <c r="M726" i="1"/>
  <c r="M724" i="1"/>
  <c r="M722" i="1"/>
  <c r="M720" i="1"/>
  <c r="M718" i="1"/>
  <c r="M716" i="1"/>
  <c r="M714" i="1"/>
  <c r="M712" i="1"/>
  <c r="M710" i="1"/>
  <c r="M708" i="1"/>
  <c r="M706" i="1"/>
  <c r="M704" i="1"/>
  <c r="M702" i="1"/>
  <c r="M700" i="1"/>
  <c r="M698" i="1"/>
  <c r="M696" i="1"/>
  <c r="M694" i="1"/>
  <c r="M692" i="1"/>
  <c r="M690" i="1"/>
  <c r="M688" i="1"/>
  <c r="M686" i="1"/>
  <c r="M684" i="1"/>
  <c r="M682" i="1"/>
  <c r="M680" i="1"/>
  <c r="M678" i="1"/>
  <c r="M676" i="1"/>
  <c r="M674" i="1"/>
  <c r="M672" i="1"/>
  <c r="M670" i="1"/>
  <c r="M668" i="1"/>
  <c r="M666" i="1"/>
  <c r="M664" i="1"/>
  <c r="M662" i="1"/>
  <c r="M660" i="1"/>
  <c r="M658" i="1"/>
  <c r="M656" i="1"/>
  <c r="M654" i="1"/>
  <c r="M652" i="1"/>
  <c r="M650" i="1"/>
  <c r="M648" i="1"/>
  <c r="M646" i="1"/>
  <c r="M644" i="1"/>
  <c r="M642" i="1"/>
  <c r="M640" i="1"/>
  <c r="N746" i="1"/>
  <c r="E741" i="1"/>
  <c r="M736" i="1"/>
  <c r="D734" i="1"/>
  <c r="D731" i="1"/>
  <c r="L728" i="1"/>
  <c r="N725" i="1"/>
  <c r="D723" i="1"/>
  <c r="L720" i="1"/>
  <c r="N717" i="1"/>
  <c r="D715" i="1"/>
  <c r="L712" i="1"/>
  <c r="N709" i="1"/>
  <c r="D707" i="1"/>
  <c r="L704" i="1"/>
  <c r="N701" i="1"/>
  <c r="D699" i="1"/>
  <c r="L696" i="1"/>
  <c r="N693" i="1"/>
  <c r="D691" i="1"/>
  <c r="L688" i="1"/>
  <c r="N685" i="1"/>
  <c r="D683" i="1"/>
  <c r="L680" i="1"/>
  <c r="N677" i="1"/>
  <c r="D675" i="1"/>
  <c r="L672" i="1"/>
  <c r="N669" i="1"/>
  <c r="D667" i="1"/>
  <c r="L660" i="1"/>
  <c r="N651" i="1"/>
  <c r="D647" i="1"/>
  <c r="L640" i="1"/>
  <c r="E637" i="1"/>
  <c r="D635" i="1"/>
  <c r="M630" i="1"/>
  <c r="D628" i="1"/>
  <c r="N624" i="1"/>
  <c r="L621" i="1"/>
  <c r="N618" i="1"/>
  <c r="D616" i="1"/>
  <c r="L613" i="1"/>
  <c r="N610" i="1"/>
  <c r="D608" i="1"/>
  <c r="L605" i="1"/>
  <c r="N602" i="1"/>
  <c r="D600" i="1"/>
  <c r="L597" i="1"/>
  <c r="N594" i="1"/>
  <c r="D592" i="1"/>
  <c r="L589" i="1"/>
  <c r="N586" i="1"/>
  <c r="D584" i="1"/>
  <c r="L581" i="1"/>
  <c r="N578" i="1"/>
  <c r="D576" i="1"/>
  <c r="L573" i="1"/>
  <c r="N570" i="1"/>
  <c r="D568" i="1"/>
  <c r="L565" i="1"/>
  <c r="N562" i="1"/>
  <c r="D560" i="1"/>
  <c r="L557" i="1"/>
  <c r="N554" i="1"/>
  <c r="D552" i="1"/>
  <c r="L549" i="1"/>
  <c r="N546" i="1"/>
  <c r="D544" i="1"/>
  <c r="L541" i="1"/>
  <c r="D665" i="1"/>
  <c r="N653" i="1"/>
  <c r="L647" i="1"/>
  <c r="N642" i="1"/>
  <c r="L638" i="1"/>
  <c r="O635" i="1"/>
  <c r="L631" i="1"/>
  <c r="K629" i="1"/>
  <c r="N625" i="1"/>
  <c r="M622" i="1"/>
  <c r="M620" i="1"/>
  <c r="M618" i="1"/>
  <c r="M616" i="1"/>
  <c r="M614" i="1"/>
  <c r="M612" i="1"/>
  <c r="M610" i="1"/>
  <c r="M608" i="1"/>
  <c r="M606" i="1"/>
  <c r="M604" i="1"/>
  <c r="M602" i="1"/>
  <c r="M600" i="1"/>
  <c r="M598" i="1"/>
  <c r="M596" i="1"/>
  <c r="M594" i="1"/>
  <c r="M592" i="1"/>
  <c r="M590" i="1"/>
  <c r="M588" i="1"/>
  <c r="M586" i="1"/>
  <c r="M584" i="1"/>
  <c r="M582" i="1"/>
  <c r="M580" i="1"/>
  <c r="M578" i="1"/>
  <c r="M576" i="1"/>
  <c r="M574" i="1"/>
  <c r="M572" i="1"/>
  <c r="M570" i="1"/>
  <c r="M568" i="1"/>
  <c r="M566" i="1"/>
  <c r="M564" i="1"/>
  <c r="N659" i="1"/>
  <c r="N649" i="1"/>
  <c r="D645" i="1"/>
  <c r="K639" i="1"/>
  <c r="N635" i="1"/>
  <c r="L632" i="1"/>
  <c r="O629" i="1"/>
  <c r="L625" i="1"/>
  <c r="K623" i="1"/>
  <c r="D621" i="1"/>
  <c r="L618" i="1"/>
  <c r="N615" i="1"/>
  <c r="D613" i="1"/>
  <c r="L610" i="1"/>
  <c r="N607" i="1"/>
  <c r="D605" i="1"/>
  <c r="L602" i="1"/>
  <c r="N599" i="1"/>
  <c r="D597" i="1"/>
  <c r="L594" i="1"/>
  <c r="N591" i="1"/>
  <c r="D589" i="1"/>
  <c r="L586" i="1"/>
  <c r="N583" i="1"/>
  <c r="D581" i="1"/>
  <c r="L578" i="1"/>
  <c r="N575" i="1"/>
  <c r="D573" i="1"/>
  <c r="L570" i="1"/>
  <c r="N567" i="1"/>
  <c r="D565" i="1"/>
  <c r="L562" i="1"/>
  <c r="O1006" i="1"/>
  <c r="E988" i="1"/>
  <c r="M969" i="1"/>
  <c r="N996" i="1"/>
  <c r="N1003" i="1"/>
  <c r="L978" i="1"/>
  <c r="N968" i="1"/>
  <c r="M946" i="1"/>
  <c r="O927" i="1"/>
  <c r="O973" i="1"/>
  <c r="N945" i="1"/>
  <c r="O985" i="1"/>
  <c r="M951" i="1"/>
  <c r="L959" i="1"/>
  <c r="M949" i="1"/>
  <c r="D919" i="1"/>
  <c r="L900" i="1"/>
  <c r="N881" i="1"/>
  <c r="N919" i="1"/>
  <c r="O908" i="1"/>
  <c r="K898" i="1"/>
  <c r="E934" i="1"/>
  <c r="D916" i="1"/>
  <c r="D902" i="1"/>
  <c r="L935" i="1"/>
  <c r="O917" i="1"/>
  <c r="K907" i="1"/>
  <c r="M896" i="1"/>
  <c r="O885" i="1"/>
  <c r="D880" i="1"/>
  <c r="L865" i="1"/>
  <c r="L851" i="1"/>
  <c r="L837" i="1"/>
  <c r="K883" i="1"/>
  <c r="K871" i="1"/>
  <c r="E861" i="1"/>
  <c r="O849" i="1"/>
  <c r="K839" i="1"/>
  <c r="D877" i="1"/>
  <c r="L862" i="1"/>
  <c r="L848" i="1"/>
  <c r="N886" i="1"/>
  <c r="O872" i="1"/>
  <c r="K862" i="1"/>
  <c r="E852" i="1"/>
  <c r="O840" i="1"/>
  <c r="K830" i="1"/>
  <c r="M823" i="1"/>
  <c r="E814" i="1"/>
  <c r="E806" i="1"/>
  <c r="E798" i="1"/>
  <c r="E790" i="1"/>
  <c r="E782" i="1"/>
  <c r="O776" i="1"/>
  <c r="M771" i="1"/>
  <c r="E766" i="1"/>
  <c r="O760" i="1"/>
  <c r="M755" i="1"/>
  <c r="E750" i="1"/>
  <c r="O744" i="1"/>
  <c r="M739" i="1"/>
  <c r="E734" i="1"/>
  <c r="E833" i="1"/>
  <c r="D824" i="1"/>
  <c r="N816" i="1"/>
  <c r="D810" i="1"/>
  <c r="N802" i="1"/>
  <c r="L795" i="1"/>
  <c r="N788" i="1"/>
  <c r="L781" i="1"/>
  <c r="L775" i="1"/>
  <c r="D770" i="1"/>
  <c r="N764" i="1"/>
  <c r="L759" i="1"/>
  <c r="D837" i="1"/>
  <c r="O827" i="1"/>
  <c r="O823" i="1"/>
  <c r="O819" i="1"/>
  <c r="O815" i="1"/>
  <c r="O811" i="1"/>
  <c r="O807" i="1"/>
  <c r="O803" i="1"/>
  <c r="O799" i="1"/>
  <c r="O795" i="1"/>
  <c r="O791" i="1"/>
  <c r="O787" i="1"/>
  <c r="O783" i="1"/>
  <c r="O779" i="1"/>
  <c r="O775" i="1"/>
  <c r="O771" i="1"/>
  <c r="O767" i="1"/>
  <c r="O763" i="1"/>
  <c r="O759" i="1"/>
  <c r="O755" i="1"/>
  <c r="O751" i="1"/>
  <c r="O747" i="1"/>
  <c r="O743" i="1"/>
  <c r="E831" i="1"/>
  <c r="D825" i="1"/>
  <c r="N819" i="1"/>
  <c r="L814" i="1"/>
  <c r="D809" i="1"/>
  <c r="N803" i="1"/>
  <c r="L798" i="1"/>
  <c r="D793" i="1"/>
  <c r="N787" i="1"/>
  <c r="L782" i="1"/>
  <c r="D777" i="1"/>
  <c r="N771" i="1"/>
  <c r="L766" i="1"/>
  <c r="D761" i="1"/>
  <c r="N755" i="1"/>
  <c r="L750" i="1"/>
  <c r="D745" i="1"/>
  <c r="N739" i="1"/>
  <c r="L741" i="1"/>
  <c r="D735" i="1"/>
  <c r="O728" i="1"/>
  <c r="O724" i="1"/>
  <c r="O720" i="1"/>
  <c r="O716" i="1"/>
  <c r="O712" i="1"/>
  <c r="O708" i="1"/>
  <c r="O704" i="1"/>
  <c r="O700" i="1"/>
  <c r="O696" i="1"/>
  <c r="O692" i="1"/>
  <c r="O688" i="1"/>
  <c r="O684" i="1"/>
  <c r="O680" i="1"/>
  <c r="O676" i="1"/>
  <c r="O672" i="1"/>
  <c r="O668" i="1"/>
  <c r="O664" i="1"/>
  <c r="O660" i="1"/>
  <c r="O656" i="1"/>
  <c r="O652" i="1"/>
  <c r="O648" i="1"/>
  <c r="O644" i="1"/>
  <c r="O640" i="1"/>
  <c r="O636" i="1"/>
  <c r="O632" i="1"/>
  <c r="O628" i="1"/>
  <c r="O624" i="1"/>
  <c r="E743" i="1"/>
  <c r="N734" i="1"/>
  <c r="D728" i="1"/>
  <c r="N722" i="1"/>
  <c r="L717" i="1"/>
  <c r="D712" i="1"/>
  <c r="N706" i="1"/>
  <c r="L701" i="1"/>
  <c r="D696" i="1"/>
  <c r="N690" i="1"/>
  <c r="L685" i="1"/>
  <c r="D680" i="1"/>
  <c r="N674" i="1"/>
  <c r="L669" i="1"/>
  <c r="D664" i="1"/>
  <c r="N658" i="1"/>
  <c r="L653" i="1"/>
  <c r="D742" i="1"/>
  <c r="E733" i="1"/>
  <c r="E729" i="1"/>
  <c r="E725" i="1"/>
  <c r="E721" i="1"/>
  <c r="E717" i="1"/>
  <c r="E713" i="1"/>
  <c r="E709" i="1"/>
  <c r="E705" i="1"/>
  <c r="E701" i="1"/>
  <c r="E697" i="1"/>
  <c r="E693" i="1"/>
  <c r="E689" i="1"/>
  <c r="E685" i="1"/>
  <c r="E681" i="1"/>
  <c r="E677" i="1"/>
  <c r="E673" i="1"/>
  <c r="E669" i="1"/>
  <c r="E665" i="1"/>
  <c r="E661" i="1"/>
  <c r="E657" i="1"/>
  <c r="E653" i="1"/>
  <c r="E649" i="1"/>
  <c r="E645" i="1"/>
  <c r="E641" i="1"/>
  <c r="O741" i="1"/>
  <c r="L734" i="1"/>
  <c r="D729" i="1"/>
  <c r="N723" i="1"/>
  <c r="L718" i="1"/>
  <c r="D713" i="1"/>
  <c r="N707" i="1"/>
  <c r="L702" i="1"/>
  <c r="D697" i="1"/>
  <c r="N691" i="1"/>
  <c r="L686" i="1"/>
  <c r="D681" i="1"/>
  <c r="N675" i="1"/>
  <c r="L670" i="1"/>
  <c r="N663" i="1"/>
  <c r="N647" i="1"/>
  <c r="L637" i="1"/>
  <c r="N631" i="1"/>
  <c r="O625" i="1"/>
  <c r="L619" i="1"/>
  <c r="D614" i="1"/>
  <c r="N608" i="1"/>
  <c r="L603" i="1"/>
  <c r="D598" i="1"/>
  <c r="N592" i="1"/>
  <c r="L587" i="1"/>
  <c r="D582" i="1"/>
  <c r="N576" i="1"/>
  <c r="L571" i="1"/>
  <c r="D566" i="1"/>
  <c r="N560" i="1"/>
  <c r="L555" i="1"/>
  <c r="D550" i="1"/>
  <c r="N544" i="1"/>
  <c r="L539" i="1"/>
  <c r="D650" i="1"/>
  <c r="E639" i="1"/>
  <c r="M632" i="1"/>
  <c r="N626" i="1"/>
  <c r="E621" i="1"/>
  <c r="E617" i="1"/>
  <c r="E613" i="1"/>
  <c r="E609" i="1"/>
  <c r="E605" i="1"/>
  <c r="E601" i="1"/>
  <c r="E597" i="1"/>
  <c r="E593" i="1"/>
  <c r="E589" i="1"/>
  <c r="E585" i="1"/>
  <c r="E581" i="1"/>
  <c r="E577" i="1"/>
  <c r="E573" i="1"/>
  <c r="E569" i="1"/>
  <c r="E565" i="1"/>
  <c r="L650" i="1"/>
  <c r="D641" i="1"/>
  <c r="E633" i="1"/>
  <c r="M626" i="1"/>
  <c r="N621" i="1"/>
  <c r="M997" i="1"/>
  <c r="E978" i="1"/>
  <c r="D1010" i="1"/>
  <c r="L985" i="1"/>
  <c r="D991" i="1"/>
  <c r="M1002" i="1"/>
  <c r="M956" i="1"/>
  <c r="M936" i="1"/>
  <c r="K1005" i="1"/>
  <c r="L958" i="1"/>
  <c r="L932" i="1"/>
  <c r="L961" i="1"/>
  <c r="M976" i="1"/>
  <c r="L949" i="1"/>
  <c r="K930" i="1"/>
  <c r="L910" i="1"/>
  <c r="L890" i="1"/>
  <c r="L929" i="1"/>
  <c r="K914" i="1"/>
  <c r="M903" i="1"/>
  <c r="O948" i="1"/>
  <c r="D925" i="1"/>
  <c r="N908" i="1"/>
  <c r="N894" i="1"/>
  <c r="K926" i="1"/>
  <c r="M912" i="1"/>
  <c r="O901" i="1"/>
  <c r="K891" i="1"/>
  <c r="K886" i="1"/>
  <c r="N872" i="1"/>
  <c r="N858" i="1"/>
  <c r="D844" i="1"/>
  <c r="D830" i="1"/>
  <c r="E877" i="1"/>
  <c r="O865" i="1"/>
  <c r="K855" i="1"/>
  <c r="E845" i="1"/>
  <c r="E886" i="1"/>
  <c r="N869" i="1"/>
  <c r="N855" i="1"/>
  <c r="D841" i="1"/>
  <c r="K878" i="1"/>
  <c r="E868" i="1"/>
  <c r="O856" i="1"/>
  <c r="K846" i="1"/>
  <c r="E836" i="1"/>
  <c r="K828" i="1"/>
  <c r="E818" i="1"/>
  <c r="E810" i="1"/>
  <c r="E802" i="1"/>
  <c r="E794" i="1"/>
  <c r="E786" i="1"/>
  <c r="M779" i="1"/>
  <c r="E774" i="1"/>
  <c r="O768" i="1"/>
  <c r="M763" i="1"/>
  <c r="E758" i="1"/>
  <c r="O752" i="1"/>
  <c r="M747" i="1"/>
  <c r="E742" i="1"/>
  <c r="O736" i="1"/>
  <c r="M731" i="1"/>
  <c r="L827" i="1"/>
  <c r="N820" i="1"/>
  <c r="L813" i="1"/>
  <c r="D806" i="1"/>
  <c r="L799" i="1"/>
  <c r="D792" i="1"/>
  <c r="N784" i="1"/>
  <c r="D778" i="1"/>
  <c r="N772" i="1"/>
  <c r="L767" i="1"/>
  <c r="D762" i="1"/>
  <c r="N756" i="1"/>
  <c r="L830" i="1"/>
  <c r="O825" i="1"/>
  <c r="O821" i="1"/>
  <c r="O817" i="1"/>
  <c r="O813" i="1"/>
  <c r="O809" i="1"/>
  <c r="O805" i="1"/>
  <c r="O801" i="1"/>
  <c r="O797" i="1"/>
  <c r="O793" i="1"/>
  <c r="O789" i="1"/>
  <c r="O785" i="1"/>
  <c r="O781" i="1"/>
  <c r="O777" i="1"/>
  <c r="O773" i="1"/>
  <c r="O769" i="1"/>
  <c r="O765" i="1"/>
  <c r="O761" i="1"/>
  <c r="O757" i="1"/>
  <c r="O753" i="1"/>
  <c r="O749" i="1"/>
  <c r="O745" i="1"/>
  <c r="E835" i="1"/>
  <c r="N827" i="1"/>
  <c r="L822" i="1"/>
  <c r="D817" i="1"/>
  <c r="N811" i="1"/>
  <c r="L806" i="1"/>
  <c r="D801" i="1"/>
  <c r="N795" i="1"/>
  <c r="L790" i="1"/>
  <c r="D785" i="1"/>
  <c r="N779" i="1"/>
  <c r="L774" i="1"/>
  <c r="D769" i="1"/>
  <c r="N763" i="1"/>
  <c r="L758" i="1"/>
  <c r="D753" i="1"/>
  <c r="N747" i="1"/>
  <c r="L742" i="1"/>
  <c r="N752" i="1"/>
  <c r="E737" i="1"/>
  <c r="O730" i="1"/>
  <c r="O726" i="1"/>
  <c r="O722" i="1"/>
  <c r="O718" i="1"/>
  <c r="O714" i="1"/>
  <c r="O710" i="1"/>
  <c r="O706" i="1"/>
  <c r="O702" i="1"/>
  <c r="O698" i="1"/>
  <c r="O694" i="1"/>
  <c r="O690" i="1"/>
  <c r="O686" i="1"/>
  <c r="O682" i="1"/>
  <c r="O678" i="1"/>
  <c r="O674" i="1"/>
  <c r="O670" i="1"/>
  <c r="O666" i="1"/>
  <c r="O662" i="1"/>
  <c r="O658" i="1"/>
  <c r="O654" i="1"/>
  <c r="O650" i="1"/>
  <c r="O646" i="1"/>
  <c r="O642" i="1"/>
  <c r="O638" i="1"/>
  <c r="O634" i="1"/>
  <c r="O630" i="1"/>
  <c r="O626" i="1"/>
  <c r="D754" i="1"/>
  <c r="E739" i="1"/>
  <c r="N730" i="1"/>
  <c r="L725" i="1"/>
  <c r="D720" i="1"/>
  <c r="N714" i="1"/>
  <c r="L709" i="1"/>
  <c r="D704" i="1"/>
  <c r="N698" i="1"/>
  <c r="L693" i="1"/>
  <c r="D688" i="1"/>
  <c r="N682" i="1"/>
  <c r="L677" i="1"/>
  <c r="D672" i="1"/>
  <c r="N666" i="1"/>
  <c r="L661" i="1"/>
  <c r="D656" i="1"/>
  <c r="N748" i="1"/>
  <c r="N736" i="1"/>
  <c r="E731" i="1"/>
  <c r="E727" i="1"/>
  <c r="E723" i="1"/>
  <c r="E719" i="1"/>
  <c r="E715" i="1"/>
  <c r="E711" i="1"/>
  <c r="E707" i="1"/>
  <c r="E703" i="1"/>
  <c r="E699" i="1"/>
  <c r="E695" i="1"/>
  <c r="E691" i="1"/>
  <c r="E687" i="1"/>
  <c r="E683" i="1"/>
  <c r="E679" i="1"/>
  <c r="E675" i="1"/>
  <c r="E671" i="1"/>
  <c r="E667" i="1"/>
  <c r="E663" i="1"/>
  <c r="E659" i="1"/>
  <c r="E655" i="1"/>
  <c r="E651" i="1"/>
  <c r="E647" i="1"/>
  <c r="E643" i="1"/>
  <c r="D750" i="1"/>
  <c r="O737" i="1"/>
  <c r="O731" i="1"/>
  <c r="L726" i="1"/>
  <c r="D721" i="1"/>
  <c r="N715" i="1"/>
  <c r="L710" i="1"/>
  <c r="D705" i="1"/>
  <c r="N699" i="1"/>
  <c r="L694" i="1"/>
  <c r="D689" i="1"/>
  <c r="N683" i="1"/>
  <c r="L678" i="1"/>
  <c r="D673" i="1"/>
  <c r="N667" i="1"/>
  <c r="L652" i="1"/>
  <c r="D643" i="1"/>
  <c r="K635" i="1"/>
  <c r="L628" i="1"/>
  <c r="D622" i="1"/>
  <c r="N616" i="1"/>
  <c r="L611" i="1"/>
  <c r="D606" i="1"/>
  <c r="N600" i="1"/>
  <c r="L595" i="1"/>
  <c r="D590" i="1"/>
  <c r="N584" i="1"/>
  <c r="L579" i="1"/>
  <c r="D574" i="1"/>
  <c r="N568" i="1"/>
  <c r="L563" i="1"/>
  <c r="D558" i="1"/>
  <c r="N552" i="1"/>
  <c r="L547" i="1"/>
  <c r="D542" i="1"/>
  <c r="D657" i="1"/>
  <c r="L643" i="1"/>
  <c r="D637" i="1"/>
  <c r="D630" i="1"/>
  <c r="E623" i="1"/>
  <c r="E619" i="1"/>
  <c r="E615" i="1"/>
  <c r="E611" i="1"/>
  <c r="E607" i="1"/>
  <c r="E603" i="1"/>
  <c r="E599" i="1"/>
  <c r="E595" i="1"/>
  <c r="E591" i="1"/>
  <c r="E587" i="1"/>
  <c r="E583" i="1"/>
  <c r="E579" i="1"/>
  <c r="E575" i="1"/>
  <c r="E571" i="1"/>
  <c r="E567" i="1"/>
  <c r="D663" i="1"/>
  <c r="N645" i="1"/>
  <c r="N636" i="1"/>
  <c r="D631" i="1"/>
  <c r="D624" i="1"/>
  <c r="D619" i="1"/>
  <c r="N613" i="1"/>
  <c r="L608" i="1"/>
  <c r="D603" i="1"/>
  <c r="N597" i="1"/>
  <c r="L592" i="1"/>
  <c r="D587" i="1"/>
  <c r="N581" i="1"/>
  <c r="L576" i="1"/>
  <c r="D571" i="1"/>
  <c r="N565" i="1"/>
  <c r="D561" i="1"/>
  <c r="L662" i="1"/>
  <c r="D653" i="1"/>
  <c r="D648" i="1"/>
  <c r="L641" i="1"/>
  <c r="N637" i="1"/>
  <c r="L634" i="1"/>
  <c r="O631" i="1"/>
  <c r="L627" i="1"/>
  <c r="K625" i="1"/>
  <c r="K622" i="1"/>
  <c r="K620" i="1"/>
  <c r="K618" i="1"/>
  <c r="K616" i="1"/>
  <c r="K614" i="1"/>
  <c r="K612" i="1"/>
  <c r="K610" i="1"/>
  <c r="K608" i="1"/>
  <c r="K606" i="1"/>
  <c r="K604" i="1"/>
  <c r="K602" i="1"/>
  <c r="K600" i="1"/>
  <c r="K598" i="1"/>
  <c r="K596" i="1"/>
  <c r="K594" i="1"/>
  <c r="K592" i="1"/>
  <c r="K590" i="1"/>
  <c r="K588" i="1"/>
  <c r="K586" i="1"/>
  <c r="K584" i="1"/>
  <c r="K582" i="1"/>
  <c r="K580" i="1"/>
  <c r="K578" i="1"/>
  <c r="K576" i="1"/>
  <c r="K574" i="1"/>
  <c r="K572" i="1"/>
  <c r="K570" i="1"/>
  <c r="K568" i="1"/>
  <c r="K566" i="1"/>
  <c r="K564" i="1"/>
  <c r="K562" i="1"/>
  <c r="K560" i="1"/>
  <c r="K558" i="1"/>
  <c r="K556" i="1"/>
  <c r="K554" i="1"/>
  <c r="K552" i="1"/>
  <c r="K550" i="1"/>
  <c r="K548" i="1"/>
  <c r="K546" i="1"/>
  <c r="K544" i="1"/>
  <c r="O561" i="1"/>
  <c r="K555" i="1"/>
  <c r="K551" i="1"/>
  <c r="K547" i="1"/>
  <c r="K543" i="1"/>
  <c r="M539" i="1"/>
  <c r="K537" i="1"/>
  <c r="K535" i="1"/>
  <c r="K533" i="1"/>
  <c r="K531" i="1"/>
  <c r="K529" i="1"/>
  <c r="K527" i="1"/>
  <c r="K525" i="1"/>
  <c r="K523" i="1"/>
  <c r="K521" i="1"/>
  <c r="K519" i="1"/>
  <c r="K517" i="1"/>
  <c r="K515" i="1"/>
  <c r="K513" i="1"/>
  <c r="K511" i="1"/>
  <c r="K509" i="1"/>
  <c r="K507" i="1"/>
  <c r="K505" i="1"/>
  <c r="K503" i="1"/>
  <c r="K501" i="1"/>
  <c r="K499" i="1"/>
  <c r="K497" i="1"/>
  <c r="K495" i="1"/>
  <c r="K493" i="1"/>
  <c r="K491" i="1"/>
  <c r="K489" i="1"/>
  <c r="K487" i="1"/>
  <c r="K485" i="1"/>
  <c r="K483" i="1"/>
  <c r="K481" i="1"/>
  <c r="K479" i="1"/>
  <c r="K477" i="1"/>
  <c r="K475" i="1"/>
  <c r="K473" i="1"/>
  <c r="K471" i="1"/>
  <c r="K469" i="1"/>
  <c r="K467" i="1"/>
  <c r="K465" i="1"/>
  <c r="K463" i="1"/>
  <c r="K461" i="1"/>
  <c r="K459" i="1"/>
  <c r="K457" i="1"/>
  <c r="K455" i="1"/>
  <c r="K453" i="1"/>
  <c r="K451" i="1"/>
  <c r="K449" i="1"/>
  <c r="K447" i="1"/>
  <c r="K445" i="1"/>
  <c r="K443" i="1"/>
  <c r="K441" i="1"/>
  <c r="K439" i="1"/>
  <c r="K437" i="1"/>
  <c r="K435" i="1"/>
  <c r="K433" i="1"/>
  <c r="K431" i="1"/>
  <c r="K429" i="1"/>
  <c r="K427" i="1"/>
  <c r="K425" i="1"/>
  <c r="K423" i="1"/>
  <c r="K421" i="1"/>
  <c r="K419" i="1"/>
  <c r="K417" i="1"/>
  <c r="K415" i="1"/>
  <c r="O559" i="1"/>
  <c r="L554" i="1"/>
  <c r="N549" i="1"/>
  <c r="D545" i="1"/>
  <c r="L540" i="1"/>
  <c r="L538" i="1"/>
  <c r="N535" i="1"/>
  <c r="D533" i="1"/>
  <c r="L530" i="1"/>
  <c r="N527" i="1"/>
  <c r="D525" i="1"/>
  <c r="L522" i="1"/>
  <c r="N519" i="1"/>
  <c r="D517" i="1"/>
  <c r="L514" i="1"/>
  <c r="N511" i="1"/>
  <c r="D509" i="1"/>
  <c r="L506" i="1"/>
  <c r="N503" i="1"/>
  <c r="D501" i="1"/>
  <c r="L498" i="1"/>
  <c r="N495" i="1"/>
  <c r="D493" i="1"/>
  <c r="L490" i="1"/>
  <c r="N487" i="1"/>
  <c r="D485" i="1"/>
  <c r="L482" i="1"/>
  <c r="N479" i="1"/>
  <c r="D477" i="1"/>
  <c r="L474" i="1"/>
  <c r="N471" i="1"/>
  <c r="D469" i="1"/>
  <c r="L466" i="1"/>
  <c r="N463" i="1"/>
  <c r="D461" i="1"/>
  <c r="L458" i="1"/>
  <c r="N455" i="1"/>
  <c r="D453" i="1"/>
  <c r="L450" i="1"/>
  <c r="K559" i="1"/>
  <c r="E555" i="1"/>
  <c r="E551" i="1"/>
  <c r="E547" i="1"/>
  <c r="E543" i="1"/>
  <c r="D541" i="1"/>
  <c r="K538" i="1"/>
  <c r="K536" i="1"/>
  <c r="K534" i="1"/>
  <c r="K532" i="1"/>
  <c r="K530" i="1"/>
  <c r="K528" i="1"/>
  <c r="K526" i="1"/>
  <c r="K524" i="1"/>
  <c r="K522" i="1"/>
  <c r="K520" i="1"/>
  <c r="K518" i="1"/>
  <c r="K516" i="1"/>
  <c r="K514" i="1"/>
  <c r="K512" i="1"/>
  <c r="K510" i="1"/>
  <c r="K508" i="1"/>
  <c r="K506" i="1"/>
  <c r="K504" i="1"/>
  <c r="K502" i="1"/>
  <c r="K500" i="1"/>
  <c r="K498" i="1"/>
  <c r="K496" i="1"/>
  <c r="K494" i="1"/>
  <c r="K492" i="1"/>
  <c r="K490" i="1"/>
  <c r="K488" i="1"/>
  <c r="K486" i="1"/>
  <c r="K484" i="1"/>
  <c r="K482" i="1"/>
  <c r="K480" i="1"/>
  <c r="K478" i="1"/>
  <c r="K476" i="1"/>
  <c r="K474" i="1"/>
  <c r="K472" i="1"/>
  <c r="K470" i="1"/>
  <c r="K468" i="1"/>
  <c r="K466" i="1"/>
  <c r="K464" i="1"/>
  <c r="K462" i="1"/>
  <c r="K460" i="1"/>
  <c r="K458" i="1"/>
  <c r="K456" i="1"/>
  <c r="K454" i="1"/>
  <c r="K452" i="1"/>
  <c r="K450" i="1"/>
  <c r="K448" i="1"/>
  <c r="K446" i="1"/>
  <c r="K444" i="1"/>
  <c r="K442" i="1"/>
  <c r="K440" i="1"/>
  <c r="K438" i="1"/>
  <c r="K436" i="1"/>
  <c r="K434" i="1"/>
  <c r="N555" i="1"/>
  <c r="D551" i="1"/>
  <c r="L544" i="1"/>
  <c r="O541" i="1"/>
  <c r="D538" i="1"/>
  <c r="L535" i="1"/>
  <c r="N532" i="1"/>
  <c r="D530" i="1"/>
  <c r="L527" i="1"/>
  <c r="N524" i="1"/>
  <c r="D522" i="1"/>
  <c r="L519" i="1"/>
  <c r="N516" i="1"/>
  <c r="D514" i="1"/>
  <c r="L511" i="1"/>
  <c r="N508" i="1"/>
  <c r="D506" i="1"/>
  <c r="L503" i="1"/>
  <c r="N500" i="1"/>
  <c r="D498" i="1"/>
  <c r="L495" i="1"/>
  <c r="N492" i="1"/>
  <c r="D490" i="1"/>
  <c r="L487" i="1"/>
  <c r="N484" i="1"/>
  <c r="D482" i="1"/>
  <c r="L479" i="1"/>
  <c r="N476" i="1"/>
  <c r="D474" i="1"/>
  <c r="L471" i="1"/>
  <c r="N468" i="1"/>
  <c r="D466" i="1"/>
  <c r="L463" i="1"/>
  <c r="N460" i="1"/>
  <c r="D458" i="1"/>
  <c r="L455" i="1"/>
  <c r="N452" i="1"/>
  <c r="D450" i="1"/>
  <c r="L447" i="1"/>
  <c r="N444" i="1"/>
  <c r="E992" i="1"/>
  <c r="D1004" i="1"/>
  <c r="D985" i="1"/>
  <c r="K951" i="1"/>
  <c r="K989" i="1"/>
  <c r="O1001" i="1"/>
  <c r="N966" i="1"/>
  <c r="N924" i="1"/>
  <c r="L886" i="1"/>
  <c r="M911" i="1"/>
  <c r="M939" i="1"/>
  <c r="L905" i="1"/>
  <c r="L920" i="1"/>
  <c r="K899" i="1"/>
  <c r="E883" i="1"/>
  <c r="N854" i="1"/>
  <c r="L889" i="1"/>
  <c r="K863" i="1"/>
  <c r="O841" i="1"/>
  <c r="L866" i="1"/>
  <c r="N837" i="1"/>
  <c r="O864" i="1"/>
  <c r="E844" i="1"/>
  <c r="E826" i="1"/>
  <c r="E808" i="1"/>
  <c r="E792" i="1"/>
  <c r="E778" i="1"/>
  <c r="M767" i="1"/>
  <c r="O756" i="1"/>
  <c r="E746" i="1"/>
  <c r="M735" i="1"/>
  <c r="D826" i="1"/>
  <c r="L811" i="1"/>
  <c r="L797" i="1"/>
  <c r="L783" i="1"/>
  <c r="L771" i="1"/>
  <c r="N760" i="1"/>
  <c r="E829" i="1"/>
  <c r="E821" i="1"/>
  <c r="E813" i="1"/>
  <c r="E805" i="1"/>
  <c r="E797" i="1"/>
  <c r="E789" i="1"/>
  <c r="E781" i="1"/>
  <c r="E773" i="1"/>
  <c r="E765" i="1"/>
  <c r="E757" i="1"/>
  <c r="E749" i="1"/>
  <c r="M832" i="1"/>
  <c r="D821" i="1"/>
  <c r="L810" i="1"/>
  <c r="N799" i="1"/>
  <c r="D789" i="1"/>
  <c r="L778" i="1"/>
  <c r="N767" i="1"/>
  <c r="D757" i="1"/>
  <c r="L746" i="1"/>
  <c r="D748" i="1"/>
  <c r="E730" i="1"/>
  <c r="E722" i="1"/>
  <c r="E714" i="1"/>
  <c r="E706" i="1"/>
  <c r="E698" i="1"/>
  <c r="E690" i="1"/>
  <c r="E682" i="1"/>
  <c r="E674" i="1"/>
  <c r="E666" i="1"/>
  <c r="E658" i="1"/>
  <c r="E650" i="1"/>
  <c r="E642" i="1"/>
  <c r="E634" i="1"/>
  <c r="E626" i="1"/>
  <c r="D737" i="1"/>
  <c r="D724" i="1"/>
  <c r="L713" i="1"/>
  <c r="M973" i="1"/>
  <c r="N1009" i="1"/>
  <c r="K983" i="1"/>
  <c r="M932" i="1"/>
  <c r="D951" i="1"/>
  <c r="K956" i="1"/>
  <c r="N944" i="1"/>
  <c r="D905" i="1"/>
  <c r="E924" i="1"/>
  <c r="O900" i="1"/>
  <c r="M919" i="1"/>
  <c r="M943" i="1"/>
  <c r="O909" i="1"/>
  <c r="M888" i="1"/>
  <c r="L869" i="1"/>
  <c r="N840" i="1"/>
  <c r="O873" i="1"/>
  <c r="E853" i="1"/>
  <c r="M880" i="1"/>
  <c r="N851" i="1"/>
  <c r="E876" i="1"/>
  <c r="K854" i="1"/>
  <c r="O832" i="1"/>
  <c r="E816" i="1"/>
  <c r="E800" i="1"/>
  <c r="E784" i="1"/>
  <c r="O772" i="1"/>
  <c r="E762" i="1"/>
  <c r="M751" i="1"/>
  <c r="O740" i="1"/>
  <c r="M834" i="1"/>
  <c r="N818" i="1"/>
  <c r="N804" i="1"/>
  <c r="D790" i="1"/>
  <c r="N776" i="1"/>
  <c r="D766" i="1"/>
  <c r="L755" i="1"/>
  <c r="E825" i="1"/>
  <c r="E817" i="1"/>
  <c r="E809" i="1"/>
  <c r="E801" i="1"/>
  <c r="E793" i="1"/>
  <c r="E785" i="1"/>
  <c r="E777" i="1"/>
  <c r="E769" i="1"/>
  <c r="E761" i="1"/>
  <c r="E753" i="1"/>
  <c r="E745" i="1"/>
  <c r="L826" i="1"/>
  <c r="N815" i="1"/>
  <c r="D805" i="1"/>
  <c r="L794" i="1"/>
  <c r="N783" i="1"/>
  <c r="D773" i="1"/>
  <c r="L762" i="1"/>
  <c r="N751" i="1"/>
  <c r="D741" i="1"/>
  <c r="D736" i="1"/>
  <c r="E726" i="1"/>
  <c r="E718" i="1"/>
  <c r="E710" i="1"/>
  <c r="E702" i="1"/>
  <c r="E694" i="1"/>
  <c r="E686" i="1"/>
  <c r="E678" i="1"/>
  <c r="E670" i="1"/>
  <c r="E662" i="1"/>
  <c r="E654" i="1"/>
  <c r="E646" i="1"/>
  <c r="E638" i="1"/>
  <c r="E630" i="1"/>
  <c r="L747" i="1"/>
  <c r="L729" i="1"/>
  <c r="N718" i="1"/>
  <c r="D708" i="1"/>
  <c r="L697" i="1"/>
  <c r="N686" i="1"/>
  <c r="D676" i="1"/>
  <c r="L665" i="1"/>
  <c r="N654" i="1"/>
  <c r="M734" i="1"/>
  <c r="O725" i="1"/>
  <c r="O717" i="1"/>
  <c r="O709" i="1"/>
  <c r="O701" i="1"/>
  <c r="O693" i="1"/>
  <c r="O685" i="1"/>
  <c r="O677" i="1"/>
  <c r="O669" i="1"/>
  <c r="O661" i="1"/>
  <c r="O653" i="1"/>
  <c r="O645" i="1"/>
  <c r="L743" i="1"/>
  <c r="L730" i="1"/>
  <c r="N719" i="1"/>
  <c r="D709" i="1"/>
  <c r="L698" i="1"/>
  <c r="N687" i="1"/>
  <c r="D677" i="1"/>
  <c r="L666" i="1"/>
  <c r="N639" i="1"/>
  <c r="K627" i="1"/>
  <c r="L615" i="1"/>
  <c r="N604" i="1"/>
  <c r="D594" i="1"/>
  <c r="L583" i="1"/>
  <c r="N572" i="1"/>
  <c r="D562" i="1"/>
  <c r="L551" i="1"/>
  <c r="N540" i="1"/>
  <c r="D642" i="1"/>
  <c r="D629" i="1"/>
  <c r="O617" i="1"/>
  <c r="O609" i="1"/>
  <c r="O601" i="1"/>
  <c r="O593" i="1"/>
  <c r="O585" i="1"/>
  <c r="O577" i="1"/>
  <c r="O569" i="1"/>
  <c r="L656" i="1"/>
  <c r="M634" i="1"/>
  <c r="D623" i="1"/>
  <c r="D615" i="1"/>
  <c r="D607" i="1"/>
  <c r="L600" i="1"/>
  <c r="N593" i="1"/>
  <c r="N585" i="1"/>
  <c r="E1002" i="1"/>
  <c r="L998" i="1"/>
  <c r="M922" i="1"/>
  <c r="E995" i="1"/>
  <c r="N895" i="1"/>
  <c r="M895" i="1"/>
  <c r="D930" i="1"/>
  <c r="O892" i="1"/>
  <c r="L833" i="1"/>
  <c r="K847" i="1"/>
  <c r="D845" i="1"/>
  <c r="O848" i="1"/>
  <c r="E812" i="1"/>
  <c r="O780" i="1"/>
  <c r="M759" i="1"/>
  <c r="E738" i="1"/>
  <c r="L815" i="1"/>
  <c r="N786" i="1"/>
  <c r="L763" i="1"/>
  <c r="E823" i="1"/>
  <c r="E807" i="1"/>
  <c r="E791" i="1"/>
  <c r="E775" i="1"/>
  <c r="E759" i="1"/>
  <c r="M836" i="1"/>
  <c r="D813" i="1"/>
  <c r="N791" i="1"/>
  <c r="L770" i="1"/>
  <c r="D749" i="1"/>
  <c r="N732" i="1"/>
  <c r="E716" i="1"/>
  <c r="E700" i="1"/>
  <c r="E684" i="1"/>
  <c r="E668" i="1"/>
  <c r="E652" i="1"/>
  <c r="E636" i="1"/>
  <c r="M740" i="1"/>
  <c r="D716" i="1"/>
  <c r="D700" i="1"/>
  <c r="D684" i="1"/>
  <c r="N670" i="1"/>
  <c r="L657" i="1"/>
  <c r="D732" i="1"/>
  <c r="O721" i="1"/>
  <c r="O711" i="1"/>
  <c r="O699" i="1"/>
  <c r="O689" i="1"/>
  <c r="O679" i="1"/>
  <c r="O667" i="1"/>
  <c r="O657" i="1"/>
  <c r="O647" i="1"/>
  <c r="K739" i="1"/>
  <c r="D725" i="1"/>
  <c r="N711" i="1"/>
  <c r="N695" i="1"/>
  <c r="L682" i="1"/>
  <c r="D669" i="1"/>
  <c r="L636" i="1"/>
  <c r="N620" i="1"/>
  <c r="L607" i="1"/>
  <c r="L591" i="1"/>
  <c r="D578" i="1"/>
  <c r="N564" i="1"/>
  <c r="N548" i="1"/>
  <c r="L651" i="1"/>
  <c r="E631" i="1"/>
  <c r="O615" i="1"/>
  <c r="O605" i="1"/>
  <c r="O595" i="1"/>
  <c r="O583" i="1"/>
  <c r="O573" i="1"/>
  <c r="O563" i="1"/>
  <c r="D632" i="1"/>
  <c r="N617" i="1"/>
  <c r="N609" i="1"/>
  <c r="D599" i="1"/>
  <c r="N589" i="1"/>
  <c r="L580" i="1"/>
  <c r="N573" i="1"/>
  <c r="D567" i="1"/>
  <c r="L560" i="1"/>
  <c r="N657" i="1"/>
  <c r="N648" i="1"/>
  <c r="N640" i="1"/>
  <c r="L635" i="1"/>
  <c r="D633" i="1"/>
  <c r="E627" i="1"/>
  <c r="O623" i="1"/>
  <c r="O620" i="1"/>
  <c r="E618" i="1"/>
  <c r="M615" i="1"/>
  <c r="O612" i="1"/>
  <c r="E610" i="1"/>
  <c r="M607" i="1"/>
  <c r="O604" i="1"/>
  <c r="E602" i="1"/>
  <c r="M599" i="1"/>
  <c r="O596" i="1"/>
  <c r="E594" i="1"/>
  <c r="M591" i="1"/>
  <c r="O588" i="1"/>
  <c r="E586" i="1"/>
  <c r="M583" i="1"/>
  <c r="O580" i="1"/>
  <c r="E578" i="1"/>
  <c r="M575" i="1"/>
  <c r="O572" i="1"/>
  <c r="E570" i="1"/>
  <c r="M567" i="1"/>
  <c r="O564" i="1"/>
  <c r="E562" i="1"/>
  <c r="M559" i="1"/>
  <c r="O556" i="1"/>
  <c r="E554" i="1"/>
  <c r="M551" i="1"/>
  <c r="O548" i="1"/>
  <c r="E546" i="1"/>
  <c r="M543" i="1"/>
  <c r="E557" i="1"/>
  <c r="M550" i="1"/>
  <c r="O545" i="1"/>
  <c r="M540" i="1"/>
  <c r="E537" i="1"/>
  <c r="M534" i="1"/>
  <c r="O531" i="1"/>
  <c r="E529" i="1"/>
  <c r="M526" i="1"/>
  <c r="O523" i="1"/>
  <c r="E521" i="1"/>
  <c r="M518" i="1"/>
  <c r="O515" i="1"/>
  <c r="E513" i="1"/>
  <c r="M510" i="1"/>
  <c r="O507" i="1"/>
  <c r="E505" i="1"/>
  <c r="M502" i="1"/>
  <c r="O499" i="1"/>
  <c r="E497" i="1"/>
  <c r="M983" i="1"/>
  <c r="N971" i="1"/>
  <c r="D966" i="1"/>
  <c r="N954" i="1"/>
  <c r="D940" i="1"/>
  <c r="N928" i="1"/>
  <c r="K915" i="1"/>
  <c r="D876" i="1"/>
  <c r="K879" i="1"/>
  <c r="M891" i="1"/>
  <c r="E881" i="1"/>
  <c r="K838" i="1"/>
  <c r="E804" i="1"/>
  <c r="M775" i="1"/>
  <c r="E754" i="1"/>
  <c r="O732" i="1"/>
  <c r="D808" i="1"/>
  <c r="L779" i="1"/>
  <c r="D758" i="1"/>
  <c r="E819" i="1"/>
  <c r="E803" i="1"/>
  <c r="E787" i="1"/>
  <c r="E771" i="1"/>
  <c r="E755" i="1"/>
  <c r="D829" i="1"/>
  <c r="N807" i="1"/>
  <c r="L786" i="1"/>
  <c r="D765" i="1"/>
  <c r="N743" i="1"/>
  <c r="E728" i="1"/>
  <c r="E712" i="1"/>
  <c r="E696" i="1"/>
  <c r="E680" i="1"/>
  <c r="E664" i="1"/>
  <c r="E648" i="1"/>
  <c r="E632" i="1"/>
  <c r="M732" i="1"/>
  <c r="N710" i="1"/>
  <c r="N694" i="1"/>
  <c r="L681" i="1"/>
  <c r="D668" i="1"/>
  <c r="L753" i="1"/>
  <c r="O729" i="1"/>
  <c r="O719" i="1"/>
  <c r="O707" i="1"/>
  <c r="O697" i="1"/>
  <c r="O687" i="1"/>
  <c r="O675" i="1"/>
  <c r="O665" i="1"/>
  <c r="O655" i="1"/>
  <c r="O643" i="1"/>
  <c r="L735" i="1"/>
  <c r="L722" i="1"/>
  <c r="L706" i="1"/>
  <c r="D693" i="1"/>
  <c r="N679" i="1"/>
  <c r="D659" i="1"/>
  <c r="O633" i="1"/>
  <c r="D618" i="1"/>
  <c r="D602" i="1"/>
  <c r="N588" i="1"/>
  <c r="L575" i="1"/>
  <c r="L559" i="1"/>
  <c r="D546" i="1"/>
  <c r="N646" i="1"/>
  <c r="M624" i="1"/>
  <c r="O613" i="1"/>
  <c r="O603" i="1"/>
  <c r="O591" i="1"/>
  <c r="O581" i="1"/>
  <c r="O571" i="1"/>
  <c r="D649" i="1"/>
  <c r="N628" i="1"/>
  <c r="L616" i="1"/>
  <c r="N605" i="1"/>
  <c r="L596" i="1"/>
  <c r="L588" i="1"/>
  <c r="D579" i="1"/>
  <c r="L572" i="1"/>
  <c r="L564" i="1"/>
  <c r="N559" i="1"/>
  <c r="L654" i="1"/>
  <c r="L645" i="1"/>
  <c r="D640" i="1"/>
  <c r="E635" i="1"/>
  <c r="N630" i="1"/>
  <c r="L626" i="1"/>
  <c r="O622" i="1"/>
  <c r="E620" i="1"/>
  <c r="M617" i="1"/>
  <c r="O614" i="1"/>
  <c r="E612" i="1"/>
  <c r="M609" i="1"/>
  <c r="O606" i="1"/>
  <c r="E604" i="1"/>
  <c r="M601" i="1"/>
  <c r="O598" i="1"/>
  <c r="E596" i="1"/>
  <c r="M593" i="1"/>
  <c r="O590" i="1"/>
  <c r="E588" i="1"/>
  <c r="M585" i="1"/>
  <c r="O582" i="1"/>
  <c r="E580" i="1"/>
  <c r="M577" i="1"/>
  <c r="O574" i="1"/>
  <c r="E572" i="1"/>
  <c r="M569" i="1"/>
  <c r="O566" i="1"/>
  <c r="E564" i="1"/>
  <c r="M561" i="1"/>
  <c r="O558" i="1"/>
  <c r="E556" i="1"/>
  <c r="M553" i="1"/>
  <c r="O550" i="1"/>
  <c r="E548" i="1"/>
  <c r="M545" i="1"/>
  <c r="K563" i="1"/>
  <c r="M554" i="1"/>
  <c r="O549" i="1"/>
  <c r="E545" i="1"/>
  <c r="E539" i="1"/>
  <c r="M536" i="1"/>
  <c r="O533" i="1"/>
  <c r="E531" i="1"/>
  <c r="M528" i="1"/>
  <c r="O525" i="1"/>
  <c r="E964" i="1"/>
  <c r="N939" i="1"/>
  <c r="O916" i="1"/>
  <c r="M904" i="1"/>
  <c r="E869" i="1"/>
  <c r="K870" i="1"/>
  <c r="E796" i="1"/>
  <c r="O748" i="1"/>
  <c r="N800" i="1"/>
  <c r="N833" i="1"/>
  <c r="E799" i="1"/>
  <c r="E767" i="1"/>
  <c r="N823" i="1"/>
  <c r="D781" i="1"/>
  <c r="L738" i="1"/>
  <c r="E708" i="1"/>
  <c r="E676" i="1"/>
  <c r="E644" i="1"/>
  <c r="N726" i="1"/>
  <c r="D692" i="1"/>
  <c r="N662" i="1"/>
  <c r="O727" i="1"/>
  <c r="O705" i="1"/>
  <c r="O683" i="1"/>
  <c r="O663" i="1"/>
  <c r="O641" i="1"/>
  <c r="D717" i="1"/>
  <c r="L690" i="1"/>
  <c r="D651" i="1"/>
  <c r="N612" i="1"/>
  <c r="D586" i="1"/>
  <c r="N556" i="1"/>
  <c r="D638" i="1"/>
  <c r="O611" i="1"/>
  <c r="O589" i="1"/>
  <c r="O567" i="1"/>
  <c r="E625" i="1"/>
  <c r="L604" i="1"/>
  <c r="L584" i="1"/>
  <c r="N569" i="1"/>
  <c r="D559" i="1"/>
  <c r="N644" i="1"/>
  <c r="D634" i="1"/>
  <c r="D626" i="1"/>
  <c r="M619" i="1"/>
  <c r="E614" i="1"/>
  <c r="O608" i="1"/>
  <c r="M603" i="1"/>
  <c r="E598" i="1"/>
  <c r="O592" i="1"/>
  <c r="M587" i="1"/>
  <c r="E582" i="1"/>
  <c r="O576" i="1"/>
  <c r="M571" i="1"/>
  <c r="E566" i="1"/>
  <c r="O560" i="1"/>
  <c r="M555" i="1"/>
  <c r="E550" i="1"/>
  <c r="O544" i="1"/>
  <c r="O553" i="1"/>
  <c r="O542" i="1"/>
  <c r="O535" i="1"/>
  <c r="M530" i="1"/>
  <c r="E525" i="1"/>
  <c r="O521" i="1"/>
  <c r="O517" i="1"/>
  <c r="M514" i="1"/>
  <c r="E511" i="1"/>
  <c r="E507" i="1"/>
  <c r="O503" i="1"/>
  <c r="M500" i="1"/>
  <c r="M496" i="1"/>
  <c r="O493" i="1"/>
  <c r="E491" i="1"/>
  <c r="M488" i="1"/>
  <c r="O485" i="1"/>
  <c r="E483" i="1"/>
  <c r="M480" i="1"/>
  <c r="O477" i="1"/>
  <c r="E475" i="1"/>
  <c r="M472" i="1"/>
  <c r="O469" i="1"/>
  <c r="E467" i="1"/>
  <c r="M464" i="1"/>
  <c r="O461" i="1"/>
  <c r="E459" i="1"/>
  <c r="M456" i="1"/>
  <c r="O453" i="1"/>
  <c r="E451" i="1"/>
  <c r="M448" i="1"/>
  <c r="O445" i="1"/>
  <c r="E443" i="1"/>
  <c r="M440" i="1"/>
  <c r="O437" i="1"/>
  <c r="E435" i="1"/>
  <c r="M432" i="1"/>
  <c r="O429" i="1"/>
  <c r="E427" i="1"/>
  <c r="M424" i="1"/>
  <c r="O421" i="1"/>
  <c r="E419" i="1"/>
  <c r="M416" i="1"/>
  <c r="K561" i="1"/>
  <c r="N553" i="1"/>
  <c r="L546" i="1"/>
  <c r="E541" i="1"/>
  <c r="N537" i="1"/>
  <c r="L534" i="1"/>
  <c r="D531" i="1"/>
  <c r="D527" i="1"/>
  <c r="N523" i="1"/>
  <c r="L520" i="1"/>
  <c r="L516" i="1"/>
  <c r="D513" i="1"/>
  <c r="N509" i="1"/>
  <c r="N505" i="1"/>
  <c r="L502" i="1"/>
  <c r="D499" i="1"/>
  <c r="D495" i="1"/>
  <c r="N491" i="1"/>
  <c r="L488" i="1"/>
  <c r="L484" i="1"/>
  <c r="D481" i="1"/>
  <c r="N477" i="1"/>
  <c r="N473" i="1"/>
  <c r="L470" i="1"/>
  <c r="D467" i="1"/>
  <c r="D463" i="1"/>
  <c r="N459" i="1"/>
  <c r="L456" i="1"/>
  <c r="L452" i="1"/>
  <c r="M562" i="1"/>
  <c r="O555" i="1"/>
  <c r="K549" i="1"/>
  <c r="M544" i="1"/>
  <c r="K541" i="1"/>
  <c r="E538" i="1"/>
  <c r="M535" i="1"/>
  <c r="O532" i="1"/>
  <c r="E530" i="1"/>
  <c r="M527" i="1"/>
  <c r="O524" i="1"/>
  <c r="E522" i="1"/>
  <c r="M519" i="1"/>
  <c r="O516" i="1"/>
  <c r="E514" i="1"/>
  <c r="M511" i="1"/>
  <c r="O508" i="1"/>
  <c r="E506" i="1"/>
  <c r="M503" i="1"/>
  <c r="O500" i="1"/>
  <c r="E498" i="1"/>
  <c r="M495" i="1"/>
  <c r="O492" i="1"/>
  <c r="E490" i="1"/>
  <c r="M487" i="1"/>
  <c r="O484" i="1"/>
  <c r="E482" i="1"/>
  <c r="M479" i="1"/>
  <c r="O476" i="1"/>
  <c r="E474" i="1"/>
  <c r="M471" i="1"/>
  <c r="O468" i="1"/>
  <c r="E466" i="1"/>
  <c r="M463" i="1"/>
  <c r="O460" i="1"/>
  <c r="E458" i="1"/>
  <c r="M455" i="1"/>
  <c r="O452" i="1"/>
  <c r="E450" i="1"/>
  <c r="M447" i="1"/>
  <c r="O444" i="1"/>
  <c r="E442" i="1"/>
  <c r="M439" i="1"/>
  <c r="O436" i="1"/>
  <c r="M560" i="1"/>
  <c r="L552" i="1"/>
  <c r="D547" i="1"/>
  <c r="O540" i="1"/>
  <c r="N536" i="1"/>
  <c r="L533" i="1"/>
  <c r="L529" i="1"/>
  <c r="D526" i="1"/>
  <c r="N522" i="1"/>
  <c r="N518" i="1"/>
  <c r="L515" i="1"/>
  <c r="D512" i="1"/>
  <c r="D508" i="1"/>
  <c r="N504" i="1"/>
  <c r="L501" i="1"/>
  <c r="L497" i="1"/>
  <c r="D494" i="1"/>
  <c r="N490" i="1"/>
  <c r="N486" i="1"/>
  <c r="L483" i="1"/>
  <c r="D480" i="1"/>
  <c r="D476" i="1"/>
  <c r="N472" i="1"/>
  <c r="L469" i="1"/>
  <c r="L465" i="1"/>
  <c r="D462" i="1"/>
  <c r="N458" i="1"/>
  <c r="N454" i="1"/>
  <c r="L451" i="1"/>
  <c r="D448" i="1"/>
  <c r="D444" i="1"/>
  <c r="L441" i="1"/>
  <c r="N438" i="1"/>
  <c r="D436" i="1"/>
  <c r="L433" i="1"/>
  <c r="N430" i="1"/>
  <c r="L442" i="1"/>
  <c r="M433" i="1"/>
  <c r="M429" i="1"/>
  <c r="D427" i="1"/>
  <c r="N423" i="1"/>
  <c r="E420" i="1"/>
  <c r="D418" i="1"/>
  <c r="D414" i="1"/>
  <c r="L411" i="1"/>
  <c r="N408" i="1"/>
  <c r="D406" i="1"/>
  <c r="L403" i="1"/>
  <c r="N400" i="1"/>
  <c r="D398" i="1"/>
  <c r="L395" i="1"/>
  <c r="N392" i="1"/>
  <c r="D390" i="1"/>
  <c r="L387" i="1"/>
  <c r="N384" i="1"/>
  <c r="D382" i="1"/>
  <c r="L379" i="1"/>
  <c r="N376" i="1"/>
  <c r="D374" i="1"/>
  <c r="L371" i="1"/>
  <c r="N368" i="1"/>
  <c r="D366" i="1"/>
  <c r="L363" i="1"/>
  <c r="N360" i="1"/>
  <c r="D358" i="1"/>
  <c r="L355" i="1"/>
  <c r="N352" i="1"/>
  <c r="D350" i="1"/>
  <c r="L347" i="1"/>
  <c r="N344" i="1"/>
  <c r="D342" i="1"/>
  <c r="L339" i="1"/>
  <c r="N336" i="1"/>
  <c r="D334" i="1"/>
  <c r="L331" i="1"/>
  <c r="N328" i="1"/>
  <c r="D326" i="1"/>
  <c r="L323" i="1"/>
  <c r="N320" i="1"/>
  <c r="D318" i="1"/>
  <c r="L315" i="1"/>
  <c r="N312" i="1"/>
  <c r="D310" i="1"/>
  <c r="L307" i="1"/>
  <c r="N304" i="1"/>
  <c r="D302" i="1"/>
  <c r="L299" i="1"/>
  <c r="N296" i="1"/>
  <c r="D294" i="1"/>
  <c r="L291" i="1"/>
  <c r="N288" i="1"/>
  <c r="D286" i="1"/>
  <c r="L283" i="1"/>
  <c r="N280" i="1"/>
  <c r="D278" i="1"/>
  <c r="L275" i="1"/>
  <c r="N272" i="1"/>
  <c r="D270" i="1"/>
  <c r="L267" i="1"/>
  <c r="N264" i="1"/>
  <c r="D262" i="1"/>
  <c r="L259" i="1"/>
  <c r="N256" i="1"/>
  <c r="D254" i="1"/>
  <c r="L440" i="1"/>
  <c r="N431" i="1"/>
  <c r="K428" i="1"/>
  <c r="N424" i="1"/>
  <c r="L421" i="1"/>
  <c r="O418" i="1"/>
  <c r="M414" i="1"/>
  <c r="M412" i="1"/>
  <c r="M410" i="1"/>
  <c r="M408" i="1"/>
  <c r="M406" i="1"/>
  <c r="M404" i="1"/>
  <c r="M402" i="1"/>
  <c r="M400" i="1"/>
  <c r="M398" i="1"/>
  <c r="M396" i="1"/>
  <c r="M394" i="1"/>
  <c r="M392" i="1"/>
  <c r="M390" i="1"/>
  <c r="M388" i="1"/>
  <c r="M386" i="1"/>
  <c r="M384" i="1"/>
  <c r="M382" i="1"/>
  <c r="M380" i="1"/>
  <c r="M378" i="1"/>
  <c r="M376" i="1"/>
  <c r="M374" i="1"/>
  <c r="M372" i="1"/>
  <c r="M370" i="1"/>
  <c r="M368" i="1"/>
  <c r="M366" i="1"/>
  <c r="M364" i="1"/>
  <c r="M362" i="1"/>
  <c r="M360" i="1"/>
  <c r="M358" i="1"/>
  <c r="M356" i="1"/>
  <c r="M354" i="1"/>
  <c r="M352" i="1"/>
  <c r="M350" i="1"/>
  <c r="M348" i="1"/>
  <c r="M346" i="1"/>
  <c r="M344" i="1"/>
  <c r="M342" i="1"/>
  <c r="M340" i="1"/>
  <c r="M338" i="1"/>
  <c r="M336" i="1"/>
  <c r="L991" i="1"/>
  <c r="E969" i="1"/>
  <c r="K906" i="1"/>
  <c r="O893" i="1"/>
  <c r="O857" i="1"/>
  <c r="E860" i="1"/>
  <c r="E788" i="1"/>
  <c r="M743" i="1"/>
  <c r="D794" i="1"/>
  <c r="E827" i="1"/>
  <c r="E795" i="1"/>
  <c r="E763" i="1"/>
  <c r="L818" i="1"/>
  <c r="N775" i="1"/>
  <c r="D740" i="1"/>
  <c r="E704" i="1"/>
  <c r="E672" i="1"/>
  <c r="E640" i="1"/>
  <c r="L721" i="1"/>
  <c r="L689" i="1"/>
  <c r="D660" i="1"/>
  <c r="O723" i="1"/>
  <c r="O703" i="1"/>
  <c r="O681" i="1"/>
  <c r="O659" i="1"/>
  <c r="O639" i="1"/>
  <c r="L714" i="1"/>
  <c r="D685" i="1"/>
  <c r="L644" i="1"/>
  <c r="D610" i="1"/>
  <c r="N580" i="1"/>
  <c r="D554" i="1"/>
  <c r="N634" i="1"/>
  <c r="O607" i="1"/>
  <c r="O587" i="1"/>
  <c r="O565" i="1"/>
  <c r="L620" i="1"/>
  <c r="N601" i="1"/>
  <c r="D583" i="1"/>
  <c r="L568" i="1"/>
  <c r="D661" i="1"/>
  <c r="D644" i="1"/>
  <c r="K633" i="1"/>
  <c r="D625" i="1"/>
  <c r="O618" i="1"/>
  <c r="M613" i="1"/>
  <c r="E608" i="1"/>
  <c r="O602" i="1"/>
  <c r="M597" i="1"/>
  <c r="E592" i="1"/>
  <c r="O586" i="1"/>
  <c r="M581" i="1"/>
  <c r="E576" i="1"/>
  <c r="O570" i="1"/>
  <c r="M565" i="1"/>
  <c r="E560" i="1"/>
  <c r="O554" i="1"/>
  <c r="M549" i="1"/>
  <c r="E544" i="1"/>
  <c r="E553" i="1"/>
  <c r="N541" i="1"/>
  <c r="E535" i="1"/>
  <c r="O529" i="1"/>
  <c r="M524" i="1"/>
  <c r="M520" i="1"/>
  <c r="E517" i="1"/>
  <c r="O513" i="1"/>
  <c r="O509" i="1"/>
  <c r="M506" i="1"/>
  <c r="E503" i="1"/>
  <c r="E499" i="1"/>
  <c r="O495" i="1"/>
  <c r="E493" i="1"/>
  <c r="M490" i="1"/>
  <c r="O487" i="1"/>
  <c r="E485" i="1"/>
  <c r="M482" i="1"/>
  <c r="O479" i="1"/>
  <c r="E477" i="1"/>
  <c r="M474" i="1"/>
  <c r="O471" i="1"/>
  <c r="E469" i="1"/>
  <c r="M466" i="1"/>
  <c r="O463" i="1"/>
  <c r="E461" i="1"/>
  <c r="M458" i="1"/>
  <c r="O455" i="1"/>
  <c r="E453" i="1"/>
  <c r="M450" i="1"/>
  <c r="O447" i="1"/>
  <c r="E445" i="1"/>
  <c r="M442" i="1"/>
  <c r="O439" i="1"/>
  <c r="E437" i="1"/>
  <c r="M434" i="1"/>
  <c r="O431" i="1"/>
  <c r="E429" i="1"/>
  <c r="M426" i="1"/>
  <c r="O423" i="1"/>
  <c r="E421" i="1"/>
  <c r="M418" i="1"/>
  <c r="O415" i="1"/>
  <c r="L558" i="1"/>
  <c r="D553" i="1"/>
  <c r="N545" i="1"/>
  <c r="E540" i="1"/>
  <c r="D537" i="1"/>
  <c r="N533" i="1"/>
  <c r="N529" i="1"/>
  <c r="L526" i="1"/>
  <c r="D523" i="1"/>
  <c r="D519" i="1"/>
  <c r="N515" i="1"/>
  <c r="L512" i="1"/>
  <c r="L508" i="1"/>
  <c r="D505" i="1"/>
  <c r="N501" i="1"/>
  <c r="N497" i="1"/>
  <c r="L494" i="1"/>
  <c r="D491" i="1"/>
  <c r="D487" i="1"/>
  <c r="N483" i="1"/>
  <c r="L480" i="1"/>
  <c r="L476" i="1"/>
  <c r="D473" i="1"/>
  <c r="N469" i="1"/>
  <c r="N465" i="1"/>
  <c r="L462" i="1"/>
  <c r="D459" i="1"/>
  <c r="D455" i="1"/>
  <c r="N451" i="1"/>
  <c r="E561" i="1"/>
  <c r="K553" i="1"/>
  <c r="M548" i="1"/>
  <c r="O543" i="1"/>
  <c r="K540" i="1"/>
  <c r="M537" i="1"/>
  <c r="O534" i="1"/>
  <c r="E532" i="1"/>
  <c r="M529" i="1"/>
  <c r="O526" i="1"/>
  <c r="E524" i="1"/>
  <c r="M521" i="1"/>
  <c r="O518" i="1"/>
  <c r="E516" i="1"/>
  <c r="M513" i="1"/>
  <c r="O510" i="1"/>
  <c r="E508" i="1"/>
  <c r="M505" i="1"/>
  <c r="O502" i="1"/>
  <c r="E500" i="1"/>
  <c r="M497" i="1"/>
  <c r="O494" i="1"/>
  <c r="E492" i="1"/>
  <c r="M489" i="1"/>
  <c r="O486" i="1"/>
  <c r="E484" i="1"/>
  <c r="M481" i="1"/>
  <c r="O478" i="1"/>
  <c r="E476" i="1"/>
  <c r="M473" i="1"/>
  <c r="O470" i="1"/>
  <c r="E468" i="1"/>
  <c r="M465" i="1"/>
  <c r="O462" i="1"/>
  <c r="E460" i="1"/>
  <c r="M457" i="1"/>
  <c r="O454" i="1"/>
  <c r="E452" i="1"/>
  <c r="M449" i="1"/>
  <c r="O446" i="1"/>
  <c r="E444" i="1"/>
  <c r="M441" i="1"/>
  <c r="O438" i="1"/>
  <c r="E436" i="1"/>
  <c r="E559" i="1"/>
  <c r="N551" i="1"/>
  <c r="N543" i="1"/>
  <c r="N539" i="1"/>
  <c r="D536" i="1"/>
  <c r="D532" i="1"/>
  <c r="N528" i="1"/>
  <c r="L525" i="1"/>
  <c r="L521" i="1"/>
  <c r="D518" i="1"/>
  <c r="N514" i="1"/>
  <c r="N510" i="1"/>
  <c r="L507" i="1"/>
  <c r="D504" i="1"/>
  <c r="D500" i="1"/>
  <c r="N496" i="1"/>
  <c r="L493" i="1"/>
  <c r="L489" i="1"/>
  <c r="D486" i="1"/>
  <c r="N482" i="1"/>
  <c r="N478" i="1"/>
  <c r="L475" i="1"/>
  <c r="D472" i="1"/>
  <c r="D468" i="1"/>
  <c r="N464" i="1"/>
  <c r="L461" i="1"/>
  <c r="L457" i="1"/>
  <c r="D454" i="1"/>
  <c r="N450" i="1"/>
  <c r="N446" i="1"/>
  <c r="L443" i="1"/>
  <c r="N440" i="1"/>
  <c r="D438" i="1"/>
  <c r="L435" i="1"/>
  <c r="N432" i="1"/>
  <c r="D430" i="1"/>
  <c r="D441" i="1"/>
  <c r="O432" i="1"/>
  <c r="L428" i="1"/>
  <c r="K426" i="1"/>
  <c r="N422" i="1"/>
  <c r="L419" i="1"/>
  <c r="O416" i="1"/>
  <c r="L413" i="1"/>
  <c r="N410" i="1"/>
  <c r="D408" i="1"/>
  <c r="L405" i="1"/>
  <c r="N402" i="1"/>
  <c r="D400" i="1"/>
  <c r="L397" i="1"/>
  <c r="N394" i="1"/>
  <c r="D392" i="1"/>
  <c r="L389" i="1"/>
  <c r="N386" i="1"/>
  <c r="D384" i="1"/>
  <c r="L381" i="1"/>
  <c r="N378" i="1"/>
  <c r="D376" i="1"/>
  <c r="L373" i="1"/>
  <c r="N370" i="1"/>
  <c r="D368" i="1"/>
  <c r="L365" i="1"/>
  <c r="N362" i="1"/>
  <c r="D360" i="1"/>
  <c r="L357" i="1"/>
  <c r="N354" i="1"/>
  <c r="D352" i="1"/>
  <c r="L349" i="1"/>
  <c r="N346" i="1"/>
  <c r="D344" i="1"/>
  <c r="L341" i="1"/>
  <c r="N338" i="1"/>
  <c r="D336" i="1"/>
  <c r="L333" i="1"/>
  <c r="N330" i="1"/>
  <c r="D328" i="1"/>
  <c r="L325" i="1"/>
  <c r="N322" i="1"/>
  <c r="D320" i="1"/>
  <c r="L317" i="1"/>
  <c r="N960" i="1"/>
  <c r="N912" i="1"/>
  <c r="D873" i="1"/>
  <c r="E770" i="1"/>
  <c r="D774" i="1"/>
  <c r="E783" i="1"/>
  <c r="L802" i="1"/>
  <c r="E724" i="1"/>
  <c r="E660" i="1"/>
  <c r="L705" i="1"/>
  <c r="D744" i="1"/>
  <c r="O695" i="1"/>
  <c r="O651" i="1"/>
  <c r="N703" i="1"/>
  <c r="L629" i="1"/>
  <c r="D570" i="1"/>
  <c r="O621" i="1"/>
  <c r="O579" i="1"/>
  <c r="L612" i="1"/>
  <c r="N577" i="1"/>
  <c r="D652" i="1"/>
  <c r="N629" i="1"/>
  <c r="O616" i="1"/>
  <c r="E606" i="1"/>
  <c r="M595" i="1"/>
  <c r="O584" i="1"/>
  <c r="E574" i="1"/>
  <c r="M563" i="1"/>
  <c r="O552" i="1"/>
  <c r="M558" i="1"/>
  <c r="M538" i="1"/>
  <c r="O527" i="1"/>
  <c r="O519" i="1"/>
  <c r="M512" i="1"/>
  <c r="O505" i="1"/>
  <c r="M498" i="1"/>
  <c r="M492" i="1"/>
  <c r="E487" i="1"/>
  <c r="O481" i="1"/>
  <c r="M476" i="1"/>
  <c r="E471" i="1"/>
  <c r="O465" i="1"/>
  <c r="M460" i="1"/>
  <c r="E455" i="1"/>
  <c r="O449" i="1"/>
  <c r="M444" i="1"/>
  <c r="E439" i="1"/>
  <c r="O433" i="1"/>
  <c r="M428" i="1"/>
  <c r="E423" i="1"/>
  <c r="O417" i="1"/>
  <c r="N557" i="1"/>
  <c r="M542" i="1"/>
  <c r="L536" i="1"/>
  <c r="D529" i="1"/>
  <c r="N521" i="1"/>
  <c r="D515" i="1"/>
  <c r="N507" i="1"/>
  <c r="L500" i="1"/>
  <c r="N493" i="1"/>
  <c r="L486" i="1"/>
  <c r="D479" i="1"/>
  <c r="L472" i="1"/>
  <c r="D465" i="1"/>
  <c r="N457" i="1"/>
  <c r="D451" i="1"/>
  <c r="M552" i="1"/>
  <c r="L542" i="1"/>
  <c r="O536" i="1"/>
  <c r="M531" i="1"/>
  <c r="E526" i="1"/>
  <c r="O520" i="1"/>
  <c r="M515" i="1"/>
  <c r="E510" i="1"/>
  <c r="O504" i="1"/>
  <c r="M499" i="1"/>
  <c r="E494" i="1"/>
  <c r="O488" i="1"/>
  <c r="M483" i="1"/>
  <c r="E478" i="1"/>
  <c r="O472" i="1"/>
  <c r="M467" i="1"/>
  <c r="E462" i="1"/>
  <c r="O456" i="1"/>
  <c r="M451" i="1"/>
  <c r="E446" i="1"/>
  <c r="O440" i="1"/>
  <c r="M435" i="1"/>
  <c r="L548" i="1"/>
  <c r="N538" i="1"/>
  <c r="L531" i="1"/>
  <c r="D524" i="1"/>
  <c r="L517" i="1"/>
  <c r="D510" i="1"/>
  <c r="N502" i="1"/>
  <c r="D496" i="1"/>
  <c r="N488" i="1"/>
  <c r="L481" i="1"/>
  <c r="N474" i="1"/>
  <c r="L467" i="1"/>
  <c r="D460" i="1"/>
  <c r="L453" i="1"/>
  <c r="D446" i="1"/>
  <c r="D440" i="1"/>
  <c r="N434" i="1"/>
  <c r="D449" i="1"/>
  <c r="E432" i="1"/>
  <c r="D426" i="1"/>
  <c r="D419" i="1"/>
  <c r="N412" i="1"/>
  <c r="L407" i="1"/>
  <c r="D402" i="1"/>
  <c r="N396" i="1"/>
  <c r="L391" i="1"/>
  <c r="D386" i="1"/>
  <c r="N380" i="1"/>
  <c r="L375" i="1"/>
  <c r="D370" i="1"/>
  <c r="N364" i="1"/>
  <c r="L359" i="1"/>
  <c r="D354" i="1"/>
  <c r="N348" i="1"/>
  <c r="L343" i="1"/>
  <c r="D338" i="1"/>
  <c r="N332" i="1"/>
  <c r="L327" i="1"/>
  <c r="D322" i="1"/>
  <c r="N316" i="1"/>
  <c r="L313" i="1"/>
  <c r="L309" i="1"/>
  <c r="D306" i="1"/>
  <c r="N302" i="1"/>
  <c r="N298" i="1"/>
  <c r="L295" i="1"/>
  <c r="D292" i="1"/>
  <c r="D288" i="1"/>
  <c r="N284" i="1"/>
  <c r="L281" i="1"/>
  <c r="L277" i="1"/>
  <c r="D274" i="1"/>
  <c r="N270" i="1"/>
  <c r="N266" i="1"/>
  <c r="L263" i="1"/>
  <c r="D260" i="1"/>
  <c r="D256" i="1"/>
  <c r="D447" i="1"/>
  <c r="L432" i="1"/>
  <c r="L914" i="1"/>
  <c r="D848" i="1"/>
  <c r="K820" i="1"/>
  <c r="D822" i="1"/>
  <c r="E811" i="1"/>
  <c r="E747" i="1"/>
  <c r="L754" i="1"/>
  <c r="E688" i="1"/>
  <c r="E624" i="1"/>
  <c r="L673" i="1"/>
  <c r="O713" i="1"/>
  <c r="O671" i="1"/>
  <c r="N727" i="1"/>
  <c r="N671" i="1"/>
  <c r="N596" i="1"/>
  <c r="N661" i="1"/>
  <c r="O597" i="1"/>
  <c r="D639" i="1"/>
  <c r="D591" i="1"/>
  <c r="N561" i="1"/>
  <c r="M636" i="1"/>
  <c r="M621" i="1"/>
  <c r="O610" i="1"/>
  <c r="E600" i="1"/>
  <c r="M589" i="1"/>
  <c r="O578" i="1"/>
  <c r="E568" i="1"/>
  <c r="M557" i="1"/>
  <c r="O546" i="1"/>
  <c r="M546" i="1"/>
  <c r="M532" i="1"/>
  <c r="M522" i="1"/>
  <c r="E515" i="1"/>
  <c r="M508" i="1"/>
  <c r="E501" i="1"/>
  <c r="M494" i="1"/>
  <c r="E489" i="1"/>
  <c r="O483" i="1"/>
  <c r="M478" i="1"/>
  <c r="E473" i="1"/>
  <c r="O467" i="1"/>
  <c r="M462" i="1"/>
  <c r="E457" i="1"/>
  <c r="O451" i="1"/>
  <c r="M446" i="1"/>
  <c r="E441" i="1"/>
  <c r="O435" i="1"/>
  <c r="M430" i="1"/>
  <c r="E425" i="1"/>
  <c r="O419" i="1"/>
  <c r="E563" i="1"/>
  <c r="D549" i="1"/>
  <c r="D539" i="1"/>
  <c r="N531" i="1"/>
  <c r="L524" i="1"/>
  <c r="N517" i="1"/>
  <c r="L510" i="1"/>
  <c r="D503" i="1"/>
  <c r="L496" i="1"/>
  <c r="D489" i="1"/>
  <c r="N481" i="1"/>
  <c r="D475" i="1"/>
  <c r="N467" i="1"/>
  <c r="L460" i="1"/>
  <c r="N453" i="1"/>
  <c r="M556" i="1"/>
  <c r="K545" i="1"/>
  <c r="O538" i="1"/>
  <c r="M533" i="1"/>
  <c r="E528" i="1"/>
  <c r="O522" i="1"/>
  <c r="M517" i="1"/>
  <c r="E512" i="1"/>
  <c r="O506" i="1"/>
  <c r="M501" i="1"/>
  <c r="E496" i="1"/>
  <c r="O490" i="1"/>
  <c r="M485" i="1"/>
  <c r="E480" i="1"/>
  <c r="O474" i="1"/>
  <c r="M469" i="1"/>
  <c r="E464" i="1"/>
  <c r="O458" i="1"/>
  <c r="M453" i="1"/>
  <c r="E448" i="1"/>
  <c r="O442" i="1"/>
  <c r="M437" i="1"/>
  <c r="D555" i="1"/>
  <c r="K542" i="1"/>
  <c r="D534" i="1"/>
  <c r="N526" i="1"/>
  <c r="D520" i="1"/>
  <c r="N512" i="1"/>
  <c r="L505" i="1"/>
  <c r="N498" i="1"/>
  <c r="L491" i="1"/>
  <c r="D484" i="1"/>
  <c r="L477" i="1"/>
  <c r="D470" i="1"/>
  <c r="N462" i="1"/>
  <c r="D456" i="1"/>
  <c r="N448" i="1"/>
  <c r="D442" i="1"/>
  <c r="N436" i="1"/>
  <c r="L431" i="1"/>
  <c r="L434" i="1"/>
  <c r="L427" i="1"/>
  <c r="L420" i="1"/>
  <c r="N414" i="1"/>
  <c r="L409" i="1"/>
  <c r="D404" i="1"/>
  <c r="N398" i="1"/>
  <c r="L393" i="1"/>
  <c r="D388" i="1"/>
  <c r="N382" i="1"/>
  <c r="L377" i="1"/>
  <c r="D372" i="1"/>
  <c r="N366" i="1"/>
  <c r="L361" i="1"/>
  <c r="D356" i="1"/>
  <c r="N350" i="1"/>
  <c r="L345" i="1"/>
  <c r="D340" i="1"/>
  <c r="N334" i="1"/>
  <c r="L329" i="1"/>
  <c r="D324" i="1"/>
  <c r="N318" i="1"/>
  <c r="D314" i="1"/>
  <c r="N310" i="1"/>
  <c r="N306" i="1"/>
  <c r="L303" i="1"/>
  <c r="D300" i="1"/>
  <c r="D296" i="1"/>
  <c r="N292" i="1"/>
  <c r="L289" i="1"/>
  <c r="L285" i="1"/>
  <c r="D282" i="1"/>
  <c r="N278" i="1"/>
  <c r="N274" i="1"/>
  <c r="L271" i="1"/>
  <c r="D268" i="1"/>
  <c r="D264" i="1"/>
  <c r="N260" i="1"/>
  <c r="L257" i="1"/>
  <c r="L448" i="1"/>
  <c r="N435" i="1"/>
  <c r="D429" i="1"/>
  <c r="M423" i="1"/>
  <c r="K420" i="1"/>
  <c r="M415" i="1"/>
  <c r="O411" i="1"/>
  <c r="K409" i="1"/>
  <c r="E407" i="1"/>
  <c r="O403" i="1"/>
  <c r="K401" i="1"/>
  <c r="E399" i="1"/>
  <c r="O395" i="1"/>
  <c r="K393" i="1"/>
  <c r="E391" i="1"/>
  <c r="O387" i="1"/>
  <c r="K385" i="1"/>
  <c r="E383" i="1"/>
  <c r="O379" i="1"/>
  <c r="K377" i="1"/>
  <c r="E375" i="1"/>
  <c r="O371" i="1"/>
  <c r="K369" i="1"/>
  <c r="E367" i="1"/>
  <c r="O363" i="1"/>
  <c r="K361" i="1"/>
  <c r="E359" i="1"/>
  <c r="O355" i="1"/>
  <c r="K353" i="1"/>
  <c r="E351" i="1"/>
  <c r="O347" i="1"/>
  <c r="K345" i="1"/>
  <c r="E343" i="1"/>
  <c r="O339" i="1"/>
  <c r="K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299" i="1"/>
  <c r="E297" i="1"/>
  <c r="E295" i="1"/>
  <c r="E293" i="1"/>
  <c r="E291" i="1"/>
  <c r="E289" i="1"/>
  <c r="E287" i="1"/>
  <c r="E285" i="1"/>
  <c r="E283" i="1"/>
  <c r="E281" i="1"/>
  <c r="E279" i="1"/>
  <c r="E277" i="1"/>
  <c r="E275" i="1"/>
  <c r="E273" i="1"/>
  <c r="L446" i="1"/>
  <c r="D437" i="1"/>
  <c r="O430" i="1"/>
  <c r="N426" i="1"/>
  <c r="L423" i="1"/>
  <c r="O420" i="1"/>
  <c r="L416" i="1"/>
  <c r="L414" i="1"/>
  <c r="N411" i="1"/>
  <c r="D409" i="1"/>
  <c r="L406" i="1"/>
  <c r="N403" i="1"/>
  <c r="D401" i="1"/>
  <c r="L398" i="1"/>
  <c r="N395" i="1"/>
  <c r="D393" i="1"/>
  <c r="L390" i="1"/>
  <c r="N387" i="1"/>
  <c r="D385" i="1"/>
  <c r="L382" i="1"/>
  <c r="N379" i="1"/>
  <c r="D377" i="1"/>
  <c r="L374" i="1"/>
  <c r="N371" i="1"/>
  <c r="D369" i="1"/>
  <c r="L366" i="1"/>
  <c r="N363" i="1"/>
  <c r="D361" i="1"/>
  <c r="L358" i="1"/>
  <c r="N355" i="1"/>
  <c r="D353" i="1"/>
  <c r="L350" i="1"/>
  <c r="N347" i="1"/>
  <c r="D345" i="1"/>
  <c r="L342" i="1"/>
  <c r="N339" i="1"/>
  <c r="D337" i="1"/>
  <c r="L334" i="1"/>
  <c r="N331" i="1"/>
  <c r="D329" i="1"/>
  <c r="L326" i="1"/>
  <c r="N323" i="1"/>
  <c r="D321" i="1"/>
  <c r="L318" i="1"/>
  <c r="O941" i="1"/>
  <c r="D859" i="1"/>
  <c r="N768" i="1"/>
  <c r="D797" i="1"/>
  <c r="E656" i="1"/>
  <c r="N738" i="1"/>
  <c r="O649" i="1"/>
  <c r="N623" i="1"/>
  <c r="O619" i="1"/>
  <c r="D611" i="1"/>
  <c r="L649" i="1"/>
  <c r="E616" i="1"/>
  <c r="O594" i="1"/>
  <c r="M573" i="1"/>
  <c r="E552" i="1"/>
  <c r="O537" i="1"/>
  <c r="E519" i="1"/>
  <c r="M504" i="1"/>
  <c r="O491" i="1"/>
  <c r="E481" i="1"/>
  <c r="M470" i="1"/>
  <c r="O459" i="1"/>
  <c r="E449" i="1"/>
  <c r="M438" i="1"/>
  <c r="O427" i="1"/>
  <c r="E417" i="1"/>
  <c r="M541" i="1"/>
  <c r="L528" i="1"/>
  <c r="N513" i="1"/>
  <c r="N499" i="1"/>
  <c r="N485" i="1"/>
  <c r="D471" i="1"/>
  <c r="D457" i="1"/>
  <c r="O551" i="1"/>
  <c r="E536" i="1"/>
  <c r="M525" i="1"/>
  <c r="O514" i="1"/>
  <c r="E504" i="1"/>
  <c r="M493" i="1"/>
  <c r="O482" i="1"/>
  <c r="E472" i="1"/>
  <c r="M461" i="1"/>
  <c r="O450" i="1"/>
  <c r="E440" i="1"/>
  <c r="N547" i="1"/>
  <c r="N530" i="1"/>
  <c r="D516" i="1"/>
  <c r="D502" i="1"/>
  <c r="D488" i="1"/>
  <c r="L473" i="1"/>
  <c r="L459" i="1"/>
  <c r="L445" i="1"/>
  <c r="D434" i="1"/>
  <c r="K430" i="1"/>
  <c r="K418" i="1"/>
  <c r="N406" i="1"/>
  <c r="D396" i="1"/>
  <c r="L385" i="1"/>
  <c r="N374" i="1"/>
  <c r="D364" i="1"/>
  <c r="L353" i="1"/>
  <c r="N342" i="1"/>
  <c r="D332" i="1"/>
  <c r="L321" i="1"/>
  <c r="D312" i="1"/>
  <c r="L305" i="1"/>
  <c r="D298" i="1"/>
  <c r="N290" i="1"/>
  <c r="D284" i="1"/>
  <c r="N276" i="1"/>
  <c r="L269" i="1"/>
  <c r="N262" i="1"/>
  <c r="L255" i="1"/>
  <c r="D431" i="1"/>
  <c r="N425" i="1"/>
  <c r="D420" i="1"/>
  <c r="K413" i="1"/>
  <c r="O409" i="1"/>
  <c r="O405" i="1"/>
  <c r="E403" i="1"/>
  <c r="K399" i="1"/>
  <c r="K395" i="1"/>
  <c r="O391" i="1"/>
  <c r="E389" i="1"/>
  <c r="E385" i="1"/>
  <c r="K381" i="1"/>
  <c r="O377" i="1"/>
  <c r="O373" i="1"/>
  <c r="E371" i="1"/>
  <c r="K367" i="1"/>
  <c r="K363" i="1"/>
  <c r="O359" i="1"/>
  <c r="E357" i="1"/>
  <c r="E353" i="1"/>
  <c r="K349" i="1"/>
  <c r="O345" i="1"/>
  <c r="O341" i="1"/>
  <c r="E339" i="1"/>
  <c r="K335" i="1"/>
  <c r="M332" i="1"/>
  <c r="O329" i="1"/>
  <c r="K327" i="1"/>
  <c r="M324" i="1"/>
  <c r="O321" i="1"/>
  <c r="K319" i="1"/>
  <c r="M316" i="1"/>
  <c r="O313" i="1"/>
  <c r="K311" i="1"/>
  <c r="M308" i="1"/>
  <c r="O305" i="1"/>
  <c r="K303" i="1"/>
  <c r="M300" i="1"/>
  <c r="O297" i="1"/>
  <c r="K295" i="1"/>
  <c r="M292" i="1"/>
  <c r="O289" i="1"/>
  <c r="K287" i="1"/>
  <c r="M284" i="1"/>
  <c r="O281" i="1"/>
  <c r="K279" i="1"/>
  <c r="M276" i="1"/>
  <c r="O273" i="1"/>
  <c r="K271" i="1"/>
  <c r="E434" i="1"/>
  <c r="O428" i="1"/>
  <c r="E424" i="1"/>
  <c r="N419" i="1"/>
  <c r="L415" i="1"/>
  <c r="L412" i="1"/>
  <c r="L408" i="1"/>
  <c r="D405" i="1"/>
  <c r="N401" i="1"/>
  <c r="N397" i="1"/>
  <c r="L394" i="1"/>
  <c r="D391" i="1"/>
  <c r="D387" i="1"/>
  <c r="N383" i="1"/>
  <c r="L380" i="1"/>
  <c r="L376" i="1"/>
  <c r="D373" i="1"/>
  <c r="N369" i="1"/>
  <c r="N365" i="1"/>
  <c r="L362" i="1"/>
  <c r="D359" i="1"/>
  <c r="D355" i="1"/>
  <c r="N351" i="1"/>
  <c r="L348" i="1"/>
  <c r="L344" i="1"/>
  <c r="D341" i="1"/>
  <c r="N337" i="1"/>
  <c r="N333" i="1"/>
  <c r="L330" i="1"/>
  <c r="D327" i="1"/>
  <c r="D323" i="1"/>
  <c r="N319" i="1"/>
  <c r="L316" i="1"/>
  <c r="N313" i="1"/>
  <c r="D311" i="1"/>
  <c r="L308" i="1"/>
  <c r="N305" i="1"/>
  <c r="D303" i="1"/>
  <c r="L300" i="1"/>
  <c r="N297" i="1"/>
  <c r="D295" i="1"/>
  <c r="L292" i="1"/>
  <c r="N289" i="1"/>
  <c r="D287" i="1"/>
  <c r="L284" i="1"/>
  <c r="N281" i="1"/>
  <c r="D279" i="1"/>
  <c r="L276" i="1"/>
  <c r="N273" i="1"/>
  <c r="D271" i="1"/>
  <c r="L268" i="1"/>
  <c r="N265" i="1"/>
  <c r="D263" i="1"/>
  <c r="L260" i="1"/>
  <c r="N257" i="1"/>
  <c r="D255" i="1"/>
  <c r="L252" i="1"/>
  <c r="N249" i="1"/>
  <c r="D247" i="1"/>
  <c r="L244" i="1"/>
  <c r="D443" i="1"/>
  <c r="N433" i="1"/>
  <c r="N428" i="1"/>
  <c r="L425" i="1"/>
  <c r="O422" i="1"/>
  <c r="L418" i="1"/>
  <c r="K416" i="1"/>
  <c r="E414" i="1"/>
  <c r="E412" i="1"/>
  <c r="E410" i="1"/>
  <c r="E408" i="1"/>
  <c r="E406" i="1"/>
  <c r="E404" i="1"/>
  <c r="E402" i="1"/>
  <c r="E400" i="1"/>
  <c r="E398" i="1"/>
  <c r="E396" i="1"/>
  <c r="E394" i="1"/>
  <c r="E392" i="1"/>
  <c r="E390" i="1"/>
  <c r="E388" i="1"/>
  <c r="E386" i="1"/>
  <c r="E384" i="1"/>
  <c r="E382" i="1"/>
  <c r="E380" i="1"/>
  <c r="E378" i="1"/>
  <c r="E376" i="1"/>
  <c r="E374" i="1"/>
  <c r="E372" i="1"/>
  <c r="E370" i="1"/>
  <c r="E368" i="1"/>
  <c r="E366" i="1"/>
  <c r="D898" i="1"/>
  <c r="O764" i="1"/>
  <c r="E779" i="1"/>
  <c r="E720" i="1"/>
  <c r="N702" i="1"/>
  <c r="O691" i="1"/>
  <c r="D701" i="1"/>
  <c r="L567" i="1"/>
  <c r="O575" i="1"/>
  <c r="D575" i="1"/>
  <c r="M628" i="1"/>
  <c r="M605" i="1"/>
  <c r="E584" i="1"/>
  <c r="O562" i="1"/>
  <c r="O557" i="1"/>
  <c r="E527" i="1"/>
  <c r="O511" i="1"/>
  <c r="O497" i="1"/>
  <c r="M486" i="1"/>
  <c r="O475" i="1"/>
  <c r="E465" i="1"/>
  <c r="M454" i="1"/>
  <c r="O443" i="1"/>
  <c r="E433" i="1"/>
  <c r="M422" i="1"/>
  <c r="D557" i="1"/>
  <c r="D535" i="1"/>
  <c r="D521" i="1"/>
  <c r="D507" i="1"/>
  <c r="L492" i="1"/>
  <c r="L478" i="1"/>
  <c r="L464" i="1"/>
  <c r="N449" i="1"/>
  <c r="E542" i="1"/>
  <c r="O530" i="1"/>
  <c r="E520" i="1"/>
  <c r="M509" i="1"/>
  <c r="O498" i="1"/>
  <c r="E488" i="1"/>
  <c r="M477" i="1"/>
  <c r="O466" i="1"/>
  <c r="E456" i="1"/>
  <c r="M445" i="1"/>
  <c r="O434" i="1"/>
  <c r="L537" i="1"/>
  <c r="L523" i="1"/>
  <c r="L509" i="1"/>
  <c r="N494" i="1"/>
  <c r="N480" i="1"/>
  <c r="N466" i="1"/>
  <c r="D452" i="1"/>
  <c r="L439" i="1"/>
  <c r="N445" i="1"/>
  <c r="O424" i="1"/>
  <c r="D412" i="1"/>
  <c r="L401" i="1"/>
  <c r="N390" i="1"/>
  <c r="D380" i="1"/>
  <c r="L369" i="1"/>
  <c r="N358" i="1"/>
  <c r="D348" i="1"/>
  <c r="L337" i="1"/>
  <c r="N326" i="1"/>
  <c r="D316" i="1"/>
  <c r="N308" i="1"/>
  <c r="L301" i="1"/>
  <c r="N294" i="1"/>
  <c r="L287" i="1"/>
  <c r="D280" i="1"/>
  <c r="L273" i="1"/>
  <c r="D266" i="1"/>
  <c r="N258" i="1"/>
  <c r="N443" i="1"/>
  <c r="D428" i="1"/>
  <c r="E422" i="1"/>
  <c r="N416" i="1"/>
  <c r="K411" i="1"/>
  <c r="O407" i="1"/>
  <c r="E405" i="1"/>
  <c r="E401" i="1"/>
  <c r="K397" i="1"/>
  <c r="O393" i="1"/>
  <c r="O389" i="1"/>
  <c r="E387" i="1"/>
  <c r="K383" i="1"/>
  <c r="K379" i="1"/>
  <c r="O375" i="1"/>
  <c r="E373" i="1"/>
  <c r="E369" i="1"/>
  <c r="K365" i="1"/>
  <c r="O361" i="1"/>
  <c r="O357" i="1"/>
  <c r="E355" i="1"/>
  <c r="K351" i="1"/>
  <c r="K347" i="1"/>
  <c r="O343" i="1"/>
  <c r="E341" i="1"/>
  <c r="E337" i="1"/>
  <c r="O333" i="1"/>
  <c r="K331" i="1"/>
  <c r="M328" i="1"/>
  <c r="O325" i="1"/>
  <c r="K323" i="1"/>
  <c r="M320" i="1"/>
  <c r="O317" i="1"/>
  <c r="K315" i="1"/>
  <c r="M312" i="1"/>
  <c r="O309" i="1"/>
  <c r="K307" i="1"/>
  <c r="M304" i="1"/>
  <c r="O301" i="1"/>
  <c r="K299" i="1"/>
  <c r="M296" i="1"/>
  <c r="O293" i="1"/>
  <c r="K291" i="1"/>
  <c r="M288" i="1"/>
  <c r="O285" i="1"/>
  <c r="K283" i="1"/>
  <c r="M280" i="1"/>
  <c r="O277" i="1"/>
  <c r="K275" i="1"/>
  <c r="M272" i="1"/>
  <c r="N441" i="1"/>
  <c r="M431" i="1"/>
  <c r="M425" i="1"/>
  <c r="K422" i="1"/>
  <c r="M417" i="1"/>
  <c r="N413" i="1"/>
  <c r="L410" i="1"/>
  <c r="D407" i="1"/>
  <c r="D403" i="1"/>
  <c r="N399" i="1"/>
  <c r="L396" i="1"/>
  <c r="L392" i="1"/>
  <c r="D389" i="1"/>
  <c r="N385" i="1"/>
  <c r="N381" i="1"/>
  <c r="L378" i="1"/>
  <c r="D375" i="1"/>
  <c r="D371" i="1"/>
  <c r="N367" i="1"/>
  <c r="L364" i="1"/>
  <c r="L360" i="1"/>
  <c r="D357" i="1"/>
  <c r="N353" i="1"/>
  <c r="N349" i="1"/>
  <c r="L346" i="1"/>
  <c r="D343" i="1"/>
  <c r="D339" i="1"/>
  <c r="N335" i="1"/>
  <c r="L332" i="1"/>
  <c r="L328" i="1"/>
  <c r="D325" i="1"/>
  <c r="N321" i="1"/>
  <c r="N317" i="1"/>
  <c r="D315" i="1"/>
  <c r="L312" i="1"/>
  <c r="N309" i="1"/>
  <c r="D307" i="1"/>
  <c r="L304" i="1"/>
  <c r="N301" i="1"/>
  <c r="D299" i="1"/>
  <c r="L296" i="1"/>
  <c r="N293" i="1"/>
  <c r="D291" i="1"/>
  <c r="L288" i="1"/>
  <c r="N285" i="1"/>
  <c r="D283" i="1"/>
  <c r="L280" i="1"/>
  <c r="N277" i="1"/>
  <c r="D275" i="1"/>
  <c r="L272" i="1"/>
  <c r="N269" i="1"/>
  <c r="D267" i="1"/>
  <c r="L264" i="1"/>
  <c r="N261" i="1"/>
  <c r="D259" i="1"/>
  <c r="L256" i="1"/>
  <c r="N253" i="1"/>
  <c r="D251" i="1"/>
  <c r="L248" i="1"/>
  <c r="N245" i="1"/>
  <c r="N447" i="1"/>
  <c r="L436" i="1"/>
  <c r="L430" i="1"/>
  <c r="L426" i="1"/>
  <c r="K424" i="1"/>
  <c r="N420" i="1"/>
  <c r="L417" i="1"/>
  <c r="O414" i="1"/>
  <c r="O412" i="1"/>
  <c r="O410" i="1"/>
  <c r="O408" i="1"/>
  <c r="O406" i="1"/>
  <c r="O404" i="1"/>
  <c r="O402" i="1"/>
  <c r="O400" i="1"/>
  <c r="O398" i="1"/>
  <c r="O396" i="1"/>
  <c r="O394" i="1"/>
  <c r="O392" i="1"/>
  <c r="O390" i="1"/>
  <c r="O388" i="1"/>
  <c r="O386" i="1"/>
  <c r="O384" i="1"/>
  <c r="O382" i="1"/>
  <c r="O380" i="1"/>
  <c r="O378" i="1"/>
  <c r="O376" i="1"/>
  <c r="O374" i="1"/>
  <c r="O372" i="1"/>
  <c r="O370" i="1"/>
  <c r="O368" i="1"/>
  <c r="O366" i="1"/>
  <c r="O364" i="1"/>
  <c r="O362" i="1"/>
  <c r="O360" i="1"/>
  <c r="O358" i="1"/>
  <c r="O356" i="1"/>
  <c r="O354" i="1"/>
  <c r="O352" i="1"/>
  <c r="O350" i="1"/>
  <c r="O348" i="1"/>
  <c r="O346" i="1"/>
  <c r="O344" i="1"/>
  <c r="O342" i="1"/>
  <c r="O340" i="1"/>
  <c r="O338" i="1"/>
  <c r="O336" i="1"/>
  <c r="O334" i="1"/>
  <c r="O332" i="1"/>
  <c r="O330" i="1"/>
  <c r="O328" i="1"/>
  <c r="O326" i="1"/>
  <c r="O324" i="1"/>
  <c r="O322" i="1"/>
  <c r="O320" i="1"/>
  <c r="O318" i="1"/>
  <c r="O316" i="1"/>
  <c r="O314" i="1"/>
  <c r="O312" i="1"/>
  <c r="O310" i="1"/>
  <c r="O308" i="1"/>
  <c r="O306" i="1"/>
  <c r="O304" i="1"/>
  <c r="O302" i="1"/>
  <c r="O300" i="1"/>
  <c r="O298" i="1"/>
  <c r="O296" i="1"/>
  <c r="O294" i="1"/>
  <c r="O292" i="1"/>
  <c r="O290" i="1"/>
  <c r="O288" i="1"/>
  <c r="O286" i="1"/>
  <c r="O284" i="1"/>
  <c r="O282" i="1"/>
  <c r="O280" i="1"/>
  <c r="O278" i="1"/>
  <c r="O276" i="1"/>
  <c r="O274" i="1"/>
  <c r="O272" i="1"/>
  <c r="O270" i="1"/>
  <c r="O268" i="1"/>
  <c r="O266" i="1"/>
  <c r="D862" i="1"/>
  <c r="O829" i="1"/>
  <c r="E751" i="1"/>
  <c r="E692" i="1"/>
  <c r="N678" i="1"/>
  <c r="O673" i="1"/>
  <c r="L674" i="1"/>
  <c r="L543" i="1"/>
  <c r="L642" i="1"/>
  <c r="D563" i="1"/>
  <c r="E622" i="1"/>
  <c r="O600" i="1"/>
  <c r="M579" i="1"/>
  <c r="E558" i="1"/>
  <c r="E549" i="1"/>
  <c r="E523" i="1"/>
  <c r="E509" i="1"/>
  <c r="E495" i="1"/>
  <c r="M484" i="1"/>
  <c r="O473" i="1"/>
  <c r="E463" i="1"/>
  <c r="M452" i="1"/>
  <c r="O441" i="1"/>
  <c r="E431" i="1"/>
  <c r="M420" i="1"/>
  <c r="L550" i="1"/>
  <c r="L532" i="1"/>
  <c r="L518" i="1"/>
  <c r="L504" i="1"/>
  <c r="N489" i="1"/>
  <c r="N475" i="1"/>
  <c r="N461" i="1"/>
  <c r="K557" i="1"/>
  <c r="O539" i="1"/>
  <c r="O528" i="1"/>
  <c r="E518" i="1"/>
  <c r="M507" i="1"/>
  <c r="O496" i="1"/>
  <c r="E486" i="1"/>
  <c r="M475" i="1"/>
  <c r="O464" i="1"/>
  <c r="E454" i="1"/>
  <c r="M443" i="1"/>
  <c r="L556" i="1"/>
  <c r="N534" i="1"/>
  <c r="N520" i="1"/>
  <c r="N506" i="1"/>
  <c r="D492" i="1"/>
  <c r="D478" i="1"/>
  <c r="D464" i="1"/>
  <c r="L449" i="1"/>
  <c r="L437" i="1"/>
  <c r="N437" i="1"/>
  <c r="M421" i="1"/>
  <c r="D410" i="1"/>
  <c r="L399" i="1"/>
  <c r="N388" i="1"/>
  <c r="D378" i="1"/>
  <c r="L367" i="1"/>
  <c r="N356" i="1"/>
  <c r="D346" i="1"/>
  <c r="L335" i="1"/>
  <c r="N324" i="1"/>
  <c r="N314" i="1"/>
  <c r="D308" i="1"/>
  <c r="N300" i="1"/>
  <c r="L293" i="1"/>
  <c r="N286" i="1"/>
  <c r="L279" i="1"/>
  <c r="D272" i="1"/>
  <c r="L265" i="1"/>
  <c r="D258" i="1"/>
  <c r="D439" i="1"/>
  <c r="O426" i="1"/>
  <c r="D421" i="1"/>
  <c r="O413" i="1"/>
  <c r="E411" i="1"/>
  <c r="K407" i="1"/>
  <c r="K403" i="1"/>
  <c r="O399" i="1"/>
  <c r="E397" i="1"/>
  <c r="E393" i="1"/>
  <c r="K389" i="1"/>
  <c r="O385" i="1"/>
  <c r="O381" i="1"/>
  <c r="E379" i="1"/>
  <c r="K375" i="1"/>
  <c r="K371" i="1"/>
  <c r="O367" i="1"/>
  <c r="E365" i="1"/>
  <c r="E361" i="1"/>
  <c r="K357" i="1"/>
  <c r="O353" i="1"/>
  <c r="O349" i="1"/>
  <c r="E347" i="1"/>
  <c r="K343" i="1"/>
  <c r="K339" i="1"/>
  <c r="O335" i="1"/>
  <c r="K333" i="1"/>
  <c r="M330" i="1"/>
  <c r="O327" i="1"/>
  <c r="K325" i="1"/>
  <c r="M322" i="1"/>
  <c r="O319" i="1"/>
  <c r="K317" i="1"/>
  <c r="M314" i="1"/>
  <c r="O311" i="1"/>
  <c r="K309" i="1"/>
  <c r="M306" i="1"/>
  <c r="O303" i="1"/>
  <c r="K301" i="1"/>
  <c r="M298" i="1"/>
  <c r="O295" i="1"/>
  <c r="K293" i="1"/>
  <c r="M290" i="1"/>
  <c r="O287" i="1"/>
  <c r="K285" i="1"/>
  <c r="M282" i="1"/>
  <c r="O279" i="1"/>
  <c r="K277" i="1"/>
  <c r="M274" i="1"/>
  <c r="O271" i="1"/>
  <c r="L438" i="1"/>
  <c r="E430" i="1"/>
  <c r="L424" i="1"/>
  <c r="D422" i="1"/>
  <c r="E416" i="1"/>
  <c r="D413" i="1"/>
  <c r="N409" i="1"/>
  <c r="N405" i="1"/>
  <c r="L402" i="1"/>
  <c r="D399" i="1"/>
  <c r="D395" i="1"/>
  <c r="N391" i="1"/>
  <c r="L388" i="1"/>
  <c r="L384" i="1"/>
  <c r="D381" i="1"/>
  <c r="N377" i="1"/>
  <c r="N373" i="1"/>
  <c r="L370" i="1"/>
  <c r="D367" i="1"/>
  <c r="D363" i="1"/>
  <c r="N359" i="1"/>
  <c r="L356" i="1"/>
  <c r="L352" i="1"/>
  <c r="D349" i="1"/>
  <c r="N345" i="1"/>
  <c r="N341" i="1"/>
  <c r="L338" i="1"/>
  <c r="D335" i="1"/>
  <c r="D331" i="1"/>
  <c r="N327" i="1"/>
  <c r="L324" i="1"/>
  <c r="L320" i="1"/>
  <c r="D317" i="1"/>
  <c r="L314" i="1"/>
  <c r="N311" i="1"/>
  <c r="D309" i="1"/>
  <c r="L306" i="1"/>
  <c r="N303" i="1"/>
  <c r="D301" i="1"/>
  <c r="L298" i="1"/>
  <c r="N295" i="1"/>
  <c r="D293" i="1"/>
  <c r="L290" i="1"/>
  <c r="N287" i="1"/>
  <c r="D285" i="1"/>
  <c r="L282" i="1"/>
  <c r="N279" i="1"/>
  <c r="D277" i="1"/>
  <c r="L274" i="1"/>
  <c r="N271" i="1"/>
  <c r="D269" i="1"/>
  <c r="L266" i="1"/>
  <c r="N263" i="1"/>
  <c r="D261" i="1"/>
  <c r="L258" i="1"/>
  <c r="N255" i="1"/>
  <c r="D253" i="1"/>
  <c r="L250" i="1"/>
  <c r="N247" i="1"/>
  <c r="D245" i="1"/>
  <c r="L444" i="1"/>
  <c r="D435" i="1"/>
  <c r="N429" i="1"/>
  <c r="E426" i="1"/>
  <c r="D424" i="1"/>
  <c r="M419" i="1"/>
  <c r="D417" i="1"/>
  <c r="K414" i="1"/>
  <c r="K412" i="1"/>
  <c r="K410" i="1"/>
  <c r="K408" i="1"/>
  <c r="K406" i="1"/>
  <c r="K404" i="1"/>
  <c r="K402" i="1"/>
  <c r="K400" i="1"/>
  <c r="K398" i="1"/>
  <c r="K396" i="1"/>
  <c r="K394" i="1"/>
  <c r="K392" i="1"/>
  <c r="K390" i="1"/>
  <c r="K388" i="1"/>
  <c r="K386" i="1"/>
  <c r="K384" i="1"/>
  <c r="K382" i="1"/>
  <c r="K380" i="1"/>
  <c r="K378" i="1"/>
  <c r="K376" i="1"/>
  <c r="K374" i="1"/>
  <c r="K372" i="1"/>
  <c r="K370" i="1"/>
  <c r="K368" i="1"/>
  <c r="K366" i="1"/>
  <c r="K364" i="1"/>
  <c r="K362" i="1"/>
  <c r="K360" i="1"/>
  <c r="K358" i="1"/>
  <c r="K356" i="1"/>
  <c r="K354" i="1"/>
  <c r="K352" i="1"/>
  <c r="K350" i="1"/>
  <c r="K348" i="1"/>
  <c r="K346" i="1"/>
  <c r="K344" i="1"/>
  <c r="K342" i="1"/>
  <c r="K340" i="1"/>
  <c r="K338" i="1"/>
  <c r="K336" i="1"/>
  <c r="K334" i="1"/>
  <c r="K332" i="1"/>
  <c r="K330" i="1"/>
  <c r="K328" i="1"/>
  <c r="K326" i="1"/>
  <c r="K324" i="1"/>
  <c r="K322" i="1"/>
  <c r="K320" i="1"/>
  <c r="K318" i="1"/>
  <c r="K316" i="1"/>
  <c r="K314" i="1"/>
  <c r="K312" i="1"/>
  <c r="K310" i="1"/>
  <c r="K308" i="1"/>
  <c r="K306" i="1"/>
  <c r="K304" i="1"/>
  <c r="K302" i="1"/>
  <c r="K300" i="1"/>
  <c r="K298" i="1"/>
  <c r="K296" i="1"/>
  <c r="K294" i="1"/>
  <c r="K292" i="1"/>
  <c r="K290" i="1"/>
  <c r="K288" i="1"/>
  <c r="K286" i="1"/>
  <c r="K284" i="1"/>
  <c r="K282" i="1"/>
  <c r="K280" i="1"/>
  <c r="K278" i="1"/>
  <c r="K276" i="1"/>
  <c r="K274" i="1"/>
  <c r="K272" i="1"/>
  <c r="K270" i="1"/>
  <c r="K268" i="1"/>
  <c r="K266" i="1"/>
  <c r="K264" i="1"/>
  <c r="K262" i="1"/>
  <c r="K260" i="1"/>
  <c r="K258" i="1"/>
  <c r="K256" i="1"/>
  <c r="K254" i="1"/>
  <c r="K252" i="1"/>
  <c r="K250" i="1"/>
  <c r="K248" i="1"/>
  <c r="K246" i="1"/>
  <c r="K244" i="1"/>
  <c r="K242" i="1"/>
  <c r="K240" i="1"/>
  <c r="K238" i="1"/>
  <c r="K236" i="1"/>
  <c r="K234" i="1"/>
  <c r="K232" i="1"/>
  <c r="K230" i="1"/>
  <c r="K228" i="1"/>
  <c r="K269" i="1"/>
  <c r="K261" i="1"/>
  <c r="L253" i="1"/>
  <c r="N248" i="1"/>
  <c r="D244" i="1"/>
  <c r="L239" i="1"/>
  <c r="K237" i="1"/>
  <c r="N233" i="1"/>
  <c r="L230" i="1"/>
  <c r="O227" i="1"/>
  <c r="D225" i="1"/>
  <c r="L222" i="1"/>
  <c r="N219" i="1"/>
  <c r="D217" i="1"/>
  <c r="L214" i="1"/>
  <c r="N211" i="1"/>
  <c r="D209" i="1"/>
  <c r="L206" i="1"/>
  <c r="N203" i="1"/>
  <c r="D201" i="1"/>
  <c r="L198" i="1"/>
  <c r="N195" i="1"/>
  <c r="D193" i="1"/>
  <c r="L190" i="1"/>
  <c r="N187" i="1"/>
  <c r="D185" i="1"/>
  <c r="L182" i="1"/>
  <c r="N179" i="1"/>
  <c r="D177" i="1"/>
  <c r="L174" i="1"/>
  <c r="N171" i="1"/>
  <c r="D169" i="1"/>
  <c r="L166" i="1"/>
  <c r="N163" i="1"/>
  <c r="D161" i="1"/>
  <c r="L158" i="1"/>
  <c r="N155" i="1"/>
  <c r="D153" i="1"/>
  <c r="L150" i="1"/>
  <c r="N147" i="1"/>
  <c r="D145" i="1"/>
  <c r="L142" i="1"/>
  <c r="N139" i="1"/>
  <c r="D137" i="1"/>
  <c r="L134" i="1"/>
  <c r="N131" i="1"/>
  <c r="D129" i="1"/>
  <c r="L126" i="1"/>
  <c r="N123" i="1"/>
  <c r="D121" i="1"/>
  <c r="L118" i="1"/>
  <c r="N115" i="1"/>
  <c r="D113" i="1"/>
  <c r="L110" i="1"/>
  <c r="N107" i="1"/>
  <c r="D105" i="1"/>
  <c r="L102" i="1"/>
  <c r="N99" i="1"/>
  <c r="D97" i="1"/>
  <c r="L94" i="1"/>
  <c r="N91" i="1"/>
  <c r="D89" i="1"/>
  <c r="L86" i="1"/>
  <c r="N83" i="1"/>
  <c r="D81" i="1"/>
  <c r="L78" i="1"/>
  <c r="N75" i="1"/>
  <c r="D73" i="1"/>
  <c r="L70" i="1"/>
  <c r="N67" i="1"/>
  <c r="D65" i="1"/>
  <c r="L62" i="1"/>
  <c r="N59" i="1"/>
  <c r="D57" i="1"/>
  <c r="L54" i="1"/>
  <c r="N51" i="1"/>
  <c r="D49" i="1"/>
  <c r="L46" i="1"/>
  <c r="E269" i="1"/>
  <c r="E261" i="1"/>
  <c r="K253" i="1"/>
  <c r="K249" i="1"/>
  <c r="K245" i="1"/>
  <c r="L241" i="1"/>
  <c r="K239" i="1"/>
  <c r="N235" i="1"/>
  <c r="L232" i="1"/>
  <c r="O229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200" i="1"/>
  <c r="K198" i="1"/>
  <c r="K196" i="1"/>
  <c r="K194" i="1"/>
  <c r="K192" i="1"/>
  <c r="K190" i="1"/>
  <c r="K188" i="1"/>
  <c r="K186" i="1"/>
  <c r="K184" i="1"/>
  <c r="K182" i="1"/>
  <c r="K180" i="1"/>
  <c r="K178" i="1"/>
  <c r="K176" i="1"/>
  <c r="K174" i="1"/>
  <c r="K172" i="1"/>
  <c r="K170" i="1"/>
  <c r="K168" i="1"/>
  <c r="K166" i="1"/>
  <c r="K164" i="1"/>
  <c r="K162" i="1"/>
  <c r="K160" i="1"/>
  <c r="K158" i="1"/>
  <c r="K156" i="1"/>
  <c r="K154" i="1"/>
  <c r="K152" i="1"/>
  <c r="K150" i="1"/>
  <c r="K148" i="1"/>
  <c r="K146" i="1"/>
  <c r="K144" i="1"/>
  <c r="K142" i="1"/>
  <c r="K140" i="1"/>
  <c r="K138" i="1"/>
  <c r="K136" i="1"/>
  <c r="K134" i="1"/>
  <c r="K132" i="1"/>
  <c r="K130" i="1"/>
  <c r="K128" i="1"/>
  <c r="K126" i="1"/>
  <c r="K124" i="1"/>
  <c r="K122" i="1"/>
  <c r="K120" i="1"/>
  <c r="K118" i="1"/>
  <c r="K116" i="1"/>
  <c r="K114" i="1"/>
  <c r="K112" i="1"/>
  <c r="K110" i="1"/>
  <c r="K108" i="1"/>
  <c r="K106" i="1"/>
  <c r="K104" i="1"/>
  <c r="K102" i="1"/>
  <c r="K100" i="1"/>
  <c r="K98" i="1"/>
  <c r="K96" i="1"/>
  <c r="K94" i="1"/>
  <c r="K92" i="1"/>
  <c r="K90" i="1"/>
  <c r="K88" i="1"/>
  <c r="K86" i="1"/>
  <c r="K84" i="1"/>
  <c r="K82" i="1"/>
  <c r="E267" i="1"/>
  <c r="E259" i="1"/>
  <c r="N250" i="1"/>
  <c r="D246" i="1"/>
  <c r="D242" i="1"/>
  <c r="N238" i="1"/>
  <c r="E235" i="1"/>
  <c r="D233" i="1"/>
  <c r="M228" i="1"/>
  <c r="L225" i="1"/>
  <c r="N222" i="1"/>
  <c r="D220" i="1"/>
  <c r="L217" i="1"/>
  <c r="N214" i="1"/>
  <c r="D212" i="1"/>
  <c r="L209" i="1"/>
  <c r="N206" i="1"/>
  <c r="D204" i="1"/>
  <c r="L201" i="1"/>
  <c r="N198" i="1"/>
  <c r="D196" i="1"/>
  <c r="L193" i="1"/>
  <c r="N190" i="1"/>
  <c r="D188" i="1"/>
  <c r="L185" i="1"/>
  <c r="N182" i="1"/>
  <c r="D180" i="1"/>
  <c r="L177" i="1"/>
  <c r="N174" i="1"/>
  <c r="D172" i="1"/>
  <c r="L169" i="1"/>
  <c r="N166" i="1"/>
  <c r="D164" i="1"/>
  <c r="L161" i="1"/>
  <c r="N158" i="1"/>
  <c r="D156" i="1"/>
  <c r="L153" i="1"/>
  <c r="N150" i="1"/>
  <c r="D148" i="1"/>
  <c r="L145" i="1"/>
  <c r="N142" i="1"/>
  <c r="D140" i="1"/>
  <c r="L137" i="1"/>
  <c r="N134" i="1"/>
  <c r="D132" i="1"/>
  <c r="L129" i="1"/>
  <c r="N126" i="1"/>
  <c r="D124" i="1"/>
  <c r="L121" i="1"/>
  <c r="N118" i="1"/>
  <c r="D116" i="1"/>
  <c r="L113" i="1"/>
  <c r="N110" i="1"/>
  <c r="D108" i="1"/>
  <c r="L105" i="1"/>
  <c r="N102" i="1"/>
  <c r="D100" i="1"/>
  <c r="L97" i="1"/>
  <c r="N94" i="1"/>
  <c r="D92" i="1"/>
  <c r="L89" i="1"/>
  <c r="N86" i="1"/>
  <c r="D84" i="1"/>
  <c r="L81" i="1"/>
  <c r="N78" i="1"/>
  <c r="D76" i="1"/>
  <c r="L73" i="1"/>
  <c r="O936" i="1"/>
  <c r="E628" i="1"/>
  <c r="O599" i="1"/>
  <c r="E590" i="1"/>
  <c r="M516" i="1"/>
  <c r="M468" i="1"/>
  <c r="O425" i="1"/>
  <c r="D511" i="1"/>
  <c r="L454" i="1"/>
  <c r="O512" i="1"/>
  <c r="E470" i="1"/>
  <c r="D543" i="1"/>
  <c r="L485" i="1"/>
  <c r="D432" i="1"/>
  <c r="D394" i="1"/>
  <c r="L351" i="1"/>
  <c r="L311" i="1"/>
  <c r="N282" i="1"/>
  <c r="N254" i="1"/>
  <c r="E413" i="1"/>
  <c r="O397" i="1"/>
  <c r="O383" i="1"/>
  <c r="O369" i="1"/>
  <c r="K355" i="1"/>
  <c r="K341" i="1"/>
  <c r="K329" i="1"/>
  <c r="M318" i="1"/>
  <c r="O307" i="1"/>
  <c r="K297" i="1"/>
  <c r="M286" i="1"/>
  <c r="O275" i="1"/>
  <c r="N427" i="1"/>
  <c r="D411" i="1"/>
  <c r="D397" i="1"/>
  <c r="D383" i="1"/>
  <c r="L368" i="1"/>
  <c r="L354" i="1"/>
  <c r="L340" i="1"/>
  <c r="N325" i="1"/>
  <c r="D313" i="1"/>
  <c r="L302" i="1"/>
  <c r="N291" i="1"/>
  <c r="D281" i="1"/>
  <c r="L270" i="1"/>
  <c r="N259" i="1"/>
  <c r="D249" i="1"/>
  <c r="D433" i="1"/>
  <c r="E418" i="1"/>
  <c r="M409" i="1"/>
  <c r="M401" i="1"/>
  <c r="M393" i="1"/>
  <c r="M385" i="1"/>
  <c r="M377" i="1"/>
  <c r="M369" i="1"/>
  <c r="M363" i="1"/>
  <c r="M359" i="1"/>
  <c r="M355" i="1"/>
  <c r="M351" i="1"/>
  <c r="M347" i="1"/>
  <c r="M343" i="1"/>
  <c r="M339" i="1"/>
  <c r="M335" i="1"/>
  <c r="M331" i="1"/>
  <c r="M327" i="1"/>
  <c r="M323" i="1"/>
  <c r="M319" i="1"/>
  <c r="M315" i="1"/>
  <c r="M311" i="1"/>
  <c r="M307" i="1"/>
  <c r="M303" i="1"/>
  <c r="M299" i="1"/>
  <c r="M295" i="1"/>
  <c r="M291" i="1"/>
  <c r="M287" i="1"/>
  <c r="M283" i="1"/>
  <c r="M279" i="1"/>
  <c r="M275" i="1"/>
  <c r="M271" i="1"/>
  <c r="M267" i="1"/>
  <c r="E264" i="1"/>
  <c r="M261" i="1"/>
  <c r="O258" i="1"/>
  <c r="E256" i="1"/>
  <c r="M253" i="1"/>
  <c r="O250" i="1"/>
  <c r="E248" i="1"/>
  <c r="M245" i="1"/>
  <c r="O242" i="1"/>
  <c r="E240" i="1"/>
  <c r="M237" i="1"/>
  <c r="O234" i="1"/>
  <c r="E232" i="1"/>
  <c r="M229" i="1"/>
  <c r="E271" i="1"/>
  <c r="O259" i="1"/>
  <c r="D252" i="1"/>
  <c r="N244" i="1"/>
  <c r="E239" i="1"/>
  <c r="O235" i="1"/>
  <c r="E231" i="1"/>
  <c r="D227" i="1"/>
  <c r="N223" i="1"/>
  <c r="L220" i="1"/>
  <c r="L216" i="1"/>
  <c r="D213" i="1"/>
  <c r="N209" i="1"/>
  <c r="N205" i="1"/>
  <c r="L202" i="1"/>
  <c r="D199" i="1"/>
  <c r="D195" i="1"/>
  <c r="N191" i="1"/>
  <c r="L188" i="1"/>
  <c r="L184" i="1"/>
  <c r="D181" i="1"/>
  <c r="N177" i="1"/>
  <c r="N173" i="1"/>
  <c r="L170" i="1"/>
  <c r="D167" i="1"/>
  <c r="D163" i="1"/>
  <c r="N159" i="1"/>
  <c r="L156" i="1"/>
  <c r="L152" i="1"/>
  <c r="D149" i="1"/>
  <c r="N145" i="1"/>
  <c r="N141" i="1"/>
  <c r="L138" i="1"/>
  <c r="D135" i="1"/>
  <c r="D131" i="1"/>
  <c r="N127" i="1"/>
  <c r="L124" i="1"/>
  <c r="L120" i="1"/>
  <c r="D117" i="1"/>
  <c r="N113" i="1"/>
  <c r="N109" i="1"/>
  <c r="L106" i="1"/>
  <c r="D103" i="1"/>
  <c r="D99" i="1"/>
  <c r="N95" i="1"/>
  <c r="L92" i="1"/>
  <c r="L88" i="1"/>
  <c r="D85" i="1"/>
  <c r="N81" i="1"/>
  <c r="N77" i="1"/>
  <c r="L74" i="1"/>
  <c r="D71" i="1"/>
  <c r="D67" i="1"/>
  <c r="N63" i="1"/>
  <c r="L60" i="1"/>
  <c r="L56" i="1"/>
  <c r="D53" i="1"/>
  <c r="N49" i="1"/>
  <c r="N45" i="1"/>
  <c r="O265" i="1"/>
  <c r="M254" i="1"/>
  <c r="M248" i="1"/>
  <c r="O243" i="1"/>
  <c r="D240" i="1"/>
  <c r="M234" i="1"/>
  <c r="K231" i="1"/>
  <c r="O226" i="1"/>
  <c r="E224" i="1"/>
  <c r="M221" i="1"/>
  <c r="O218" i="1"/>
  <c r="E216" i="1"/>
  <c r="M213" i="1"/>
  <c r="O210" i="1"/>
  <c r="E208" i="1"/>
  <c r="M205" i="1"/>
  <c r="O202" i="1"/>
  <c r="E200" i="1"/>
  <c r="M197" i="1"/>
  <c r="O194" i="1"/>
  <c r="E192" i="1"/>
  <c r="M189" i="1"/>
  <c r="O186" i="1"/>
  <c r="E184" i="1"/>
  <c r="M181" i="1"/>
  <c r="O178" i="1"/>
  <c r="E176" i="1"/>
  <c r="M173" i="1"/>
  <c r="O170" i="1"/>
  <c r="E168" i="1"/>
  <c r="M165" i="1"/>
  <c r="O162" i="1"/>
  <c r="E160" i="1"/>
  <c r="M157" i="1"/>
  <c r="O154" i="1"/>
  <c r="E152" i="1"/>
  <c r="M149" i="1"/>
  <c r="O146" i="1"/>
  <c r="E144" i="1"/>
  <c r="M141" i="1"/>
  <c r="O138" i="1"/>
  <c r="E136" i="1"/>
  <c r="M133" i="1"/>
  <c r="O130" i="1"/>
  <c r="E128" i="1"/>
  <c r="M125" i="1"/>
  <c r="O122" i="1"/>
  <c r="E120" i="1"/>
  <c r="M117" i="1"/>
  <c r="O114" i="1"/>
  <c r="E112" i="1"/>
  <c r="M109" i="1"/>
  <c r="O106" i="1"/>
  <c r="E104" i="1"/>
  <c r="M101" i="1"/>
  <c r="O98" i="1"/>
  <c r="E96" i="1"/>
  <c r="M93" i="1"/>
  <c r="O90" i="1"/>
  <c r="E88" i="1"/>
  <c r="M85" i="1"/>
  <c r="O82" i="1"/>
  <c r="K265" i="1"/>
  <c r="O255" i="1"/>
  <c r="N246" i="1"/>
  <c r="K241" i="1"/>
  <c r="M236" i="1"/>
  <c r="K233" i="1"/>
  <c r="L227" i="1"/>
  <c r="D224" i="1"/>
  <c r="N220" i="1"/>
  <c r="N216" i="1"/>
  <c r="L213" i="1"/>
  <c r="D210" i="1"/>
  <c r="D206" i="1"/>
  <c r="N202" i="1"/>
  <c r="L199" i="1"/>
  <c r="L195" i="1"/>
  <c r="D192" i="1"/>
  <c r="N188" i="1"/>
  <c r="N184" i="1"/>
  <c r="L181" i="1"/>
  <c r="D178" i="1"/>
  <c r="D174" i="1"/>
  <c r="N170" i="1"/>
  <c r="L167" i="1"/>
  <c r="L163" i="1"/>
  <c r="D160" i="1"/>
  <c r="N156" i="1"/>
  <c r="N152" i="1"/>
  <c r="L149" i="1"/>
  <c r="D146" i="1"/>
  <c r="D142" i="1"/>
  <c r="N138" i="1"/>
  <c r="L135" i="1"/>
  <c r="L131" i="1"/>
  <c r="D128" i="1"/>
  <c r="N124" i="1"/>
  <c r="N120" i="1"/>
  <c r="L117" i="1"/>
  <c r="D114" i="1"/>
  <c r="D110" i="1"/>
  <c r="N106" i="1"/>
  <c r="L103" i="1"/>
  <c r="L99" i="1"/>
  <c r="D96" i="1"/>
  <c r="N92" i="1"/>
  <c r="N88" i="1"/>
  <c r="L85" i="1"/>
  <c r="D82" i="1"/>
  <c r="D78" i="1"/>
  <c r="N74" i="1"/>
  <c r="L71" i="1"/>
  <c r="O269" i="1"/>
  <c r="O261" i="1"/>
  <c r="O253" i="1"/>
  <c r="O249" i="1"/>
  <c r="O245" i="1"/>
  <c r="O241" i="1"/>
  <c r="L237" i="1"/>
  <c r="K235" i="1"/>
  <c r="N231" i="1"/>
  <c r="L228" i="1"/>
  <c r="M226" i="1"/>
  <c r="M224" i="1"/>
  <c r="M222" i="1"/>
  <c r="M220" i="1"/>
  <c r="M218" i="1"/>
  <c r="M216" i="1"/>
  <c r="M214" i="1"/>
  <c r="M212" i="1"/>
  <c r="M210" i="1"/>
  <c r="M208" i="1"/>
  <c r="M206" i="1"/>
  <c r="M204" i="1"/>
  <c r="M202" i="1"/>
  <c r="M200" i="1"/>
  <c r="M198" i="1"/>
  <c r="M196" i="1"/>
  <c r="M194" i="1"/>
  <c r="M192" i="1"/>
  <c r="M190" i="1"/>
  <c r="M188" i="1"/>
  <c r="M186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M150" i="1"/>
  <c r="M148" i="1"/>
  <c r="M146" i="1"/>
  <c r="M144" i="1"/>
  <c r="M142" i="1"/>
  <c r="M140" i="1"/>
  <c r="M138" i="1"/>
  <c r="M136" i="1"/>
  <c r="M134" i="1"/>
  <c r="M132" i="1"/>
  <c r="M130" i="1"/>
  <c r="M128" i="1"/>
  <c r="M126" i="1"/>
  <c r="M124" i="1"/>
  <c r="M122" i="1"/>
  <c r="M120" i="1"/>
  <c r="M118" i="1"/>
  <c r="M116" i="1"/>
  <c r="M114" i="1"/>
  <c r="M112" i="1"/>
  <c r="M110" i="1"/>
  <c r="M108" i="1"/>
  <c r="M106" i="1"/>
  <c r="M104" i="1"/>
  <c r="M102" i="1"/>
  <c r="M100" i="1"/>
  <c r="M98" i="1"/>
  <c r="M96" i="1"/>
  <c r="M94" i="1"/>
  <c r="M92" i="1"/>
  <c r="M90" i="1"/>
  <c r="M88" i="1"/>
  <c r="M86" i="1"/>
  <c r="M84" i="1"/>
  <c r="M82" i="1"/>
  <c r="M80" i="1"/>
  <c r="M78" i="1"/>
  <c r="M76" i="1"/>
  <c r="M74" i="1"/>
  <c r="M72" i="1"/>
  <c r="M70" i="1"/>
  <c r="M68" i="1"/>
  <c r="M66" i="1"/>
  <c r="M64" i="1"/>
  <c r="M62" i="1"/>
  <c r="M60" i="1"/>
  <c r="M58" i="1"/>
  <c r="M56" i="1"/>
  <c r="M54" i="1"/>
  <c r="M52" i="1"/>
  <c r="M50" i="1"/>
  <c r="M48" i="1"/>
  <c r="M46" i="1"/>
  <c r="O74" i="1"/>
  <c r="D68" i="1"/>
  <c r="L61" i="1"/>
  <c r="N56" i="1"/>
  <c r="D52" i="1"/>
  <c r="O45" i="1"/>
  <c r="N42" i="1"/>
  <c r="D40" i="1"/>
  <c r="L37" i="1"/>
  <c r="N34" i="1"/>
  <c r="D32" i="1"/>
  <c r="L29" i="1"/>
  <c r="N26" i="1"/>
  <c r="D24" i="1"/>
  <c r="L21" i="1"/>
  <c r="N18" i="1"/>
  <c r="D16" i="1"/>
  <c r="L13" i="1"/>
  <c r="N10" i="1"/>
  <c r="D8" i="1"/>
  <c r="L5" i="1"/>
  <c r="N2" i="1"/>
  <c r="O9" i="1"/>
  <c r="K7" i="1"/>
  <c r="K3" i="1"/>
  <c r="E16" i="1"/>
  <c r="M9" i="1"/>
  <c r="E2" i="1"/>
  <c r="K74" i="1"/>
  <c r="M67" i="1"/>
  <c r="M63" i="1"/>
  <c r="M59" i="1"/>
  <c r="M55" i="1"/>
  <c r="M51" i="1"/>
  <c r="M47" i="1"/>
  <c r="O43" i="1"/>
  <c r="O41" i="1"/>
  <c r="O39" i="1"/>
  <c r="O37" i="1"/>
  <c r="O35" i="1"/>
  <c r="O33" i="1"/>
  <c r="O31" i="1"/>
  <c r="O29" i="1"/>
  <c r="O27" i="1"/>
  <c r="O25" i="1"/>
  <c r="O23" i="1"/>
  <c r="O21" i="1"/>
  <c r="O19" i="1"/>
  <c r="O17" i="1"/>
  <c r="O15" i="1"/>
  <c r="O13" i="1"/>
  <c r="K11" i="1"/>
  <c r="O5" i="1"/>
  <c r="L4" i="1"/>
  <c r="K2" i="1"/>
  <c r="E74" i="1"/>
  <c r="N66" i="1"/>
  <c r="D62" i="1"/>
  <c r="L55" i="1"/>
  <c r="N50" i="1"/>
  <c r="E46" i="1"/>
  <c r="N43" i="1"/>
  <c r="D41" i="1"/>
  <c r="L38" i="1"/>
  <c r="N35" i="1"/>
  <c r="D33" i="1"/>
  <c r="L30" i="1"/>
  <c r="N27" i="1"/>
  <c r="D25" i="1"/>
  <c r="L22" i="1"/>
  <c r="N19" i="1"/>
  <c r="D17" i="1"/>
  <c r="L14" i="1"/>
  <c r="N11" i="1"/>
  <c r="D9" i="1"/>
  <c r="L6" i="1"/>
  <c r="K14" i="1"/>
  <c r="E4" i="1"/>
  <c r="M73" i="1"/>
  <c r="E68" i="1"/>
  <c r="E64" i="1"/>
  <c r="E60" i="1"/>
  <c r="E56" i="1"/>
  <c r="E52" i="1"/>
  <c r="E48" i="1"/>
  <c r="O44" i="1"/>
  <c r="O42" i="1"/>
  <c r="O40" i="1"/>
  <c r="O38" i="1"/>
  <c r="O36" i="1"/>
  <c r="O34" i="1"/>
  <c r="O32" i="1"/>
  <c r="O30" i="1"/>
  <c r="O28" i="1"/>
  <c r="O26" i="1"/>
  <c r="O24" i="1"/>
  <c r="O22" i="1"/>
  <c r="O20" i="1"/>
  <c r="O18" i="1"/>
  <c r="O16" i="1"/>
  <c r="E14" i="1"/>
  <c r="E10" i="1"/>
  <c r="O2" i="1"/>
  <c r="M6" i="1"/>
  <c r="O58" i="1"/>
  <c r="O50" i="1"/>
  <c r="K43" i="1"/>
  <c r="K39" i="1"/>
  <c r="K35" i="1"/>
  <c r="K33" i="1"/>
  <c r="K29" i="1"/>
  <c r="K25" i="1"/>
  <c r="K23" i="1"/>
  <c r="K19" i="1"/>
  <c r="K15" i="1"/>
  <c r="K13" i="1"/>
  <c r="M4" i="1"/>
  <c r="O8" i="1"/>
  <c r="K72" i="1"/>
  <c r="L59" i="1"/>
  <c r="D50" i="1"/>
  <c r="L45" i="1"/>
  <c r="L40" i="1"/>
  <c r="D35" i="1"/>
  <c r="N29" i="1"/>
  <c r="D27" i="1"/>
  <c r="N21" i="1"/>
  <c r="D19" i="1"/>
  <c r="N13" i="1"/>
  <c r="D11" i="1"/>
  <c r="N5" i="1"/>
  <c r="E80" i="1"/>
  <c r="K66" i="1"/>
  <c r="K58" i="1"/>
  <c r="K54" i="1"/>
  <c r="K46" i="1"/>
  <c r="K42" i="1"/>
  <c r="K38" i="1"/>
  <c r="K34" i="1"/>
  <c r="K28" i="1"/>
  <c r="K24" i="1"/>
  <c r="K18" i="1"/>
  <c r="K8" i="1"/>
  <c r="E815" i="1"/>
  <c r="M381" i="1"/>
  <c r="M349" i="1"/>
  <c r="M341" i="1"/>
  <c r="M333" i="1"/>
  <c r="M325" i="1"/>
  <c r="M317" i="1"/>
  <c r="M309" i="1"/>
  <c r="M301" i="1"/>
  <c r="M289" i="1"/>
  <c r="M281" i="1"/>
  <c r="M277" i="1"/>
  <c r="M269" i="1"/>
  <c r="O262" i="1"/>
  <c r="M257" i="1"/>
  <c r="E252" i="1"/>
  <c r="O246" i="1"/>
  <c r="M241" i="1"/>
  <c r="E236" i="1"/>
  <c r="E228" i="1"/>
  <c r="E255" i="1"/>
  <c r="N241" i="1"/>
  <c r="M232" i="1"/>
  <c r="N225" i="1"/>
  <c r="D215" i="1"/>
  <c r="N207" i="1"/>
  <c r="D197" i="1"/>
  <c r="N189" i="1"/>
  <c r="N835" i="1"/>
  <c r="O715" i="1"/>
  <c r="D595" i="1"/>
  <c r="O568" i="1"/>
  <c r="O501" i="1"/>
  <c r="O457" i="1"/>
  <c r="E415" i="1"/>
  <c r="D497" i="1"/>
  <c r="O547" i="1"/>
  <c r="E502" i="1"/>
  <c r="M459" i="1"/>
  <c r="D528" i="1"/>
  <c r="N470" i="1"/>
  <c r="E428" i="1"/>
  <c r="L383" i="1"/>
  <c r="N340" i="1"/>
  <c r="D304" i="1"/>
  <c r="D276" i="1"/>
  <c r="L429" i="1"/>
  <c r="E409" i="1"/>
  <c r="E395" i="1"/>
  <c r="E381" i="1"/>
  <c r="O365" i="1"/>
  <c r="O351" i="1"/>
  <c r="O337" i="1"/>
  <c r="M326" i="1"/>
  <c r="O315" i="1"/>
  <c r="K305" i="1"/>
  <c r="M294" i="1"/>
  <c r="O283" i="1"/>
  <c r="K273" i="1"/>
  <c r="D423" i="1"/>
  <c r="N407" i="1"/>
  <c r="N393" i="1"/>
  <c r="D379" i="1"/>
  <c r="D365" i="1"/>
  <c r="D351" i="1"/>
  <c r="L336" i="1"/>
  <c r="L322" i="1"/>
  <c r="L310" i="1"/>
  <c r="N299" i="1"/>
  <c r="D289" i="1"/>
  <c r="L278" i="1"/>
  <c r="N267" i="1"/>
  <c r="D257" i="1"/>
  <c r="L246" i="1"/>
  <c r="M427" i="1"/>
  <c r="D416" i="1"/>
  <c r="M407" i="1"/>
  <c r="M399" i="1"/>
  <c r="M391" i="1"/>
  <c r="M383" i="1"/>
  <c r="M375" i="1"/>
  <c r="M367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290" i="1"/>
  <c r="E286" i="1"/>
  <c r="E282" i="1"/>
  <c r="E278" i="1"/>
  <c r="E274" i="1"/>
  <c r="E270" i="1"/>
  <c r="E266" i="1"/>
  <c r="M263" i="1"/>
  <c r="O260" i="1"/>
  <c r="E258" i="1"/>
  <c r="M255" i="1"/>
  <c r="O252" i="1"/>
  <c r="E250" i="1"/>
  <c r="M247" i="1"/>
  <c r="O244" i="1"/>
  <c r="E242" i="1"/>
  <c r="M239" i="1"/>
  <c r="O236" i="1"/>
  <c r="E234" i="1"/>
  <c r="M231" i="1"/>
  <c r="O228" i="1"/>
  <c r="O267" i="1"/>
  <c r="M256" i="1"/>
  <c r="L249" i="1"/>
  <c r="N242" i="1"/>
  <c r="L238" i="1"/>
  <c r="N234" i="1"/>
  <c r="D230" i="1"/>
  <c r="L226" i="1"/>
  <c r="D223" i="1"/>
  <c r="D219" i="1"/>
  <c r="N215" i="1"/>
  <c r="L212" i="1"/>
  <c r="L208" i="1"/>
  <c r="D205" i="1"/>
  <c r="N201" i="1"/>
  <c r="N197" i="1"/>
  <c r="L194" i="1"/>
  <c r="D191" i="1"/>
  <c r="D187" i="1"/>
  <c r="N183" i="1"/>
  <c r="L180" i="1"/>
  <c r="L176" i="1"/>
  <c r="D173" i="1"/>
  <c r="N169" i="1"/>
  <c r="N165" i="1"/>
  <c r="L162" i="1"/>
  <c r="D159" i="1"/>
  <c r="D155" i="1"/>
  <c r="N151" i="1"/>
  <c r="L148" i="1"/>
  <c r="L144" i="1"/>
  <c r="D141" i="1"/>
  <c r="N137" i="1"/>
  <c r="N133" i="1"/>
  <c r="L130" i="1"/>
  <c r="D127" i="1"/>
  <c r="D123" i="1"/>
  <c r="N119" i="1"/>
  <c r="L116" i="1"/>
  <c r="L112" i="1"/>
  <c r="D109" i="1"/>
  <c r="N105" i="1"/>
  <c r="N101" i="1"/>
  <c r="L98" i="1"/>
  <c r="D95" i="1"/>
  <c r="D91" i="1"/>
  <c r="N87" i="1"/>
  <c r="L84" i="1"/>
  <c r="L80" i="1"/>
  <c r="D77" i="1"/>
  <c r="N73" i="1"/>
  <c r="N69" i="1"/>
  <c r="L66" i="1"/>
  <c r="D63" i="1"/>
  <c r="D59" i="1"/>
  <c r="N55" i="1"/>
  <c r="L52" i="1"/>
  <c r="L48" i="1"/>
  <c r="D45" i="1"/>
  <c r="M262" i="1"/>
  <c r="M252" i="1"/>
  <c r="O247" i="1"/>
  <c r="M242" i="1"/>
  <c r="D239" i="1"/>
  <c r="L233" i="1"/>
  <c r="D231" i="1"/>
  <c r="E226" i="1"/>
  <c r="M223" i="1"/>
  <c r="O220" i="1"/>
  <c r="E218" i="1"/>
  <c r="M215" i="1"/>
  <c r="O212" i="1"/>
  <c r="E210" i="1"/>
  <c r="M207" i="1"/>
  <c r="O204" i="1"/>
  <c r="E202" i="1"/>
  <c r="M199" i="1"/>
  <c r="O196" i="1"/>
  <c r="E194" i="1"/>
  <c r="M191" i="1"/>
  <c r="O188" i="1"/>
  <c r="E186" i="1"/>
  <c r="M183" i="1"/>
  <c r="O180" i="1"/>
  <c r="E178" i="1"/>
  <c r="M175" i="1"/>
  <c r="O172" i="1"/>
  <c r="E170" i="1"/>
  <c r="M167" i="1"/>
  <c r="O164" i="1"/>
  <c r="E162" i="1"/>
  <c r="M159" i="1"/>
  <c r="O156" i="1"/>
  <c r="E154" i="1"/>
  <c r="M151" i="1"/>
  <c r="O148" i="1"/>
  <c r="E146" i="1"/>
  <c r="M143" i="1"/>
  <c r="O140" i="1"/>
  <c r="E138" i="1"/>
  <c r="M135" i="1"/>
  <c r="O132" i="1"/>
  <c r="E130" i="1"/>
  <c r="M127" i="1"/>
  <c r="O124" i="1"/>
  <c r="E122" i="1"/>
  <c r="M119" i="1"/>
  <c r="O116" i="1"/>
  <c r="E114" i="1"/>
  <c r="M111" i="1"/>
  <c r="O108" i="1"/>
  <c r="E106" i="1"/>
  <c r="M103" i="1"/>
  <c r="O100" i="1"/>
  <c r="E98" i="1"/>
  <c r="M95" i="1"/>
  <c r="O92" i="1"/>
  <c r="E90" i="1"/>
  <c r="M87" i="1"/>
  <c r="O84" i="1"/>
  <c r="E82" i="1"/>
  <c r="O263" i="1"/>
  <c r="L251" i="1"/>
  <c r="L243" i="1"/>
  <c r="D241" i="1"/>
  <c r="L235" i="1"/>
  <c r="O231" i="1"/>
  <c r="N226" i="1"/>
  <c r="L223" i="1"/>
  <c r="L219" i="1"/>
  <c r="D216" i="1"/>
  <c r="N212" i="1"/>
  <c r="N208" i="1"/>
  <c r="L205" i="1"/>
  <c r="D202" i="1"/>
  <c r="D198" i="1"/>
  <c r="N194" i="1"/>
  <c r="L191" i="1"/>
  <c r="L187" i="1"/>
  <c r="D184" i="1"/>
  <c r="N180" i="1"/>
  <c r="N176" i="1"/>
  <c r="L173" i="1"/>
  <c r="D170" i="1"/>
  <c r="D166" i="1"/>
  <c r="N162" i="1"/>
  <c r="L159" i="1"/>
  <c r="L155" i="1"/>
  <c r="D152" i="1"/>
  <c r="N148" i="1"/>
  <c r="N144" i="1"/>
  <c r="L141" i="1"/>
  <c r="D138" i="1"/>
  <c r="D134" i="1"/>
  <c r="N130" i="1"/>
  <c r="L127" i="1"/>
  <c r="L123" i="1"/>
  <c r="D120" i="1"/>
  <c r="N116" i="1"/>
  <c r="N112" i="1"/>
  <c r="L109" i="1"/>
  <c r="D106" i="1"/>
  <c r="D102" i="1"/>
  <c r="N98" i="1"/>
  <c r="L95" i="1"/>
  <c r="L91" i="1"/>
  <c r="D88" i="1"/>
  <c r="N84" i="1"/>
  <c r="N80" i="1"/>
  <c r="L77" i="1"/>
  <c r="D74" i="1"/>
  <c r="N70" i="1"/>
  <c r="M266" i="1"/>
  <c r="M258" i="1"/>
  <c r="E253" i="1"/>
  <c r="E249" i="1"/>
  <c r="E245" i="1"/>
  <c r="N240" i="1"/>
  <c r="E237" i="1"/>
  <c r="D235" i="1"/>
  <c r="M230" i="1"/>
  <c r="D228" i="1"/>
  <c r="O225" i="1"/>
  <c r="O223" i="1"/>
  <c r="O221" i="1"/>
  <c r="O219" i="1"/>
  <c r="O217" i="1"/>
  <c r="O215" i="1"/>
  <c r="O213" i="1"/>
  <c r="O211" i="1"/>
  <c r="O209" i="1"/>
  <c r="O207" i="1"/>
  <c r="O205" i="1"/>
  <c r="O203" i="1"/>
  <c r="O201" i="1"/>
  <c r="O199" i="1"/>
  <c r="O197" i="1"/>
  <c r="O195" i="1"/>
  <c r="O193" i="1"/>
  <c r="O191" i="1"/>
  <c r="O189" i="1"/>
  <c r="O187" i="1"/>
  <c r="O185" i="1"/>
  <c r="O183" i="1"/>
  <c r="O181" i="1"/>
  <c r="O179" i="1"/>
  <c r="O177" i="1"/>
  <c r="O175" i="1"/>
  <c r="O173" i="1"/>
  <c r="O171" i="1"/>
  <c r="O169" i="1"/>
  <c r="O167" i="1"/>
  <c r="O165" i="1"/>
  <c r="O163" i="1"/>
  <c r="O161" i="1"/>
  <c r="O159" i="1"/>
  <c r="O157" i="1"/>
  <c r="O155" i="1"/>
  <c r="O153" i="1"/>
  <c r="O151" i="1"/>
  <c r="O149" i="1"/>
  <c r="O147" i="1"/>
  <c r="O145" i="1"/>
  <c r="O143" i="1"/>
  <c r="O141" i="1"/>
  <c r="O139" i="1"/>
  <c r="O137" i="1"/>
  <c r="O135" i="1"/>
  <c r="O133" i="1"/>
  <c r="O131" i="1"/>
  <c r="O129" i="1"/>
  <c r="O127" i="1"/>
  <c r="O125" i="1"/>
  <c r="O123" i="1"/>
  <c r="O121" i="1"/>
  <c r="O119" i="1"/>
  <c r="O117" i="1"/>
  <c r="O115" i="1"/>
  <c r="O113" i="1"/>
  <c r="O111" i="1"/>
  <c r="O109" i="1"/>
  <c r="O107" i="1"/>
  <c r="O105" i="1"/>
  <c r="O103" i="1"/>
  <c r="O101" i="1"/>
  <c r="O99" i="1"/>
  <c r="O97" i="1"/>
  <c r="O95" i="1"/>
  <c r="O93" i="1"/>
  <c r="O91" i="1"/>
  <c r="O89" i="1"/>
  <c r="O87" i="1"/>
  <c r="O85" i="1"/>
  <c r="O83" i="1"/>
  <c r="O81" i="1"/>
  <c r="O79" i="1"/>
  <c r="O77" i="1"/>
  <c r="O75" i="1"/>
  <c r="O73" i="1"/>
  <c r="O71" i="1"/>
  <c r="O69" i="1"/>
  <c r="O67" i="1"/>
  <c r="O65" i="1"/>
  <c r="O63" i="1"/>
  <c r="O61" i="1"/>
  <c r="O59" i="1"/>
  <c r="O57" i="1"/>
  <c r="O55" i="1"/>
  <c r="O53" i="1"/>
  <c r="O51" i="1"/>
  <c r="O49" i="1"/>
  <c r="O47" i="1"/>
  <c r="M79" i="1"/>
  <c r="M71" i="1"/>
  <c r="L65" i="1"/>
  <c r="N60" i="1"/>
  <c r="D56" i="1"/>
  <c r="L49" i="1"/>
  <c r="N44" i="1"/>
  <c r="D42" i="1"/>
  <c r="L39" i="1"/>
  <c r="N36" i="1"/>
  <c r="D34" i="1"/>
  <c r="L31" i="1"/>
  <c r="N28" i="1"/>
  <c r="D26" i="1"/>
  <c r="L23" i="1"/>
  <c r="N20" i="1"/>
  <c r="D18" i="1"/>
  <c r="L15" i="1"/>
  <c r="N12" i="1"/>
  <c r="D10" i="1"/>
  <c r="L7" i="1"/>
  <c r="N4" i="1"/>
  <c r="D2" i="1"/>
  <c r="E9" i="1"/>
  <c r="E3" i="1"/>
  <c r="O12" i="1"/>
  <c r="E8" i="1"/>
  <c r="O80" i="1"/>
  <c r="O72" i="1"/>
  <c r="O66" i="1"/>
  <c r="O62" i="1"/>
  <c r="O54" i="1"/>
  <c r="O46" i="1"/>
  <c r="K41" i="1"/>
  <c r="K37" i="1"/>
  <c r="K31" i="1"/>
  <c r="K27" i="1"/>
  <c r="K21" i="1"/>
  <c r="K17" i="1"/>
  <c r="E11" i="1"/>
  <c r="K80" i="1"/>
  <c r="D66" i="1"/>
  <c r="N54" i="1"/>
  <c r="D43" i="1"/>
  <c r="N37" i="1"/>
  <c r="L32" i="1"/>
  <c r="L24" i="1"/>
  <c r="L16" i="1"/>
  <c r="L8" i="1"/>
  <c r="O10" i="1"/>
  <c r="E72" i="1"/>
  <c r="K62" i="1"/>
  <c r="K50" i="1"/>
  <c r="K44" i="1"/>
  <c r="K40" i="1"/>
  <c r="K36" i="1"/>
  <c r="K32" i="1"/>
  <c r="K30" i="1"/>
  <c r="K26" i="1"/>
  <c r="K22" i="1"/>
  <c r="K20" i="1"/>
  <c r="K16" i="1"/>
  <c r="M13" i="1"/>
  <c r="K733" i="1"/>
  <c r="N638" i="1"/>
  <c r="M547" i="1"/>
  <c r="O489" i="1"/>
  <c r="E447" i="1"/>
  <c r="K539" i="1"/>
  <c r="D483" i="1"/>
  <c r="E534" i="1"/>
  <c r="M491" i="1"/>
  <c r="O448" i="1"/>
  <c r="L513" i="1"/>
  <c r="N456" i="1"/>
  <c r="N415" i="1"/>
  <c r="N372" i="1"/>
  <c r="D330" i="1"/>
  <c r="L297" i="1"/>
  <c r="N268" i="1"/>
  <c r="L422" i="1"/>
  <c r="K405" i="1"/>
  <c r="K391" i="1"/>
  <c r="E377" i="1"/>
  <c r="E363" i="1"/>
  <c r="E349" i="1"/>
  <c r="M334" i="1"/>
  <c r="O323" i="1"/>
  <c r="K313" i="1"/>
  <c r="M302" i="1"/>
  <c r="O291" i="1"/>
  <c r="K281" i="1"/>
  <c r="D445" i="1"/>
  <c r="N418" i="1"/>
  <c r="L404" i="1"/>
  <c r="N389" i="1"/>
  <c r="N375" i="1"/>
  <c r="N361" i="1"/>
  <c r="D347" i="1"/>
  <c r="D333" i="1"/>
  <c r="D319" i="1"/>
  <c r="N307" i="1"/>
  <c r="D297" i="1"/>
  <c r="L286" i="1"/>
  <c r="N275" i="1"/>
  <c r="D265" i="1"/>
  <c r="L254" i="1"/>
  <c r="N243" i="1"/>
  <c r="D425" i="1"/>
  <c r="M413" i="1"/>
  <c r="M405" i="1"/>
  <c r="M397" i="1"/>
  <c r="M389" i="1"/>
  <c r="M373" i="1"/>
  <c r="M365" i="1"/>
  <c r="M361" i="1"/>
  <c r="M357" i="1"/>
  <c r="M353" i="1"/>
  <c r="M345" i="1"/>
  <c r="M337" i="1"/>
  <c r="M329" i="1"/>
  <c r="M321" i="1"/>
  <c r="M313" i="1"/>
  <c r="M305" i="1"/>
  <c r="M297" i="1"/>
  <c r="M293" i="1"/>
  <c r="M285" i="1"/>
  <c r="M273" i="1"/>
  <c r="M265" i="1"/>
  <c r="E260" i="1"/>
  <c r="O254" i="1"/>
  <c r="M249" i="1"/>
  <c r="E244" i="1"/>
  <c r="O238" i="1"/>
  <c r="M233" i="1"/>
  <c r="O230" i="1"/>
  <c r="M264" i="1"/>
  <c r="D248" i="1"/>
  <c r="D238" i="1"/>
  <c r="K229" i="1"/>
  <c r="N221" i="1"/>
  <c r="L218" i="1"/>
  <c r="D211" i="1"/>
  <c r="L204" i="1"/>
  <c r="L200" i="1"/>
  <c r="N193" i="1"/>
  <c r="N759" i="1"/>
  <c r="E479" i="1"/>
  <c r="M523" i="1"/>
  <c r="N442" i="1"/>
  <c r="D290" i="1"/>
  <c r="K387" i="1"/>
  <c r="O331" i="1"/>
  <c r="K289" i="1"/>
  <c r="L400" i="1"/>
  <c r="N343" i="1"/>
  <c r="L294" i="1"/>
  <c r="N251" i="1"/>
  <c r="M403" i="1"/>
  <c r="M371" i="1"/>
  <c r="E352" i="1"/>
  <c r="E336" i="1"/>
  <c r="E320" i="1"/>
  <c r="E304" i="1"/>
  <c r="E288" i="1"/>
  <c r="E272" i="1"/>
  <c r="M259" i="1"/>
  <c r="O248" i="1"/>
  <c r="E238" i="1"/>
  <c r="M227" i="1"/>
  <c r="M240" i="1"/>
  <c r="L224" i="1"/>
  <c r="L210" i="1"/>
  <c r="L196" i="1"/>
  <c r="N185" i="1"/>
  <c r="L178" i="1"/>
  <c r="D171" i="1"/>
  <c r="L164" i="1"/>
  <c r="D157" i="1"/>
  <c r="N149" i="1"/>
  <c r="D143" i="1"/>
  <c r="N135" i="1"/>
  <c r="L128" i="1"/>
  <c r="N121" i="1"/>
  <c r="L114" i="1"/>
  <c r="D107" i="1"/>
  <c r="L100" i="1"/>
  <c r="D93" i="1"/>
  <c r="N85" i="1"/>
  <c r="D79" i="1"/>
  <c r="N71" i="1"/>
  <c r="L64" i="1"/>
  <c r="N57" i="1"/>
  <c r="L50" i="1"/>
  <c r="K267" i="1"/>
  <c r="E251" i="1"/>
  <c r="L240" i="1"/>
  <c r="D232" i="1"/>
  <c r="O224" i="1"/>
  <c r="M219" i="1"/>
  <c r="E214" i="1"/>
  <c r="O208" i="1"/>
  <c r="M203" i="1"/>
  <c r="E198" i="1"/>
  <c r="O192" i="1"/>
  <c r="M187" i="1"/>
  <c r="E182" i="1"/>
  <c r="O176" i="1"/>
  <c r="M171" i="1"/>
  <c r="E166" i="1"/>
  <c r="O160" i="1"/>
  <c r="M155" i="1"/>
  <c r="E150" i="1"/>
  <c r="O144" i="1"/>
  <c r="M139" i="1"/>
  <c r="E134" i="1"/>
  <c r="O128" i="1"/>
  <c r="M123" i="1"/>
  <c r="E118" i="1"/>
  <c r="O112" i="1"/>
  <c r="M107" i="1"/>
  <c r="E102" i="1"/>
  <c r="O96" i="1"/>
  <c r="M91" i="1"/>
  <c r="E86" i="1"/>
  <c r="M268" i="1"/>
  <c r="L247" i="1"/>
  <c r="N237" i="1"/>
  <c r="N229" i="1"/>
  <c r="L221" i="1"/>
  <c r="D214" i="1"/>
  <c r="L207" i="1"/>
  <c r="D200" i="1"/>
  <c r="N192" i="1"/>
  <c r="D186" i="1"/>
  <c r="N178" i="1"/>
  <c r="L171" i="1"/>
  <c r="N164" i="1"/>
  <c r="L157" i="1"/>
  <c r="D150" i="1"/>
  <c r="L143" i="1"/>
  <c r="D136" i="1"/>
  <c r="N128" i="1"/>
  <c r="D122" i="1"/>
  <c r="N114" i="1"/>
  <c r="L107" i="1"/>
  <c r="N100" i="1"/>
  <c r="L93" i="1"/>
  <c r="D86" i="1"/>
  <c r="L79" i="1"/>
  <c r="D72" i="1"/>
  <c r="K263" i="1"/>
  <c r="M250" i="1"/>
  <c r="D243" i="1"/>
  <c r="D236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K76" i="1"/>
  <c r="D64" i="1"/>
  <c r="N52" i="1"/>
  <c r="L43" i="1"/>
  <c r="D38" i="1"/>
  <c r="N32" i="1"/>
  <c r="L27" i="1"/>
  <c r="D22" i="1"/>
  <c r="N16" i="1"/>
  <c r="L11" i="1"/>
  <c r="D6" i="1"/>
  <c r="M10" i="1"/>
  <c r="E5" i="1"/>
  <c r="K10" i="1"/>
  <c r="E76" i="1"/>
  <c r="K64" i="1"/>
  <c r="K56" i="1"/>
  <c r="K48" i="1"/>
  <c r="M42" i="1"/>
  <c r="M38" i="1"/>
  <c r="M34" i="1"/>
  <c r="M30" i="1"/>
  <c r="M26" i="1"/>
  <c r="M22" i="1"/>
  <c r="M18" i="1"/>
  <c r="M14" i="1"/>
  <c r="E7" i="1"/>
  <c r="O4" i="1"/>
  <c r="L67" i="1"/>
  <c r="D58" i="1"/>
  <c r="N46" i="1"/>
  <c r="N41" i="1"/>
  <c r="L36" i="1"/>
  <c r="D31" i="1"/>
  <c r="N25" i="1"/>
  <c r="L20" i="1"/>
  <c r="D15" i="1"/>
  <c r="N9" i="1"/>
  <c r="L2" i="1"/>
  <c r="O76" i="1"/>
  <c r="O64" i="1"/>
  <c r="O56" i="1"/>
  <c r="O48" i="1"/>
  <c r="M43" i="1"/>
  <c r="M39" i="1"/>
  <c r="M35" i="1"/>
  <c r="M31" i="1"/>
  <c r="M27" i="1"/>
  <c r="M23" i="1"/>
  <c r="M19" i="1"/>
  <c r="O14" i="1"/>
  <c r="K4" i="1"/>
  <c r="L125" i="1"/>
  <c r="M238" i="1"/>
  <c r="E223" i="1"/>
  <c r="E215" i="1"/>
  <c r="E207" i="1"/>
  <c r="E199" i="1"/>
  <c r="E191" i="1"/>
  <c r="E183" i="1"/>
  <c r="E175" i="1"/>
  <c r="E163" i="1"/>
  <c r="E155" i="1"/>
  <c r="E147" i="1"/>
  <c r="E139" i="1"/>
  <c r="E135" i="1"/>
  <c r="E127" i="1"/>
  <c r="E119" i="1"/>
  <c r="E111" i="1"/>
  <c r="E103" i="1"/>
  <c r="E91" i="1"/>
  <c r="E83" i="1"/>
  <c r="E75" i="1"/>
  <c r="E67" i="1"/>
  <c r="E59" i="1"/>
  <c r="E55" i="1"/>
  <c r="E47" i="1"/>
  <c r="L57" i="1"/>
  <c r="N40" i="1"/>
  <c r="D30" i="1"/>
  <c r="L19" i="1"/>
  <c r="L3" i="1"/>
  <c r="D3" i="1"/>
  <c r="M3" i="1"/>
  <c r="K60" i="1"/>
  <c r="M44" i="1"/>
  <c r="M36" i="1"/>
  <c r="M28" i="1"/>
  <c r="M20" i="1"/>
  <c r="M2" i="1"/>
  <c r="N62" i="1"/>
  <c r="L44" i="1"/>
  <c r="N33" i="1"/>
  <c r="D23" i="1"/>
  <c r="L12" i="1"/>
  <c r="M5" i="1"/>
  <c r="O60" i="1"/>
  <c r="K45" i="1"/>
  <c r="M37" i="1"/>
  <c r="M29" i="1"/>
  <c r="M21" i="1"/>
  <c r="M11" i="1"/>
  <c r="L468" i="1"/>
  <c r="E345" i="1"/>
  <c r="O299" i="1"/>
  <c r="D415" i="1"/>
  <c r="N357" i="1"/>
  <c r="D305" i="1"/>
  <c r="L262" i="1"/>
  <c r="M411" i="1"/>
  <c r="M379" i="1"/>
  <c r="E356" i="1"/>
  <c r="E340" i="1"/>
  <c r="E324" i="1"/>
  <c r="E308" i="1"/>
  <c r="E292" i="1"/>
  <c r="E276" i="1"/>
  <c r="E262" i="1"/>
  <c r="M251" i="1"/>
  <c r="O240" i="1"/>
  <c r="E230" i="1"/>
  <c r="L245" i="1"/>
  <c r="D229" i="1"/>
  <c r="N213" i="1"/>
  <c r="N199" i="1"/>
  <c r="L186" i="1"/>
  <c r="D179" i="1"/>
  <c r="L172" i="1"/>
  <c r="D165" i="1"/>
  <c r="N157" i="1"/>
  <c r="D151" i="1"/>
  <c r="N143" i="1"/>
  <c r="L136" i="1"/>
  <c r="N129" i="1"/>
  <c r="L122" i="1"/>
  <c r="D115" i="1"/>
  <c r="L108" i="1"/>
  <c r="D101" i="1"/>
  <c r="N93" i="1"/>
  <c r="D87" i="1"/>
  <c r="N79" i="1"/>
  <c r="L72" i="1"/>
  <c r="N65" i="1"/>
  <c r="L58" i="1"/>
  <c r="D51" i="1"/>
  <c r="M270" i="1"/>
  <c r="O251" i="1"/>
  <c r="E241" i="1"/>
  <c r="E233" i="1"/>
  <c r="M225" i="1"/>
  <c r="E220" i="1"/>
  <c r="O214" i="1"/>
  <c r="M209" i="1"/>
  <c r="E204" i="1"/>
  <c r="O198" i="1"/>
  <c r="M193" i="1"/>
  <c r="E188" i="1"/>
  <c r="O182" i="1"/>
  <c r="M177" i="1"/>
  <c r="E172" i="1"/>
  <c r="O166" i="1"/>
  <c r="M161" i="1"/>
  <c r="E156" i="1"/>
  <c r="O150" i="1"/>
  <c r="M145" i="1"/>
  <c r="E140" i="1"/>
  <c r="O134" i="1"/>
  <c r="M129" i="1"/>
  <c r="E124" i="1"/>
  <c r="O118" i="1"/>
  <c r="M113" i="1"/>
  <c r="E108" i="1"/>
  <c r="O102" i="1"/>
  <c r="M97" i="1"/>
  <c r="E92" i="1"/>
  <c r="O86" i="1"/>
  <c r="M81" i="1"/>
  <c r="D250" i="1"/>
  <c r="O239" i="1"/>
  <c r="N230" i="1"/>
  <c r="D222" i="1"/>
  <c r="L215" i="1"/>
  <c r="D208" i="1"/>
  <c r="N200" i="1"/>
  <c r="D194" i="1"/>
  <c r="N186" i="1"/>
  <c r="L179" i="1"/>
  <c r="N172" i="1"/>
  <c r="L165" i="1"/>
  <c r="D158" i="1"/>
  <c r="L151" i="1"/>
  <c r="D144" i="1"/>
  <c r="N136" i="1"/>
  <c r="D130" i="1"/>
  <c r="N122" i="1"/>
  <c r="L115" i="1"/>
  <c r="N108" i="1"/>
  <c r="L101" i="1"/>
  <c r="D94" i="1"/>
  <c r="L87" i="1"/>
  <c r="D80" i="1"/>
  <c r="N72" i="1"/>
  <c r="E265" i="1"/>
  <c r="K251" i="1"/>
  <c r="K243" i="1"/>
  <c r="L236" i="1"/>
  <c r="L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E78" i="1"/>
  <c r="N64" i="1"/>
  <c r="L53" i="1"/>
  <c r="D44" i="1"/>
  <c r="N38" i="1"/>
  <c r="L33" i="1"/>
  <c r="D28" i="1"/>
  <c r="N22" i="1"/>
  <c r="L17" i="1"/>
  <c r="D12" i="1"/>
  <c r="N6" i="1"/>
  <c r="O11" i="1"/>
  <c r="K5" i="1"/>
  <c r="E12" i="1"/>
  <c r="M77" i="1"/>
  <c r="E66" i="1"/>
  <c r="E58" i="1"/>
  <c r="E50" i="1"/>
  <c r="E43" i="1"/>
  <c r="E39" i="1"/>
  <c r="E35" i="1"/>
  <c r="E31" i="1"/>
  <c r="E27" i="1"/>
  <c r="E23" i="1"/>
  <c r="E19" i="1"/>
  <c r="E15" i="1"/>
  <c r="K9" i="1"/>
  <c r="O6" i="1"/>
  <c r="O70" i="1"/>
  <c r="N58" i="1"/>
  <c r="L47" i="1"/>
  <c r="L42" i="1"/>
  <c r="D37" i="1"/>
  <c r="N31" i="1"/>
  <c r="L26" i="1"/>
  <c r="D21" i="1"/>
  <c r="N15" i="1"/>
  <c r="L10" i="1"/>
  <c r="D5" i="1"/>
  <c r="K78" i="1"/>
  <c r="M65" i="1"/>
  <c r="M57" i="1"/>
  <c r="M49" i="1"/>
  <c r="E44" i="1"/>
  <c r="E40" i="1"/>
  <c r="E36" i="1"/>
  <c r="E32" i="1"/>
  <c r="E28" i="1"/>
  <c r="E24" i="1"/>
  <c r="E20" i="1"/>
  <c r="M15" i="1"/>
  <c r="E6" i="1"/>
  <c r="L599" i="1"/>
  <c r="M436" i="1"/>
  <c r="O480" i="1"/>
  <c r="N404" i="1"/>
  <c r="L261" i="1"/>
  <c r="K373" i="1"/>
  <c r="K321" i="1"/>
  <c r="M278" i="1"/>
  <c r="L386" i="1"/>
  <c r="N329" i="1"/>
  <c r="N283" i="1"/>
  <c r="N439" i="1"/>
  <c r="M395" i="1"/>
  <c r="E364" i="1"/>
  <c r="E348" i="1"/>
  <c r="E332" i="1"/>
  <c r="E316" i="1"/>
  <c r="E300" i="1"/>
  <c r="E284" i="1"/>
  <c r="E268" i="1"/>
  <c r="O256" i="1"/>
  <c r="E246" i="1"/>
  <c r="M235" i="1"/>
  <c r="E263" i="1"/>
  <c r="D237" i="1"/>
  <c r="D221" i="1"/>
  <c r="D207" i="1"/>
  <c r="L192" i="1"/>
  <c r="D183" i="1"/>
  <c r="N175" i="1"/>
  <c r="L168" i="1"/>
  <c r="N161" i="1"/>
  <c r="L154" i="1"/>
  <c r="D147" i="1"/>
  <c r="L140" i="1"/>
  <c r="D133" i="1"/>
  <c r="N125" i="1"/>
  <c r="D119" i="1"/>
  <c r="N111" i="1"/>
  <c r="L104" i="1"/>
  <c r="N97" i="1"/>
  <c r="L90" i="1"/>
  <c r="D83" i="1"/>
  <c r="L76" i="1"/>
  <c r="D69" i="1"/>
  <c r="N61" i="1"/>
  <c r="D55" i="1"/>
  <c r="N47" i="1"/>
  <c r="K259" i="1"/>
  <c r="E247" i="1"/>
  <c r="O237" i="1"/>
  <c r="N228" i="1"/>
  <c r="O222" i="1"/>
  <c r="M217" i="1"/>
  <c r="E212" i="1"/>
  <c r="O206" i="1"/>
  <c r="M201" i="1"/>
  <c r="E196" i="1"/>
  <c r="O190" i="1"/>
  <c r="M185" i="1"/>
  <c r="E180" i="1"/>
  <c r="O174" i="1"/>
  <c r="M169" i="1"/>
  <c r="E164" i="1"/>
  <c r="O158" i="1"/>
  <c r="M153" i="1"/>
  <c r="E148" i="1"/>
  <c r="O142" i="1"/>
  <c r="M137" i="1"/>
  <c r="E132" i="1"/>
  <c r="O126" i="1"/>
  <c r="M121" i="1"/>
  <c r="E116" i="1"/>
  <c r="O110" i="1"/>
  <c r="M105" i="1"/>
  <c r="E100" i="1"/>
  <c r="O94" i="1"/>
  <c r="M89" i="1"/>
  <c r="E84" i="1"/>
  <c r="M260" i="1"/>
  <c r="E243" i="1"/>
  <c r="L234" i="1"/>
  <c r="D226" i="1"/>
  <c r="N218" i="1"/>
  <c r="L211" i="1"/>
  <c r="N204" i="1"/>
  <c r="L197" i="1"/>
  <c r="D190" i="1"/>
  <c r="L183" i="1"/>
  <c r="D176" i="1"/>
  <c r="N168" i="1"/>
  <c r="D162" i="1"/>
  <c r="N154" i="1"/>
  <c r="L147" i="1"/>
  <c r="N140" i="1"/>
  <c r="L133" i="1"/>
  <c r="D126" i="1"/>
  <c r="L119" i="1"/>
  <c r="D112" i="1"/>
  <c r="N104" i="1"/>
  <c r="D98" i="1"/>
  <c r="N90" i="1"/>
  <c r="L83" i="1"/>
  <c r="N76" i="1"/>
  <c r="D70" i="1"/>
  <c r="E257" i="1"/>
  <c r="K247" i="1"/>
  <c r="N239" i="1"/>
  <c r="O233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K151" i="1"/>
  <c r="K147" i="1"/>
  <c r="K143" i="1"/>
  <c r="K139" i="1"/>
  <c r="K135" i="1"/>
  <c r="K131" i="1"/>
  <c r="K127" i="1"/>
  <c r="K123" i="1"/>
  <c r="K119" i="1"/>
  <c r="K115" i="1"/>
  <c r="K111" i="1"/>
  <c r="K107" i="1"/>
  <c r="K103" i="1"/>
  <c r="K99" i="1"/>
  <c r="K95" i="1"/>
  <c r="K91" i="1"/>
  <c r="K87" i="1"/>
  <c r="K83" i="1"/>
  <c r="K79" i="1"/>
  <c r="K75" i="1"/>
  <c r="K71" i="1"/>
  <c r="K67" i="1"/>
  <c r="K63" i="1"/>
  <c r="K59" i="1"/>
  <c r="K55" i="1"/>
  <c r="K51" i="1"/>
  <c r="K47" i="1"/>
  <c r="E70" i="1"/>
  <c r="D60" i="1"/>
  <c r="N48" i="1"/>
  <c r="L41" i="1"/>
  <c r="D36" i="1"/>
  <c r="N30" i="1"/>
  <c r="L25" i="1"/>
  <c r="D20" i="1"/>
  <c r="N14" i="1"/>
  <c r="L9" i="1"/>
  <c r="D4" i="1"/>
  <c r="M8" i="1"/>
  <c r="N3" i="1"/>
  <c r="K6" i="1"/>
  <c r="M69" i="1"/>
  <c r="E62" i="1"/>
  <c r="E54" i="1"/>
  <c r="M45" i="1"/>
  <c r="E41" i="1"/>
  <c r="E37" i="1"/>
  <c r="E33" i="1"/>
  <c r="E29" i="1"/>
  <c r="E25" i="1"/>
  <c r="E21" i="1"/>
  <c r="E17" i="1"/>
  <c r="E13" i="1"/>
  <c r="O3" i="1"/>
  <c r="O78" i="1"/>
  <c r="L63" i="1"/>
  <c r="D54" i="1"/>
  <c r="E45" i="1"/>
  <c r="N39" i="1"/>
  <c r="L34" i="1"/>
  <c r="D29" i="1"/>
  <c r="N23" i="1"/>
  <c r="L18" i="1"/>
  <c r="D13" i="1"/>
  <c r="N7" i="1"/>
  <c r="M7" i="1"/>
  <c r="K70" i="1"/>
  <c r="M61" i="1"/>
  <c r="M53" i="1"/>
  <c r="D46" i="1"/>
  <c r="E42" i="1"/>
  <c r="E38" i="1"/>
  <c r="E34" i="1"/>
  <c r="E30" i="1"/>
  <c r="E26" i="1"/>
  <c r="E22" i="1"/>
  <c r="E18" i="1"/>
  <c r="K12" i="1"/>
  <c r="M611" i="1"/>
  <c r="N525" i="1"/>
  <c r="E438" i="1"/>
  <c r="D362" i="1"/>
  <c r="N417" i="1"/>
  <c r="K359" i="1"/>
  <c r="M310" i="1"/>
  <c r="K432" i="1"/>
  <c r="L372" i="1"/>
  <c r="N315" i="1"/>
  <c r="D273" i="1"/>
  <c r="N421" i="1"/>
  <c r="M387" i="1"/>
  <c r="E360" i="1"/>
  <c r="E344" i="1"/>
  <c r="E328" i="1"/>
  <c r="E312" i="1"/>
  <c r="E296" i="1"/>
  <c r="E280" i="1"/>
  <c r="O264" i="1"/>
  <c r="E254" i="1"/>
  <c r="M243" i="1"/>
  <c r="O232" i="1"/>
  <c r="N252" i="1"/>
  <c r="L231" i="1"/>
  <c r="N217" i="1"/>
  <c r="D203" i="1"/>
  <c r="D189" i="1"/>
  <c r="N181" i="1"/>
  <c r="D175" i="1"/>
  <c r="N167" i="1"/>
  <c r="L160" i="1"/>
  <c r="N153" i="1"/>
  <c r="L146" i="1"/>
  <c r="D139" i="1"/>
  <c r="L132" i="1"/>
  <c r="D125" i="1"/>
  <c r="N117" i="1"/>
  <c r="D111" i="1"/>
  <c r="N103" i="1"/>
  <c r="L96" i="1"/>
  <c r="N89" i="1"/>
  <c r="L82" i="1"/>
  <c r="D75" i="1"/>
  <c r="L68" i="1"/>
  <c r="D61" i="1"/>
  <c r="N53" i="1"/>
  <c r="D47" i="1"/>
  <c r="O257" i="1"/>
  <c r="M244" i="1"/>
  <c r="N236" i="1"/>
  <c r="N227" i="1"/>
  <c r="E222" i="1"/>
  <c r="O216" i="1"/>
  <c r="M211" i="1"/>
  <c r="E206" i="1"/>
  <c r="O200" i="1"/>
  <c r="M195" i="1"/>
  <c r="E190" i="1"/>
  <c r="O184" i="1"/>
  <c r="M179" i="1"/>
  <c r="E174" i="1"/>
  <c r="O168" i="1"/>
  <c r="M163" i="1"/>
  <c r="E158" i="1"/>
  <c r="O152" i="1"/>
  <c r="M147" i="1"/>
  <c r="E142" i="1"/>
  <c r="O136" i="1"/>
  <c r="M131" i="1"/>
  <c r="E126" i="1"/>
  <c r="O120" i="1"/>
  <c r="M115" i="1"/>
  <c r="E110" i="1"/>
  <c r="O104" i="1"/>
  <c r="M99" i="1"/>
  <c r="E94" i="1"/>
  <c r="O88" i="1"/>
  <c r="M83" i="1"/>
  <c r="K257" i="1"/>
  <c r="L242" i="1"/>
  <c r="D234" i="1"/>
  <c r="N224" i="1"/>
  <c r="D218" i="1"/>
  <c r="N210" i="1"/>
  <c r="L203" i="1"/>
  <c r="N196" i="1"/>
  <c r="L189" i="1"/>
  <c r="D182" i="1"/>
  <c r="L175" i="1"/>
  <c r="D168" i="1"/>
  <c r="N160" i="1"/>
  <c r="D154" i="1"/>
  <c r="N146" i="1"/>
  <c r="L139" i="1"/>
  <c r="N132" i="1"/>
  <c r="D118" i="1"/>
  <c r="L111" i="1"/>
  <c r="D104" i="1"/>
  <c r="N96" i="1"/>
  <c r="D90" i="1"/>
  <c r="N82" i="1"/>
  <c r="L75" i="1"/>
  <c r="L69" i="1"/>
  <c r="K255" i="1"/>
  <c r="M246" i="1"/>
  <c r="N232" i="1"/>
  <c r="E227" i="1"/>
  <c r="E219" i="1"/>
  <c r="E211" i="1"/>
  <c r="E203" i="1"/>
  <c r="E195" i="1"/>
  <c r="E187" i="1"/>
  <c r="E179" i="1"/>
  <c r="E171" i="1"/>
  <c r="E167" i="1"/>
  <c r="E159" i="1"/>
  <c r="E151" i="1"/>
  <c r="E143" i="1"/>
  <c r="E131" i="1"/>
  <c r="E123" i="1"/>
  <c r="E115" i="1"/>
  <c r="E107" i="1"/>
  <c r="E99" i="1"/>
  <c r="E95" i="1"/>
  <c r="E87" i="1"/>
  <c r="E79" i="1"/>
  <c r="E71" i="1"/>
  <c r="E63" i="1"/>
  <c r="E51" i="1"/>
  <c r="N68" i="1"/>
  <c r="D48" i="1"/>
  <c r="L35" i="1"/>
  <c r="N24" i="1"/>
  <c r="D14" i="1"/>
  <c r="N8" i="1"/>
  <c r="O7" i="1"/>
  <c r="K68" i="1"/>
  <c r="K52" i="1"/>
  <c r="M40" i="1"/>
  <c r="M32" i="1"/>
  <c r="M24" i="1"/>
  <c r="M16" i="1"/>
  <c r="M12" i="1"/>
  <c r="M75" i="1"/>
  <c r="L51" i="1"/>
  <c r="D39" i="1"/>
  <c r="L28" i="1"/>
  <c r="N17" i="1"/>
  <c r="D7" i="1"/>
  <c r="O68" i="1"/>
  <c r="O52" i="1"/>
  <c r="M41" i="1"/>
  <c r="M33" i="1"/>
  <c r="M25" i="1"/>
  <c r="M17" i="1"/>
  <c r="E533" i="1"/>
  <c r="L499" i="1"/>
  <c r="L319" i="1"/>
  <c r="O401" i="1"/>
  <c r="G19" i="1"/>
  <c r="G27" i="1"/>
  <c r="G35" i="1"/>
  <c r="G43" i="1"/>
  <c r="G59" i="1"/>
  <c r="G3" i="1"/>
  <c r="F8" i="1"/>
  <c r="F16" i="1"/>
  <c r="F24" i="1"/>
  <c r="F32" i="1"/>
  <c r="F40" i="1"/>
  <c r="F53" i="1"/>
  <c r="G69" i="1"/>
  <c r="F2" i="1"/>
  <c r="G14" i="1"/>
  <c r="G22" i="1"/>
  <c r="G30" i="1"/>
  <c r="G38" i="1"/>
  <c r="F45" i="1"/>
  <c r="G57" i="1"/>
  <c r="G79" i="1"/>
  <c r="G6" i="1"/>
  <c r="F9" i="1"/>
  <c r="F17" i="1"/>
  <c r="F25" i="1"/>
  <c r="F33" i="1"/>
  <c r="F41" i="1"/>
  <c r="F51" i="1"/>
  <c r="F67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F238" i="1"/>
  <c r="G248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8" i="1"/>
  <c r="F237" i="1"/>
  <c r="F253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5" i="1"/>
  <c r="G203" i="1"/>
  <c r="G211" i="1"/>
  <c r="G219" i="1"/>
  <c r="G227" i="1"/>
  <c r="G236" i="1"/>
  <c r="G25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G234" i="1"/>
  <c r="F247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F427" i="1"/>
  <c r="F438" i="1"/>
  <c r="F248" i="1"/>
  <c r="F256" i="1"/>
  <c r="F264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76" i="1"/>
  <c r="F384" i="1"/>
  <c r="F392" i="1"/>
  <c r="F400" i="1"/>
  <c r="F408" i="1"/>
  <c r="F417" i="1"/>
  <c r="F426" i="1"/>
  <c r="F448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F423" i="1"/>
  <c r="F434" i="1"/>
  <c r="F259" i="1"/>
  <c r="F267" i="1"/>
  <c r="F275" i="1"/>
  <c r="F283" i="1"/>
  <c r="F291" i="1"/>
  <c r="F299" i="1"/>
  <c r="F307" i="1"/>
  <c r="F315" i="1"/>
  <c r="F323" i="1"/>
  <c r="F331" i="1"/>
  <c r="F339" i="1"/>
  <c r="F347" i="1"/>
  <c r="F355" i="1"/>
  <c r="F363" i="1"/>
  <c r="F371" i="1"/>
  <c r="F379" i="1"/>
  <c r="F387" i="1"/>
  <c r="F395" i="1"/>
  <c r="F403" i="1"/>
  <c r="F411" i="1"/>
  <c r="F422" i="1"/>
  <c r="F436" i="1"/>
  <c r="F435" i="1"/>
  <c r="F443" i="1"/>
  <c r="F451" i="1"/>
  <c r="F459" i="1"/>
  <c r="F467" i="1"/>
  <c r="F475" i="1"/>
  <c r="F483" i="1"/>
  <c r="F491" i="1"/>
  <c r="F499" i="1"/>
  <c r="F507" i="1"/>
  <c r="F515" i="1"/>
  <c r="F523" i="1"/>
  <c r="F531" i="1"/>
  <c r="G539" i="1"/>
  <c r="F554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50" i="1"/>
  <c r="F452" i="1"/>
  <c r="F460" i="1"/>
  <c r="F468" i="1"/>
  <c r="F476" i="1"/>
  <c r="F484" i="1"/>
  <c r="F492" i="1"/>
  <c r="F500" i="1"/>
  <c r="F508" i="1"/>
  <c r="F516" i="1"/>
  <c r="F524" i="1"/>
  <c r="F532" i="1"/>
  <c r="F542" i="1"/>
  <c r="F556" i="1"/>
  <c r="G422" i="1"/>
  <c r="G430" i="1"/>
  <c r="G438" i="1"/>
  <c r="G446" i="1"/>
  <c r="G454" i="1"/>
  <c r="G462" i="1"/>
  <c r="G470" i="1"/>
  <c r="G478" i="1"/>
  <c r="G486" i="1"/>
  <c r="G494" i="1"/>
  <c r="G502" i="1"/>
  <c r="G510" i="1"/>
  <c r="G518" i="1"/>
  <c r="G526" i="1"/>
  <c r="G534" i="1"/>
  <c r="G541" i="1"/>
  <c r="G552" i="1"/>
  <c r="G545" i="1"/>
  <c r="G553" i="1"/>
  <c r="G561" i="1"/>
  <c r="G569" i="1"/>
  <c r="G577" i="1"/>
  <c r="G585" i="1"/>
  <c r="G593" i="1"/>
  <c r="G601" i="1"/>
  <c r="G609" i="1"/>
  <c r="G617" i="1"/>
  <c r="F629" i="1"/>
  <c r="G638" i="1"/>
  <c r="F656" i="1"/>
  <c r="F564" i="1"/>
  <c r="F572" i="1"/>
  <c r="F580" i="1"/>
  <c r="F588" i="1"/>
  <c r="F596" i="1"/>
  <c r="F604" i="1"/>
  <c r="F612" i="1"/>
  <c r="F620" i="1"/>
  <c r="G628" i="1"/>
  <c r="F640" i="1"/>
  <c r="F658" i="1"/>
  <c r="G570" i="1"/>
  <c r="G578" i="1"/>
  <c r="G586" i="1"/>
  <c r="G594" i="1"/>
  <c r="G602" i="1"/>
  <c r="G610" i="1"/>
  <c r="G618" i="1"/>
  <c r="F625" i="1"/>
  <c r="G634" i="1"/>
  <c r="F660" i="1"/>
  <c r="F545" i="1"/>
  <c r="F553" i="1"/>
  <c r="F561" i="1"/>
  <c r="F569" i="1"/>
  <c r="F577" i="1"/>
  <c r="F585" i="1"/>
  <c r="F593" i="1"/>
  <c r="F601" i="1"/>
  <c r="F609" i="1"/>
  <c r="F617" i="1"/>
  <c r="G624" i="1"/>
  <c r="F638" i="1"/>
  <c r="F650" i="1"/>
  <c r="F668" i="1"/>
  <c r="F676" i="1"/>
  <c r="F684" i="1"/>
  <c r="F692" i="1"/>
  <c r="F700" i="1"/>
  <c r="F708" i="1"/>
  <c r="F716" i="1"/>
  <c r="F724" i="1"/>
  <c r="F736" i="1"/>
  <c r="F753" i="1"/>
  <c r="G646" i="1"/>
  <c r="G654" i="1"/>
  <c r="G662" i="1"/>
  <c r="G670" i="1"/>
  <c r="G678" i="1"/>
  <c r="G686" i="1"/>
  <c r="G694" i="1"/>
  <c r="G702" i="1"/>
  <c r="G710" i="1"/>
  <c r="G718" i="1"/>
  <c r="G726" i="1"/>
  <c r="F735" i="1"/>
  <c r="F653" i="1"/>
  <c r="F661" i="1"/>
  <c r="F669" i="1"/>
  <c r="F677" i="1"/>
  <c r="F685" i="1"/>
  <c r="F693" i="1"/>
  <c r="F701" i="1"/>
  <c r="F709" i="1"/>
  <c r="F717" i="1"/>
  <c r="F725" i="1"/>
  <c r="F732" i="1"/>
  <c r="G742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F751" i="1"/>
  <c r="F744" i="1"/>
  <c r="F752" i="1"/>
  <c r="F760" i="1"/>
  <c r="F768" i="1"/>
  <c r="F776" i="1"/>
  <c r="F784" i="1"/>
  <c r="F792" i="1"/>
  <c r="F800" i="1"/>
  <c r="F808" i="1"/>
  <c r="F816" i="1"/>
  <c r="F824" i="1"/>
  <c r="G834" i="1"/>
  <c r="G750" i="1"/>
  <c r="G758" i="1"/>
  <c r="G766" i="1"/>
  <c r="G774" i="1"/>
  <c r="G782" i="1"/>
  <c r="G790" i="1"/>
  <c r="G798" i="1"/>
  <c r="G806" i="1"/>
  <c r="G814" i="1"/>
  <c r="G822" i="1"/>
  <c r="F832" i="1"/>
  <c r="F759" i="1"/>
  <c r="F767" i="1"/>
  <c r="F775" i="1"/>
  <c r="F783" i="1"/>
  <c r="F791" i="1"/>
  <c r="F799" i="1"/>
  <c r="F807" i="1"/>
  <c r="F815" i="1"/>
  <c r="F823" i="1"/>
  <c r="G832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1" i="1"/>
  <c r="G839" i="1"/>
  <c r="G847" i="1"/>
  <c r="G855" i="1"/>
  <c r="G863" i="1"/>
  <c r="G871" i="1"/>
  <c r="G879" i="1"/>
  <c r="F893" i="1"/>
  <c r="F844" i="1"/>
  <c r="F852" i="1"/>
  <c r="F860" i="1"/>
  <c r="F868" i="1"/>
  <c r="F876" i="1"/>
  <c r="G882" i="1"/>
  <c r="G893" i="1"/>
  <c r="G844" i="1"/>
  <c r="G852" i="1"/>
  <c r="G860" i="1"/>
  <c r="G868" i="1"/>
  <c r="G876" i="1"/>
  <c r="F887" i="1"/>
  <c r="F833" i="1"/>
  <c r="F841" i="1"/>
  <c r="F849" i="1"/>
  <c r="F857" i="1"/>
  <c r="F865" i="1"/>
  <c r="F873" i="1"/>
  <c r="G887" i="1"/>
  <c r="G888" i="1"/>
  <c r="G896" i="1"/>
  <c r="G904" i="1"/>
  <c r="G912" i="1"/>
  <c r="F921" i="1"/>
  <c r="F933" i="1"/>
  <c r="F897" i="1"/>
  <c r="F905" i="1"/>
  <c r="F913" i="1"/>
  <c r="F920" i="1"/>
  <c r="G929" i="1"/>
  <c r="G895" i="1"/>
  <c r="G903" i="1"/>
  <c r="G911" i="1"/>
  <c r="G919" i="1"/>
  <c r="F931" i="1"/>
  <c r="G949" i="1"/>
  <c r="F888" i="1"/>
  <c r="F896" i="1"/>
  <c r="F904" i="1"/>
  <c r="F912" i="1"/>
  <c r="F923" i="1"/>
  <c r="G935" i="1"/>
  <c r="F941" i="1"/>
  <c r="F949" i="1"/>
  <c r="F957" i="1"/>
  <c r="G966" i="1"/>
  <c r="G982" i="1"/>
  <c r="G953" i="1"/>
  <c r="F962" i="1"/>
  <c r="F975" i="1"/>
  <c r="G1008" i="1"/>
  <c r="F936" i="1"/>
  <c r="F944" i="1"/>
  <c r="F952" i="1"/>
  <c r="F960" i="1"/>
  <c r="F969" i="1"/>
  <c r="G994" i="1"/>
  <c r="G922" i="1"/>
  <c r="G930" i="1"/>
  <c r="G938" i="1"/>
  <c r="G946" i="1"/>
  <c r="G954" i="1"/>
  <c r="F966" i="1"/>
  <c r="F977" i="1"/>
  <c r="G1004" i="1"/>
  <c r="F976" i="1"/>
  <c r="F984" i="1"/>
  <c r="F992" i="1"/>
  <c r="F1000" i="1"/>
  <c r="F1008" i="1"/>
  <c r="F983" i="1"/>
  <c r="F991" i="1"/>
  <c r="F999" i="1"/>
  <c r="F1007" i="1"/>
  <c r="G965" i="1"/>
  <c r="G973" i="1"/>
  <c r="G981" i="1"/>
  <c r="G989" i="1"/>
  <c r="G997" i="1"/>
  <c r="G1005" i="1"/>
  <c r="I7" i="1"/>
  <c r="I15" i="1"/>
  <c r="I23" i="1"/>
  <c r="I31" i="1"/>
  <c r="I39" i="1"/>
  <c r="I52" i="1"/>
  <c r="I68" i="1"/>
  <c r="I6" i="1"/>
  <c r="I14" i="1"/>
  <c r="I22" i="1"/>
  <c r="I30" i="1"/>
  <c r="I38" i="1"/>
  <c r="I46" i="1"/>
  <c r="I62" i="1"/>
  <c r="I241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8" i="1"/>
  <c r="I186" i="1"/>
  <c r="I194" i="1"/>
  <c r="I202" i="1"/>
  <c r="I210" i="1"/>
  <c r="I218" i="1"/>
  <c r="I226" i="1"/>
  <c r="I240" i="1"/>
  <c r="I229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7" i="1"/>
  <c r="I165" i="1"/>
  <c r="I173" i="1"/>
  <c r="I181" i="1"/>
  <c r="I189" i="1"/>
  <c r="I197" i="1"/>
  <c r="I205" i="1"/>
  <c r="I213" i="1"/>
  <c r="I221" i="1"/>
  <c r="I228" i="1"/>
  <c r="I246" i="1"/>
  <c r="I423" i="1"/>
  <c r="I247" i="1"/>
  <c r="I255" i="1"/>
  <c r="I263" i="1"/>
  <c r="I271" i="1"/>
  <c r="I279" i="1"/>
  <c r="I287" i="1"/>
  <c r="I295" i="1"/>
  <c r="I303" i="1"/>
  <c r="I311" i="1"/>
  <c r="I319" i="1"/>
  <c r="I327" i="1"/>
  <c r="I335" i="1"/>
  <c r="I343" i="1"/>
  <c r="I351" i="1"/>
  <c r="I359" i="1"/>
  <c r="I367" i="1"/>
  <c r="I375" i="1"/>
  <c r="I383" i="1"/>
  <c r="I391" i="1"/>
  <c r="I399" i="1"/>
  <c r="I407" i="1"/>
  <c r="I420" i="1"/>
  <c r="I435" i="1"/>
  <c r="I426" i="1"/>
  <c r="I445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2" i="1"/>
  <c r="I380" i="1"/>
  <c r="I388" i="1"/>
  <c r="I396" i="1"/>
  <c r="I404" i="1"/>
  <c r="I412" i="1"/>
  <c r="I424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5" i="1"/>
  <c r="I539" i="1"/>
  <c r="I455" i="1"/>
  <c r="I463" i="1"/>
  <c r="I471" i="1"/>
  <c r="I479" i="1"/>
  <c r="I487" i="1"/>
  <c r="I495" i="1"/>
  <c r="I503" i="1"/>
  <c r="I511" i="1"/>
  <c r="I519" i="1"/>
  <c r="I527" i="1"/>
  <c r="I535" i="1"/>
  <c r="I551" i="1"/>
  <c r="I631" i="1"/>
  <c r="I646" i="1"/>
  <c r="I561" i="1"/>
  <c r="I569" i="1"/>
  <c r="I577" i="1"/>
  <c r="I585" i="1"/>
  <c r="I593" i="1"/>
  <c r="I601" i="1"/>
  <c r="I609" i="1"/>
  <c r="I617" i="1"/>
  <c r="I630" i="1"/>
  <c r="I647" i="1"/>
  <c r="I627" i="1"/>
  <c r="I640" i="1"/>
  <c r="I655" i="1"/>
  <c r="I544" i="1"/>
  <c r="I552" i="1"/>
  <c r="I560" i="1"/>
  <c r="I568" i="1"/>
  <c r="I576" i="1"/>
  <c r="I584" i="1"/>
  <c r="I592" i="1"/>
  <c r="I600" i="1"/>
  <c r="I608" i="1"/>
  <c r="I616" i="1"/>
  <c r="I625" i="1"/>
  <c r="I641" i="1"/>
  <c r="I665" i="1"/>
  <c r="I673" i="1"/>
  <c r="I681" i="1"/>
  <c r="I689" i="1"/>
  <c r="I697" i="1"/>
  <c r="I705" i="1"/>
  <c r="I713" i="1"/>
  <c r="I721" i="1"/>
  <c r="I729" i="1"/>
  <c r="I737" i="1"/>
  <c r="I656" i="1"/>
  <c r="I664" i="1"/>
  <c r="I672" i="1"/>
  <c r="I680" i="1"/>
  <c r="I688" i="1"/>
  <c r="I696" i="1"/>
  <c r="I704" i="1"/>
  <c r="I712" i="1"/>
  <c r="I720" i="1"/>
  <c r="I728" i="1"/>
  <c r="I744" i="1"/>
  <c r="I738" i="1"/>
  <c r="I739" i="1"/>
  <c r="I747" i="1"/>
  <c r="I755" i="1"/>
  <c r="I763" i="1"/>
  <c r="I771" i="1"/>
  <c r="I779" i="1"/>
  <c r="I787" i="1"/>
  <c r="I795" i="1"/>
  <c r="I803" i="1"/>
  <c r="I811" i="1"/>
  <c r="I819" i="1"/>
  <c r="I827" i="1"/>
  <c r="I758" i="1"/>
  <c r="I766" i="1"/>
  <c r="I774" i="1"/>
  <c r="I782" i="1"/>
  <c r="I790" i="1"/>
  <c r="I798" i="1"/>
  <c r="I806" i="1"/>
  <c r="I814" i="1"/>
  <c r="I822" i="1"/>
  <c r="I829" i="1"/>
  <c r="I892" i="1"/>
  <c r="I843" i="1"/>
  <c r="I851" i="1"/>
  <c r="I859" i="1"/>
  <c r="I867" i="1"/>
  <c r="I875" i="1"/>
  <c r="I886" i="1"/>
  <c r="I834" i="1"/>
  <c r="I842" i="1"/>
  <c r="I850" i="1"/>
  <c r="I858" i="1"/>
  <c r="I866" i="1"/>
  <c r="I874" i="1"/>
  <c r="I924" i="1"/>
  <c r="I894" i="1"/>
  <c r="I902" i="1"/>
  <c r="I910" i="1"/>
  <c r="I918" i="1"/>
  <c r="I921" i="1"/>
  <c r="I938" i="1"/>
  <c r="I887" i="1"/>
  <c r="I895" i="1"/>
  <c r="I903" i="1"/>
  <c r="I911" i="1"/>
  <c r="I919" i="1"/>
  <c r="I942" i="1"/>
  <c r="I950" i="1"/>
  <c r="I958" i="1"/>
  <c r="I965" i="1"/>
  <c r="I978" i="1"/>
  <c r="I935" i="1"/>
  <c r="I943" i="1"/>
  <c r="I951" i="1"/>
  <c r="I959" i="1"/>
  <c r="I962" i="1"/>
  <c r="I971" i="1"/>
  <c r="I979" i="1"/>
  <c r="I987" i="1"/>
  <c r="I995" i="1"/>
  <c r="I1003" i="1"/>
  <c r="I980" i="1"/>
  <c r="I988" i="1"/>
  <c r="I996" i="1"/>
  <c r="I1004" i="1"/>
  <c r="G7" i="1"/>
  <c r="G21" i="1"/>
  <c r="G29" i="1"/>
  <c r="G37" i="1"/>
  <c r="G47" i="1"/>
  <c r="G63" i="1"/>
  <c r="G9" i="1"/>
  <c r="F10" i="1"/>
  <c r="F18" i="1"/>
  <c r="F26" i="1"/>
  <c r="F34" i="1"/>
  <c r="F42" i="1"/>
  <c r="F57" i="1"/>
  <c r="G77" i="1"/>
  <c r="G8" i="1"/>
  <c r="G16" i="1"/>
  <c r="G24" i="1"/>
  <c r="G32" i="1"/>
  <c r="G40" i="1"/>
  <c r="G46" i="1"/>
  <c r="G61" i="1"/>
  <c r="G5" i="1"/>
  <c r="F3" i="1"/>
  <c r="F11" i="1"/>
  <c r="F19" i="1"/>
  <c r="F27" i="1"/>
  <c r="F35" i="1"/>
  <c r="F43" i="1"/>
  <c r="F55" i="1"/>
  <c r="G73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F230" i="1"/>
  <c r="F239" i="1"/>
  <c r="G252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29" i="1"/>
  <c r="G238" i="1"/>
  <c r="G254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81" i="1"/>
  <c r="G189" i="1"/>
  <c r="G197" i="1"/>
  <c r="G205" i="1"/>
  <c r="G213" i="1"/>
  <c r="G221" i="1"/>
  <c r="G228" i="1"/>
  <c r="F242" i="1"/>
  <c r="G256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40" i="1"/>
  <c r="F251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F419" i="1"/>
  <c r="F428" i="1"/>
  <c r="F446" i="1"/>
  <c r="F250" i="1"/>
  <c r="F258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G427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F415" i="1"/>
  <c r="F424" i="1"/>
  <c r="F442" i="1"/>
  <c r="F261" i="1"/>
  <c r="F269" i="1"/>
  <c r="F277" i="1"/>
  <c r="F285" i="1"/>
  <c r="F293" i="1"/>
  <c r="F301" i="1"/>
  <c r="F309" i="1"/>
  <c r="F317" i="1"/>
  <c r="F325" i="1"/>
  <c r="F333" i="1"/>
  <c r="F341" i="1"/>
  <c r="F349" i="1"/>
  <c r="F357" i="1"/>
  <c r="F365" i="1"/>
  <c r="F373" i="1"/>
  <c r="F381" i="1"/>
  <c r="F389" i="1"/>
  <c r="F397" i="1"/>
  <c r="F405" i="1"/>
  <c r="F413" i="1"/>
  <c r="G423" i="1"/>
  <c r="F444" i="1"/>
  <c r="F437" i="1"/>
  <c r="F445" i="1"/>
  <c r="F453" i="1"/>
  <c r="F461" i="1"/>
  <c r="F469" i="1"/>
  <c r="F477" i="1"/>
  <c r="F485" i="1"/>
  <c r="F493" i="1"/>
  <c r="F501" i="1"/>
  <c r="F509" i="1"/>
  <c r="F517" i="1"/>
  <c r="F525" i="1"/>
  <c r="F533" i="1"/>
  <c r="G540" i="1"/>
  <c r="F558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54" i="1"/>
  <c r="F454" i="1"/>
  <c r="F462" i="1"/>
  <c r="F470" i="1"/>
  <c r="F478" i="1"/>
  <c r="F486" i="1"/>
  <c r="F494" i="1"/>
  <c r="F502" i="1"/>
  <c r="F510" i="1"/>
  <c r="F518" i="1"/>
  <c r="F526" i="1"/>
  <c r="F534" i="1"/>
  <c r="F544" i="1"/>
  <c r="G416" i="1"/>
  <c r="G424" i="1"/>
  <c r="G432" i="1"/>
  <c r="G440" i="1"/>
  <c r="G448" i="1"/>
  <c r="G456" i="1"/>
  <c r="G464" i="1"/>
  <c r="G472" i="1"/>
  <c r="G480" i="1"/>
  <c r="G488" i="1"/>
  <c r="G17" i="1"/>
  <c r="G33" i="1"/>
  <c r="G55" i="1"/>
  <c r="F6" i="1"/>
  <c r="F22" i="1"/>
  <c r="F38" i="1"/>
  <c r="F65" i="1"/>
  <c r="G12" i="1"/>
  <c r="G28" i="1"/>
  <c r="G44" i="1"/>
  <c r="G71" i="1"/>
  <c r="F7" i="1"/>
  <c r="F23" i="1"/>
  <c r="F39" i="1"/>
  <c r="F63" i="1"/>
  <c r="G56" i="1"/>
  <c r="G72" i="1"/>
  <c r="G88" i="1"/>
  <c r="G104" i="1"/>
  <c r="G120" i="1"/>
  <c r="G136" i="1"/>
  <c r="G152" i="1"/>
  <c r="G168" i="1"/>
  <c r="G184" i="1"/>
  <c r="G200" i="1"/>
  <c r="G216" i="1"/>
  <c r="G232" i="1"/>
  <c r="G268" i="1"/>
  <c r="F83" i="1"/>
  <c r="F99" i="1"/>
  <c r="F115" i="1"/>
  <c r="F131" i="1"/>
  <c r="F147" i="1"/>
  <c r="F163" i="1"/>
  <c r="F179" i="1"/>
  <c r="F195" i="1"/>
  <c r="F211" i="1"/>
  <c r="F227" i="1"/>
  <c r="F249" i="1"/>
  <c r="G89" i="1"/>
  <c r="G105" i="1"/>
  <c r="G121" i="1"/>
  <c r="G137" i="1"/>
  <c r="G153" i="1"/>
  <c r="G169" i="1"/>
  <c r="G185" i="1"/>
  <c r="G201" i="1"/>
  <c r="G217" i="1"/>
  <c r="F235" i="1"/>
  <c r="F46" i="1"/>
  <c r="F62" i="1"/>
  <c r="F78" i="1"/>
  <c r="F94" i="1"/>
  <c r="F110" i="1"/>
  <c r="F126" i="1"/>
  <c r="F142" i="1"/>
  <c r="F158" i="1"/>
  <c r="F174" i="1"/>
  <c r="F190" i="1"/>
  <c r="F206" i="1"/>
  <c r="F222" i="1"/>
  <c r="G242" i="1"/>
  <c r="G235" i="1"/>
  <c r="G251" i="1"/>
  <c r="G267" i="1"/>
  <c r="G283" i="1"/>
  <c r="G299" i="1"/>
  <c r="G315" i="1"/>
  <c r="G331" i="1"/>
  <c r="G347" i="1"/>
  <c r="G363" i="1"/>
  <c r="G379" i="1"/>
  <c r="G395" i="1"/>
  <c r="G411" i="1"/>
  <c r="F432" i="1"/>
  <c r="F254" i="1"/>
  <c r="F270" i="1"/>
  <c r="F286" i="1"/>
  <c r="F302" i="1"/>
  <c r="F318" i="1"/>
  <c r="F334" i="1"/>
  <c r="F350" i="1"/>
  <c r="F366" i="1"/>
  <c r="F382" i="1"/>
  <c r="F398" i="1"/>
  <c r="F414" i="1"/>
  <c r="F440" i="1"/>
  <c r="G284" i="1"/>
  <c r="G300" i="1"/>
  <c r="G316" i="1"/>
  <c r="G332" i="1"/>
  <c r="G348" i="1"/>
  <c r="G364" i="1"/>
  <c r="G380" i="1"/>
  <c r="G396" i="1"/>
  <c r="G412" i="1"/>
  <c r="F430" i="1"/>
  <c r="F265" i="1"/>
  <c r="F281" i="1"/>
  <c r="F297" i="1"/>
  <c r="F313" i="1"/>
  <c r="F329" i="1"/>
  <c r="F345" i="1"/>
  <c r="F361" i="1"/>
  <c r="F377" i="1"/>
  <c r="F393" i="1"/>
  <c r="F409" i="1"/>
  <c r="G431" i="1"/>
  <c r="F441" i="1"/>
  <c r="F457" i="1"/>
  <c r="F473" i="1"/>
  <c r="F489" i="1"/>
  <c r="F505" i="1"/>
  <c r="F521" i="1"/>
  <c r="F537" i="1"/>
  <c r="G435" i="1"/>
  <c r="G451" i="1"/>
  <c r="G467" i="1"/>
  <c r="G483" i="1"/>
  <c r="G499" i="1"/>
  <c r="G515" i="1"/>
  <c r="G531" i="1"/>
  <c r="F450" i="1"/>
  <c r="F466" i="1"/>
  <c r="F482" i="1"/>
  <c r="F498" i="1"/>
  <c r="F514" i="1"/>
  <c r="F530" i="1"/>
  <c r="F552" i="1"/>
  <c r="G428" i="1"/>
  <c r="G444" i="1"/>
  <c r="G460" i="1"/>
  <c r="G476" i="1"/>
  <c r="G492" i="1"/>
  <c r="G504" i="1"/>
  <c r="G514" i="1"/>
  <c r="G524" i="1"/>
  <c r="G536" i="1"/>
  <c r="G544" i="1"/>
  <c r="G543" i="1"/>
  <c r="G555" i="1"/>
  <c r="G565" i="1"/>
  <c r="G575" i="1"/>
  <c r="G587" i="1"/>
  <c r="G597" i="1"/>
  <c r="G607" i="1"/>
  <c r="G619" i="1"/>
  <c r="F636" i="1"/>
  <c r="F651" i="1"/>
  <c r="F566" i="1"/>
  <c r="F576" i="1"/>
  <c r="F586" i="1"/>
  <c r="F598" i="1"/>
  <c r="F608" i="1"/>
  <c r="F618" i="1"/>
  <c r="F634" i="1"/>
  <c r="F648" i="1"/>
  <c r="G568" i="1"/>
  <c r="G580" i="1"/>
  <c r="G590" i="1"/>
  <c r="G600" i="1"/>
  <c r="G612" i="1"/>
  <c r="G622" i="1"/>
  <c r="F633" i="1"/>
  <c r="F539" i="1"/>
  <c r="F549" i="1"/>
  <c r="F559" i="1"/>
  <c r="F571" i="1"/>
  <c r="F581" i="1"/>
  <c r="F591" i="1"/>
  <c r="F603" i="1"/>
  <c r="F613" i="1"/>
  <c r="F623" i="1"/>
  <c r="F639" i="1"/>
  <c r="F662" i="1"/>
  <c r="F674" i="1"/>
  <c r="F686" i="1"/>
  <c r="F696" i="1"/>
  <c r="F706" i="1"/>
  <c r="F718" i="1"/>
  <c r="F728" i="1"/>
  <c r="F745" i="1"/>
  <c r="G648" i="1"/>
  <c r="G658" i="1"/>
  <c r="G668" i="1"/>
  <c r="G680" i="1"/>
  <c r="G690" i="1"/>
  <c r="G700" i="1"/>
  <c r="G712" i="1"/>
  <c r="G722" i="1"/>
  <c r="F734" i="1"/>
  <c r="F655" i="1"/>
  <c r="F665" i="1"/>
  <c r="F675" i="1"/>
  <c r="F687" i="1"/>
  <c r="F697" i="1"/>
  <c r="F707" i="1"/>
  <c r="F719" i="1"/>
  <c r="F729" i="1"/>
  <c r="G738" i="1"/>
  <c r="G629" i="1"/>
  <c r="G639" i="1"/>
  <c r="G649" i="1"/>
  <c r="G661" i="1"/>
  <c r="G671" i="1"/>
  <c r="G681" i="1"/>
  <c r="G693" i="1"/>
  <c r="G703" i="1"/>
  <c r="G713" i="1"/>
  <c r="G725" i="1"/>
  <c r="F739" i="1"/>
  <c r="F742" i="1"/>
  <c r="F754" i="1"/>
  <c r="F764" i="1"/>
  <c r="F774" i="1"/>
  <c r="F786" i="1"/>
  <c r="F796" i="1"/>
  <c r="F806" i="1"/>
  <c r="F818" i="1"/>
  <c r="F828" i="1"/>
  <c r="G748" i="1"/>
  <c r="G760" i="1"/>
  <c r="G770" i="1"/>
  <c r="G780" i="1"/>
  <c r="G792" i="1"/>
  <c r="G802" i="1"/>
  <c r="G812" i="1"/>
  <c r="G824" i="1"/>
  <c r="F755" i="1"/>
  <c r="F765" i="1"/>
  <c r="F777" i="1"/>
  <c r="F787" i="1"/>
  <c r="F797" i="1"/>
  <c r="F809" i="1"/>
  <c r="F819" i="1"/>
  <c r="G829" i="1"/>
  <c r="G739" i="1"/>
  <c r="G749" i="1"/>
  <c r="G759" i="1"/>
  <c r="G771" i="1"/>
  <c r="G781" i="1"/>
  <c r="G791" i="1"/>
  <c r="G803" i="1"/>
  <c r="G813" i="1"/>
  <c r="G823" i="1"/>
  <c r="G833" i="1"/>
  <c r="G843" i="1"/>
  <c r="G853" i="1"/>
  <c r="G865" i="1"/>
  <c r="G875" i="1"/>
  <c r="F889" i="1"/>
  <c r="F846" i="1"/>
  <c r="F856" i="1"/>
  <c r="F866" i="1"/>
  <c r="F878" i="1"/>
  <c r="G885" i="1"/>
  <c r="G842" i="1"/>
  <c r="G854" i="1"/>
  <c r="G864" i="1"/>
  <c r="G874" i="1"/>
  <c r="F891" i="1"/>
  <c r="F837" i="1"/>
  <c r="F847" i="1"/>
  <c r="F859" i="1"/>
  <c r="F869" i="1"/>
  <c r="F879" i="1"/>
  <c r="G890" i="1"/>
  <c r="G900" i="1"/>
  <c r="G910" i="1"/>
  <c r="F922" i="1"/>
  <c r="G945" i="1"/>
  <c r="F903" i="1"/>
  <c r="F915" i="1"/>
  <c r="F927" i="1"/>
  <c r="G947" i="1"/>
  <c r="G905" i="1"/>
  <c r="G915" i="1"/>
  <c r="G927" i="1"/>
  <c r="F882" i="1"/>
  <c r="F892" i="1"/>
  <c r="F902" i="1"/>
  <c r="F914" i="1"/>
  <c r="G925" i="1"/>
  <c r="G951" i="1"/>
  <c r="F951" i="1"/>
  <c r="F964" i="1"/>
  <c r="G978" i="1"/>
  <c r="G955" i="1"/>
  <c r="G964" i="1"/>
  <c r="G1000" i="1"/>
  <c r="F938" i="1"/>
  <c r="F948" i="1"/>
  <c r="F958" i="1"/>
  <c r="G972" i="1"/>
  <c r="G1010" i="1"/>
  <c r="G928" i="1"/>
  <c r="G940" i="1"/>
  <c r="G950" i="1"/>
  <c r="G960" i="1"/>
  <c r="G980" i="1"/>
  <c r="F972" i="1"/>
  <c r="F982" i="1"/>
  <c r="F994" i="1"/>
  <c r="F1004" i="1"/>
  <c r="F981" i="1"/>
  <c r="F993" i="1"/>
  <c r="F1003" i="1"/>
  <c r="G963" i="1"/>
  <c r="G975" i="1"/>
  <c r="G985" i="1"/>
  <c r="G995" i="1"/>
  <c r="G1007" i="1"/>
  <c r="I11" i="1"/>
  <c r="I21" i="1"/>
  <c r="I33" i="1"/>
  <c r="I43" i="1"/>
  <c r="I64" i="1"/>
  <c r="I8" i="1"/>
  <c r="I18" i="1"/>
  <c r="I28" i="1"/>
  <c r="I40" i="1"/>
  <c r="I54" i="1"/>
  <c r="I234" i="1"/>
  <c r="I76" i="1"/>
  <c r="I86" i="1"/>
  <c r="I96" i="1"/>
  <c r="I108" i="1"/>
  <c r="I118" i="1"/>
  <c r="I128" i="1"/>
  <c r="I140" i="1"/>
  <c r="I150" i="1"/>
  <c r="I160" i="1"/>
  <c r="I172" i="1"/>
  <c r="I182" i="1"/>
  <c r="I192" i="1"/>
  <c r="I204" i="1"/>
  <c r="I214" i="1"/>
  <c r="I224" i="1"/>
  <c r="I244" i="1"/>
  <c r="I237" i="1"/>
  <c r="I51" i="1"/>
  <c r="I63" i="1"/>
  <c r="I73" i="1"/>
  <c r="I83" i="1"/>
  <c r="I95" i="1"/>
  <c r="I105" i="1"/>
  <c r="I115" i="1"/>
  <c r="I127" i="1"/>
  <c r="I137" i="1"/>
  <c r="I147" i="1"/>
  <c r="I159" i="1"/>
  <c r="I169" i="1"/>
  <c r="I179" i="1"/>
  <c r="I191" i="1"/>
  <c r="I201" i="1"/>
  <c r="I211" i="1"/>
  <c r="I223" i="1"/>
  <c r="I236" i="1"/>
  <c r="I422" i="1"/>
  <c r="I249" i="1"/>
  <c r="I259" i="1"/>
  <c r="I269" i="1"/>
  <c r="I281" i="1"/>
  <c r="I291" i="1"/>
  <c r="I301" i="1"/>
  <c r="I313" i="1"/>
  <c r="I323" i="1"/>
  <c r="I333" i="1"/>
  <c r="I345" i="1"/>
  <c r="I355" i="1"/>
  <c r="I365" i="1"/>
  <c r="I377" i="1"/>
  <c r="I387" i="1"/>
  <c r="I397" i="1"/>
  <c r="I409" i="1"/>
  <c r="I428" i="1"/>
  <c r="I419" i="1"/>
  <c r="I254" i="1"/>
  <c r="I264" i="1"/>
  <c r="I274" i="1"/>
  <c r="I286" i="1"/>
  <c r="I296" i="1"/>
  <c r="I306" i="1"/>
  <c r="I318" i="1"/>
  <c r="I328" i="1"/>
  <c r="I338" i="1"/>
  <c r="I350" i="1"/>
  <c r="I360" i="1"/>
  <c r="I370" i="1"/>
  <c r="I382" i="1"/>
  <c r="I392" i="1"/>
  <c r="I402" i="1"/>
  <c r="I414" i="1"/>
  <c r="I439" i="1"/>
  <c r="I436" i="1"/>
  <c r="I448" i="1"/>
  <c r="I458" i="1"/>
  <c r="I468" i="1"/>
  <c r="I480" i="1"/>
  <c r="I490" i="1"/>
  <c r="I500" i="1"/>
  <c r="I512" i="1"/>
  <c r="I522" i="1"/>
  <c r="I532" i="1"/>
  <c r="I549" i="1"/>
  <c r="I451" i="1"/>
  <c r="I461" i="1"/>
  <c r="I473" i="1"/>
  <c r="I483" i="1"/>
  <c r="I493" i="1"/>
  <c r="I505" i="1"/>
  <c r="I515" i="1"/>
  <c r="I525" i="1"/>
  <c r="I537" i="1"/>
  <c r="I623" i="1"/>
  <c r="I642" i="1"/>
  <c r="I563" i="1"/>
  <c r="I573" i="1"/>
  <c r="I583" i="1"/>
  <c r="I595" i="1"/>
  <c r="I605" i="1"/>
  <c r="I615" i="1"/>
  <c r="I637" i="1"/>
  <c r="I653" i="1"/>
  <c r="I636" i="1"/>
  <c r="I663" i="1"/>
  <c r="I548" i="1"/>
  <c r="I558" i="1"/>
  <c r="I570" i="1"/>
  <c r="I580" i="1"/>
  <c r="I590" i="1"/>
  <c r="I602" i="1"/>
  <c r="I612" i="1"/>
  <c r="I622" i="1"/>
  <c r="I645" i="1"/>
  <c r="I669" i="1"/>
  <c r="I679" i="1"/>
  <c r="I691" i="1"/>
  <c r="I701" i="1"/>
  <c r="I711" i="1"/>
  <c r="I723" i="1"/>
  <c r="I732" i="1"/>
  <c r="I654" i="1"/>
  <c r="I666" i="1"/>
  <c r="I676" i="1"/>
  <c r="I686" i="1"/>
  <c r="I698" i="1"/>
  <c r="I708" i="1"/>
  <c r="I718" i="1"/>
  <c r="I730" i="1"/>
  <c r="I733" i="1"/>
  <c r="I754" i="1"/>
  <c r="I749" i="1"/>
  <c r="I759" i="1"/>
  <c r="I769" i="1"/>
  <c r="I781" i="1"/>
  <c r="I791" i="1"/>
  <c r="I801" i="1"/>
  <c r="I813" i="1"/>
  <c r="I823" i="1"/>
  <c r="I756" i="1"/>
  <c r="I768" i="1"/>
  <c r="I778" i="1"/>
  <c r="I788" i="1"/>
  <c r="I800" i="1"/>
  <c r="I810" i="1"/>
  <c r="I820" i="1"/>
  <c r="I833" i="1"/>
  <c r="I839" i="1"/>
  <c r="I849" i="1"/>
  <c r="I861" i="1"/>
  <c r="I871" i="1"/>
  <c r="I882" i="1"/>
  <c r="I836" i="1"/>
  <c r="I846" i="1"/>
  <c r="I856" i="1"/>
  <c r="I868" i="1"/>
  <c r="I878" i="1"/>
  <c r="I936" i="1"/>
  <c r="I904" i="1"/>
  <c r="I914" i="1"/>
  <c r="I920" i="1"/>
  <c r="I881" i="1"/>
  <c r="I891" i="1"/>
  <c r="I901" i="1"/>
  <c r="I913" i="1"/>
  <c r="I927" i="1"/>
  <c r="I948" i="1"/>
  <c r="I960" i="1"/>
  <c r="I970" i="1"/>
  <c r="I933" i="1"/>
  <c r="I945" i="1"/>
  <c r="I955" i="1"/>
  <c r="I961" i="1"/>
  <c r="I973" i="1"/>
  <c r="I983" i="1"/>
  <c r="I993" i="1"/>
  <c r="I1005" i="1"/>
  <c r="I984" i="1"/>
  <c r="I994" i="1"/>
  <c r="I1006" i="1"/>
  <c r="G23" i="1"/>
  <c r="G39" i="1"/>
  <c r="G67" i="1"/>
  <c r="F12" i="1"/>
  <c r="F28" i="1"/>
  <c r="F44" i="1"/>
  <c r="G11" i="1"/>
  <c r="G18" i="1"/>
  <c r="G34" i="1"/>
  <c r="G49" i="1"/>
  <c r="G2" i="1"/>
  <c r="F13" i="1"/>
  <c r="F29" i="1"/>
  <c r="G45" i="1"/>
  <c r="G81" i="1"/>
  <c r="G62" i="1"/>
  <c r="G78" i="1"/>
  <c r="G94" i="1"/>
  <c r="G110" i="1"/>
  <c r="G126" i="1"/>
  <c r="G142" i="1"/>
  <c r="G158" i="1"/>
  <c r="G174" i="1"/>
  <c r="G190" i="1"/>
  <c r="G206" i="1"/>
  <c r="G222" i="1"/>
  <c r="G240" i="1"/>
  <c r="F73" i="1"/>
  <c r="F89" i="1"/>
  <c r="F105" i="1"/>
  <c r="F121" i="1"/>
  <c r="F137" i="1"/>
  <c r="F153" i="1"/>
  <c r="F169" i="1"/>
  <c r="F185" i="1"/>
  <c r="F201" i="1"/>
  <c r="F217" i="1"/>
  <c r="G230" i="1"/>
  <c r="G262" i="1"/>
  <c r="G95" i="1"/>
  <c r="G111" i="1"/>
  <c r="G127" i="1"/>
  <c r="G143" i="1"/>
  <c r="G159" i="1"/>
  <c r="G175" i="1"/>
  <c r="G191" i="1"/>
  <c r="G207" i="1"/>
  <c r="G223" i="1"/>
  <c r="F243" i="1"/>
  <c r="F52" i="1"/>
  <c r="F68" i="1"/>
  <c r="F84" i="1"/>
  <c r="F100" i="1"/>
  <c r="F116" i="1"/>
  <c r="F132" i="1"/>
  <c r="F148" i="1"/>
  <c r="F164" i="1"/>
  <c r="F180" i="1"/>
  <c r="F196" i="1"/>
  <c r="F212" i="1"/>
  <c r="F232" i="1"/>
  <c r="G258" i="1"/>
  <c r="G241" i="1"/>
  <c r="G257" i="1"/>
  <c r="G273" i="1"/>
  <c r="G289" i="1"/>
  <c r="G305" i="1"/>
  <c r="G321" i="1"/>
  <c r="G337" i="1"/>
  <c r="G353" i="1"/>
  <c r="G369" i="1"/>
  <c r="G385" i="1"/>
  <c r="G401" i="1"/>
  <c r="F420" i="1"/>
  <c r="F244" i="1"/>
  <c r="F260" i="1"/>
  <c r="F276" i="1"/>
  <c r="F292" i="1"/>
  <c r="F308" i="1"/>
  <c r="F324" i="1"/>
  <c r="F340" i="1"/>
  <c r="F356" i="1"/>
  <c r="F372" i="1"/>
  <c r="F388" i="1"/>
  <c r="F404" i="1"/>
  <c r="G419" i="1"/>
  <c r="G274" i="1"/>
  <c r="G290" i="1"/>
  <c r="G306" i="1"/>
  <c r="G322" i="1"/>
  <c r="G338" i="1"/>
  <c r="G354" i="1"/>
  <c r="G370" i="1"/>
  <c r="G386" i="1"/>
  <c r="G402" i="1"/>
  <c r="F416" i="1"/>
  <c r="F255" i="1"/>
  <c r="F271" i="1"/>
  <c r="F287" i="1"/>
  <c r="F303" i="1"/>
  <c r="F319" i="1"/>
  <c r="F335" i="1"/>
  <c r="F351" i="1"/>
  <c r="F367" i="1"/>
  <c r="F383" i="1"/>
  <c r="F399" i="1"/>
  <c r="G415" i="1"/>
  <c r="F431" i="1"/>
  <c r="F447" i="1"/>
  <c r="F463" i="1"/>
  <c r="F479" i="1"/>
  <c r="F495" i="1"/>
  <c r="F511" i="1"/>
  <c r="F527" i="1"/>
  <c r="F546" i="1"/>
  <c r="G441" i="1"/>
  <c r="G457" i="1"/>
  <c r="G473" i="1"/>
  <c r="G489" i="1"/>
  <c r="G505" i="1"/>
  <c r="G521" i="1"/>
  <c r="G537" i="1"/>
  <c r="F456" i="1"/>
  <c r="F472" i="1"/>
  <c r="F488" i="1"/>
  <c r="F504" i="1"/>
  <c r="F520" i="1"/>
  <c r="F536" i="1"/>
  <c r="G418" i="1"/>
  <c r="G434" i="1"/>
  <c r="G450" i="1"/>
  <c r="G466" i="1"/>
  <c r="G482" i="1"/>
  <c r="G496" i="1"/>
  <c r="G506" i="1"/>
  <c r="G516" i="1"/>
  <c r="G528" i="1"/>
  <c r="G538" i="1"/>
  <c r="G548" i="1"/>
  <c r="G547" i="1"/>
  <c r="G557" i="1"/>
  <c r="G567" i="1"/>
  <c r="G579" i="1"/>
  <c r="G589" i="1"/>
  <c r="G599" i="1"/>
  <c r="G611" i="1"/>
  <c r="G621" i="1"/>
  <c r="F637" i="1"/>
  <c r="F664" i="1"/>
  <c r="F568" i="1"/>
  <c r="F578" i="1"/>
  <c r="F590" i="1"/>
  <c r="F600" i="1"/>
  <c r="F610" i="1"/>
  <c r="F622" i="1"/>
  <c r="F635" i="1"/>
  <c r="F652" i="1"/>
  <c r="G572" i="1"/>
  <c r="G582" i="1"/>
  <c r="G592" i="1"/>
  <c r="G604" i="1"/>
  <c r="G614" i="1"/>
  <c r="F624" i="1"/>
  <c r="F641" i="1"/>
  <c r="F541" i="1"/>
  <c r="F551" i="1"/>
  <c r="F563" i="1"/>
  <c r="F573" i="1"/>
  <c r="F583" i="1"/>
  <c r="F595" i="1"/>
  <c r="F605" i="1"/>
  <c r="F615" i="1"/>
  <c r="F630" i="1"/>
  <c r="F642" i="1"/>
  <c r="F666" i="1"/>
  <c r="F678" i="1"/>
  <c r="F688" i="1"/>
  <c r="F698" i="1"/>
  <c r="F710" i="1"/>
  <c r="F720" i="1"/>
  <c r="F730" i="1"/>
  <c r="G640" i="1"/>
  <c r="G650" i="1"/>
  <c r="G660" i="1"/>
  <c r="G672" i="1"/>
  <c r="G682" i="1"/>
  <c r="G692" i="1"/>
  <c r="G704" i="1"/>
  <c r="G714" i="1"/>
  <c r="G724" i="1"/>
  <c r="G736" i="1"/>
  <c r="F657" i="1"/>
  <c r="F667" i="1"/>
  <c r="F679" i="1"/>
  <c r="F689" i="1"/>
  <c r="F699" i="1"/>
  <c r="F711" i="1"/>
  <c r="F721" i="1"/>
  <c r="F731" i="1"/>
  <c r="F749" i="1"/>
  <c r="G631" i="1"/>
  <c r="G641" i="1"/>
  <c r="G653" i="1"/>
  <c r="G663" i="1"/>
  <c r="G673" i="1"/>
  <c r="G685" i="1"/>
  <c r="G695" i="1"/>
  <c r="G705" i="1"/>
  <c r="G717" i="1"/>
  <c r="G727" i="1"/>
  <c r="F743" i="1"/>
  <c r="F746" i="1"/>
  <c r="F756" i="1"/>
  <c r="F766" i="1"/>
  <c r="F778" i="1"/>
  <c r="F788" i="1"/>
  <c r="F798" i="1"/>
  <c r="F810" i="1"/>
  <c r="F820" i="1"/>
  <c r="G830" i="1"/>
  <c r="G752" i="1"/>
  <c r="G762" i="1"/>
  <c r="G772" i="1"/>
  <c r="G784" i="1"/>
  <c r="G794" i="1"/>
  <c r="G804" i="1"/>
  <c r="G816" i="1"/>
  <c r="G826" i="1"/>
  <c r="F757" i="1"/>
  <c r="F769" i="1"/>
  <c r="F779" i="1"/>
  <c r="F789" i="1"/>
  <c r="F801" i="1"/>
  <c r="F811" i="1"/>
  <c r="F821" i="1"/>
  <c r="G836" i="1"/>
  <c r="G741" i="1"/>
  <c r="G751" i="1"/>
  <c r="G763" i="1"/>
  <c r="G773" i="1"/>
  <c r="G783" i="1"/>
  <c r="G795" i="1"/>
  <c r="G805" i="1"/>
  <c r="G815" i="1"/>
  <c r="G827" i="1"/>
  <c r="G835" i="1"/>
  <c r="G845" i="1"/>
  <c r="G857" i="1"/>
  <c r="G867" i="1"/>
  <c r="G877" i="1"/>
  <c r="F838" i="1"/>
  <c r="F848" i="1"/>
  <c r="F858" i="1"/>
  <c r="F870" i="1"/>
  <c r="F880" i="1"/>
  <c r="G889" i="1"/>
  <c r="G846" i="1"/>
  <c r="G856" i="1"/>
  <c r="G866" i="1"/>
  <c r="G878" i="1"/>
  <c r="F829" i="1"/>
  <c r="F839" i="1"/>
  <c r="F851" i="1"/>
  <c r="F861" i="1"/>
  <c r="F871" i="1"/>
  <c r="G891" i="1"/>
  <c r="G892" i="1"/>
  <c r="G902" i="1"/>
  <c r="G914" i="1"/>
  <c r="G923" i="1"/>
  <c r="F895" i="1"/>
  <c r="F907" i="1"/>
  <c r="F917" i="1"/>
  <c r="F928" i="1"/>
  <c r="G897" i="1"/>
  <c r="G907" i="1"/>
  <c r="G917" i="1"/>
  <c r="F935" i="1"/>
  <c r="F884" i="1"/>
  <c r="F894" i="1"/>
  <c r="F906" i="1"/>
  <c r="F916" i="1"/>
  <c r="G931" i="1"/>
  <c r="F943" i="1"/>
  <c r="F953" i="1"/>
  <c r="F965" i="1"/>
  <c r="G990" i="1"/>
  <c r="G957" i="1"/>
  <c r="F971" i="1"/>
  <c r="F930" i="1"/>
  <c r="F940" i="1"/>
  <c r="F950" i="1"/>
  <c r="F961" i="1"/>
  <c r="G976" i="1"/>
  <c r="G920" i="1"/>
  <c r="G932" i="1"/>
  <c r="G942" i="1"/>
  <c r="G952" i="1"/>
  <c r="F967" i="1"/>
  <c r="G988" i="1"/>
  <c r="F974" i="1"/>
  <c r="F986" i="1"/>
  <c r="F996" i="1"/>
  <c r="F1006" i="1"/>
  <c r="F985" i="1"/>
  <c r="F995" i="1"/>
  <c r="F1005" i="1"/>
  <c r="G967" i="1"/>
  <c r="G977" i="1"/>
  <c r="G987" i="1"/>
  <c r="G999" i="1"/>
  <c r="G1009" i="1"/>
  <c r="I13" i="1"/>
  <c r="I25" i="1"/>
  <c r="I35" i="1"/>
  <c r="I48" i="1"/>
  <c r="I3" i="1"/>
  <c r="I10" i="1"/>
  <c r="I20" i="1"/>
  <c r="I32" i="1"/>
  <c r="I42" i="1"/>
  <c r="I58" i="1"/>
  <c r="I242" i="1"/>
  <c r="I78" i="1"/>
  <c r="I88" i="1"/>
  <c r="I100" i="1"/>
  <c r="I110" i="1"/>
  <c r="I120" i="1"/>
  <c r="I132" i="1"/>
  <c r="I142" i="1"/>
  <c r="I152" i="1"/>
  <c r="I164" i="1"/>
  <c r="I174" i="1"/>
  <c r="I184" i="1"/>
  <c r="I196" i="1"/>
  <c r="I206" i="1"/>
  <c r="I216" i="1"/>
  <c r="I231" i="1"/>
  <c r="I248" i="1"/>
  <c r="I238" i="1"/>
  <c r="I55" i="1"/>
  <c r="I65" i="1"/>
  <c r="I75" i="1"/>
  <c r="I87" i="1"/>
  <c r="I97" i="1"/>
  <c r="I107" i="1"/>
  <c r="I119" i="1"/>
  <c r="I129" i="1"/>
  <c r="I139" i="1"/>
  <c r="I151" i="1"/>
  <c r="I161" i="1"/>
  <c r="I171" i="1"/>
  <c r="I183" i="1"/>
  <c r="I193" i="1"/>
  <c r="I203" i="1"/>
  <c r="I215" i="1"/>
  <c r="I225" i="1"/>
  <c r="I243" i="1"/>
  <c r="I431" i="1"/>
  <c r="I251" i="1"/>
  <c r="I261" i="1"/>
  <c r="I273" i="1"/>
  <c r="I283" i="1"/>
  <c r="I293" i="1"/>
  <c r="I305" i="1"/>
  <c r="I315" i="1"/>
  <c r="I325" i="1"/>
  <c r="I337" i="1"/>
  <c r="I347" i="1"/>
  <c r="I357" i="1"/>
  <c r="I369" i="1"/>
  <c r="I379" i="1"/>
  <c r="I389" i="1"/>
  <c r="I401" i="1"/>
  <c r="I411" i="1"/>
  <c r="I429" i="1"/>
  <c r="I427" i="1"/>
  <c r="I256" i="1"/>
  <c r="I266" i="1"/>
  <c r="I278" i="1"/>
  <c r="I288" i="1"/>
  <c r="I298" i="1"/>
  <c r="I310" i="1"/>
  <c r="I320" i="1"/>
  <c r="I330" i="1"/>
  <c r="I342" i="1"/>
  <c r="I352" i="1"/>
  <c r="I362" i="1"/>
  <c r="I374" i="1"/>
  <c r="I384" i="1"/>
  <c r="I394" i="1"/>
  <c r="I406" i="1"/>
  <c r="I416" i="1"/>
  <c r="I447" i="1"/>
  <c r="I440" i="1"/>
  <c r="I450" i="1"/>
  <c r="I460" i="1"/>
  <c r="I472" i="1"/>
  <c r="I482" i="1"/>
  <c r="I492" i="1"/>
  <c r="I504" i="1"/>
  <c r="I514" i="1"/>
  <c r="I524" i="1"/>
  <c r="I536" i="1"/>
  <c r="I553" i="1"/>
  <c r="I453" i="1"/>
  <c r="I465" i="1"/>
  <c r="I475" i="1"/>
  <c r="I485" i="1"/>
  <c r="I497" i="1"/>
  <c r="I507" i="1"/>
  <c r="I517" i="1"/>
  <c r="I529" i="1"/>
  <c r="I543" i="1"/>
  <c r="I624" i="1"/>
  <c r="I650" i="1"/>
  <c r="I565" i="1"/>
  <c r="I575" i="1"/>
  <c r="I587" i="1"/>
  <c r="I597" i="1"/>
  <c r="I607" i="1"/>
  <c r="I619" i="1"/>
  <c r="I638" i="1"/>
  <c r="I661" i="1"/>
  <c r="I644" i="1"/>
  <c r="I540" i="1"/>
  <c r="I550" i="1"/>
  <c r="I562" i="1"/>
  <c r="I572" i="1"/>
  <c r="I582" i="1"/>
  <c r="I594" i="1"/>
  <c r="I604" i="1"/>
  <c r="I614" i="1"/>
  <c r="I626" i="1"/>
  <c r="I649" i="1"/>
  <c r="I671" i="1"/>
  <c r="I683" i="1"/>
  <c r="I693" i="1"/>
  <c r="I703" i="1"/>
  <c r="I715" i="1"/>
  <c r="I725" i="1"/>
  <c r="I748" i="1"/>
  <c r="I658" i="1"/>
  <c r="I668" i="1"/>
  <c r="I678" i="1"/>
  <c r="I690" i="1"/>
  <c r="I700" i="1"/>
  <c r="I710" i="1"/>
  <c r="I722" i="1"/>
  <c r="I735" i="1"/>
  <c r="I734" i="1"/>
  <c r="I741" i="1"/>
  <c r="I751" i="1"/>
  <c r="I761" i="1"/>
  <c r="I773" i="1"/>
  <c r="I783" i="1"/>
  <c r="I793" i="1"/>
  <c r="I805" i="1"/>
  <c r="I815" i="1"/>
  <c r="I825" i="1"/>
  <c r="I760" i="1"/>
  <c r="I770" i="1"/>
  <c r="I780" i="1"/>
  <c r="I792" i="1"/>
  <c r="I802" i="1"/>
  <c r="I812" i="1"/>
  <c r="I824" i="1"/>
  <c r="I884" i="1"/>
  <c r="I841" i="1"/>
  <c r="I853" i="1"/>
  <c r="I863" i="1"/>
  <c r="I873" i="1"/>
  <c r="I890" i="1"/>
  <c r="I838" i="1"/>
  <c r="I848" i="1"/>
  <c r="I860" i="1"/>
  <c r="I870" i="1"/>
  <c r="I880" i="1"/>
  <c r="I896" i="1"/>
  <c r="I906" i="1"/>
  <c r="I916" i="1"/>
  <c r="I928" i="1"/>
  <c r="I883" i="1"/>
  <c r="I893" i="1"/>
  <c r="I905" i="1"/>
  <c r="I915" i="1"/>
  <c r="I940" i="1"/>
  <c r="I952" i="1"/>
  <c r="I967" i="1"/>
  <c r="I974" i="1"/>
  <c r="I937" i="1"/>
  <c r="I947" i="1"/>
  <c r="I957" i="1"/>
  <c r="I969" i="1"/>
  <c r="I975" i="1"/>
  <c r="I985" i="1"/>
  <c r="I997" i="1"/>
  <c r="I1007" i="1"/>
  <c r="I986" i="1"/>
  <c r="I998" i="1"/>
  <c r="I1008" i="1"/>
  <c r="G25" i="1"/>
  <c r="G41" i="1"/>
  <c r="G75" i="1"/>
  <c r="F14" i="1"/>
  <c r="F30" i="1"/>
  <c r="F49" i="1"/>
  <c r="G15" i="1"/>
  <c r="G20" i="1"/>
  <c r="G36" i="1"/>
  <c r="G53" i="1"/>
  <c r="G4" i="1"/>
  <c r="F15" i="1"/>
  <c r="F31" i="1"/>
  <c r="F47" i="1"/>
  <c r="G48" i="1"/>
  <c r="G64" i="1"/>
  <c r="G80" i="1"/>
  <c r="G96" i="1"/>
  <c r="G112" i="1"/>
  <c r="G128" i="1"/>
  <c r="G144" i="1"/>
  <c r="G160" i="1"/>
  <c r="G176" i="1"/>
  <c r="G192" i="1"/>
  <c r="G208" i="1"/>
  <c r="G224" i="1"/>
  <c r="G244" i="1"/>
  <c r="F75" i="1"/>
  <c r="F91" i="1"/>
  <c r="F107" i="1"/>
  <c r="F123" i="1"/>
  <c r="F139" i="1"/>
  <c r="F155" i="1"/>
  <c r="F171" i="1"/>
  <c r="F187" i="1"/>
  <c r="F203" i="1"/>
  <c r="F219" i="1"/>
  <c r="F236" i="1"/>
  <c r="G270" i="1"/>
  <c r="G97" i="1"/>
  <c r="G113" i="1"/>
  <c r="G129" i="1"/>
  <c r="G145" i="1"/>
  <c r="G161" i="1"/>
  <c r="G177" i="1"/>
  <c r="G193" i="1"/>
  <c r="G209" i="1"/>
  <c r="G225" i="1"/>
  <c r="G246" i="1"/>
  <c r="F54" i="1"/>
  <c r="F70" i="1"/>
  <c r="F86" i="1"/>
  <c r="F102" i="1"/>
  <c r="F118" i="1"/>
  <c r="F134" i="1"/>
  <c r="F150" i="1"/>
  <c r="F166" i="1"/>
  <c r="F182" i="1"/>
  <c r="F198" i="1"/>
  <c r="F214" i="1"/>
  <c r="F233" i="1"/>
  <c r="G266" i="1"/>
  <c r="G243" i="1"/>
  <c r="G259" i="1"/>
  <c r="G275" i="1"/>
  <c r="G291" i="1"/>
  <c r="G307" i="1"/>
  <c r="G323" i="1"/>
  <c r="G339" i="1"/>
  <c r="G355" i="1"/>
  <c r="G371" i="1"/>
  <c r="G387" i="1"/>
  <c r="G403" i="1"/>
  <c r="G421" i="1"/>
  <c r="F246" i="1"/>
  <c r="F262" i="1"/>
  <c r="F278" i="1"/>
  <c r="F294" i="1"/>
  <c r="F310" i="1"/>
  <c r="F326" i="1"/>
  <c r="F342" i="1"/>
  <c r="F358" i="1"/>
  <c r="F374" i="1"/>
  <c r="F390" i="1"/>
  <c r="F406" i="1"/>
  <c r="F425" i="1"/>
  <c r="G276" i="1"/>
  <c r="G292" i="1"/>
  <c r="G308" i="1"/>
  <c r="G324" i="1"/>
  <c r="G340" i="1"/>
  <c r="G356" i="1"/>
  <c r="G372" i="1"/>
  <c r="G388" i="1"/>
  <c r="G404" i="1"/>
  <c r="G417" i="1"/>
  <c r="F257" i="1"/>
  <c r="F273" i="1"/>
  <c r="F289" i="1"/>
  <c r="F305" i="1"/>
  <c r="F321" i="1"/>
  <c r="F337" i="1"/>
  <c r="F353" i="1"/>
  <c r="F369" i="1"/>
  <c r="F385" i="1"/>
  <c r="F401" i="1"/>
  <c r="F421" i="1"/>
  <c r="F433" i="1"/>
  <c r="F449" i="1"/>
  <c r="F465" i="1"/>
  <c r="F481" i="1"/>
  <c r="F497" i="1"/>
  <c r="F513" i="1"/>
  <c r="F529" i="1"/>
  <c r="F550" i="1"/>
  <c r="G443" i="1"/>
  <c r="G459" i="1"/>
  <c r="G475" i="1"/>
  <c r="G491" i="1"/>
  <c r="G507" i="1"/>
  <c r="G523" i="1"/>
  <c r="G546" i="1"/>
  <c r="F458" i="1"/>
  <c r="F474" i="1"/>
  <c r="F490" i="1"/>
  <c r="F506" i="1"/>
  <c r="F522" i="1"/>
  <c r="F538" i="1"/>
  <c r="G420" i="1"/>
  <c r="G436" i="1"/>
  <c r="G452" i="1"/>
  <c r="G468" i="1"/>
  <c r="G484" i="1"/>
  <c r="G498" i="1"/>
  <c r="G508" i="1"/>
  <c r="G520" i="1"/>
  <c r="G530" i="1"/>
  <c r="F540" i="1"/>
  <c r="G556" i="1"/>
  <c r="G549" i="1"/>
  <c r="G559" i="1"/>
  <c r="G571" i="1"/>
  <c r="G581" i="1"/>
  <c r="G591" i="1"/>
  <c r="G603" i="1"/>
  <c r="G613" i="1"/>
  <c r="F628" i="1"/>
  <c r="F643" i="1"/>
  <c r="F560" i="1"/>
  <c r="F570" i="1"/>
  <c r="F582" i="1"/>
  <c r="F592" i="1"/>
  <c r="F602" i="1"/>
  <c r="F614" i="1"/>
  <c r="F626" i="1"/>
  <c r="G636" i="1"/>
  <c r="G564" i="1"/>
  <c r="G574" i="1"/>
  <c r="G584" i="1"/>
  <c r="G596" i="1"/>
  <c r="G606" i="1"/>
  <c r="G616" i="1"/>
  <c r="G626" i="1"/>
  <c r="F645" i="1"/>
  <c r="F543" i="1"/>
  <c r="F555" i="1"/>
  <c r="F565" i="1"/>
  <c r="F575" i="1"/>
  <c r="F587" i="1"/>
  <c r="F597" i="1"/>
  <c r="F607" i="1"/>
  <c r="F619" i="1"/>
  <c r="F631" i="1"/>
  <c r="F646" i="1"/>
  <c r="F670" i="1"/>
  <c r="F680" i="1"/>
  <c r="F690" i="1"/>
  <c r="F702" i="1"/>
  <c r="F712" i="1"/>
  <c r="F722" i="1"/>
  <c r="F737" i="1"/>
  <c r="G642" i="1"/>
  <c r="G652" i="1"/>
  <c r="G664" i="1"/>
  <c r="G674" i="1"/>
  <c r="G684" i="1"/>
  <c r="G696" i="1"/>
  <c r="G706" i="1"/>
  <c r="G716" i="1"/>
  <c r="G728" i="1"/>
  <c r="F741" i="1"/>
  <c r="F659" i="1"/>
  <c r="F671" i="1"/>
  <c r="F681" i="1"/>
  <c r="F691" i="1"/>
  <c r="F703" i="1"/>
  <c r="F713" i="1"/>
  <c r="F723" i="1"/>
  <c r="F733" i="1"/>
  <c r="G623" i="1"/>
  <c r="G633" i="1"/>
  <c r="G645" i="1"/>
  <c r="G655" i="1"/>
  <c r="G665" i="1"/>
  <c r="G677" i="1"/>
  <c r="G687" i="1"/>
  <c r="G697" i="1"/>
  <c r="G709" i="1"/>
  <c r="G719" i="1"/>
  <c r="G729" i="1"/>
  <c r="F738" i="1"/>
  <c r="F748" i="1"/>
  <c r="F758" i="1"/>
  <c r="F770" i="1"/>
  <c r="F780" i="1"/>
  <c r="F790" i="1"/>
  <c r="F802" i="1"/>
  <c r="F812" i="1"/>
  <c r="F822" i="1"/>
  <c r="G744" i="1"/>
  <c r="G754" i="1"/>
  <c r="G764" i="1"/>
  <c r="G776" i="1"/>
  <c r="G786" i="1"/>
  <c r="G796" i="1"/>
  <c r="G808" i="1"/>
  <c r="G818" i="1"/>
  <c r="G828" i="1"/>
  <c r="F761" i="1"/>
  <c r="F771" i="1"/>
  <c r="F781" i="1"/>
  <c r="F793" i="1"/>
  <c r="F803" i="1"/>
  <c r="F813" i="1"/>
  <c r="F825" i="1"/>
  <c r="G733" i="1"/>
  <c r="G743" i="1"/>
  <c r="G755" i="1"/>
  <c r="G765" i="1"/>
  <c r="G775" i="1"/>
  <c r="G787" i="1"/>
  <c r="G797" i="1"/>
  <c r="G807" i="1"/>
  <c r="G819" i="1"/>
  <c r="F830" i="1"/>
  <c r="G837" i="1"/>
  <c r="G849" i="1"/>
  <c r="G859" i="1"/>
  <c r="G869" i="1"/>
  <c r="F883" i="1"/>
  <c r="F840" i="1"/>
  <c r="F850" i="1"/>
  <c r="F862" i="1"/>
  <c r="F872" i="1"/>
  <c r="F881" i="1"/>
  <c r="G838" i="1"/>
  <c r="G848" i="1"/>
  <c r="G858" i="1"/>
  <c r="G870" i="1"/>
  <c r="G880" i="1"/>
  <c r="F831" i="1"/>
  <c r="F843" i="1"/>
  <c r="F853" i="1"/>
  <c r="F863" i="1"/>
  <c r="F875" i="1"/>
  <c r="G884" i="1"/>
  <c r="G894" i="1"/>
  <c r="G906" i="1"/>
  <c r="G916" i="1"/>
  <c r="F929" i="1"/>
  <c r="F899" i="1"/>
  <c r="F909" i="1"/>
  <c r="F919" i="1"/>
  <c r="G933" i="1"/>
  <c r="G899" i="1"/>
  <c r="G909" i="1"/>
  <c r="F925" i="1"/>
  <c r="F939" i="1"/>
  <c r="F886" i="1"/>
  <c r="F898" i="1"/>
  <c r="F908" i="1"/>
  <c r="F918" i="1"/>
  <c r="G939" i="1"/>
  <c r="F945" i="1"/>
  <c r="F955" i="1"/>
  <c r="G970" i="1"/>
  <c r="G998" i="1"/>
  <c r="G959" i="1"/>
  <c r="G984" i="1"/>
  <c r="F932" i="1"/>
  <c r="F942" i="1"/>
  <c r="F954" i="1"/>
  <c r="G962" i="1"/>
  <c r="G986" i="1"/>
  <c r="G924" i="1"/>
  <c r="G934" i="1"/>
  <c r="G944" i="1"/>
  <c r="G956" i="1"/>
  <c r="G968" i="1"/>
  <c r="G996" i="1"/>
  <c r="F978" i="1"/>
  <c r="F988" i="1"/>
  <c r="F998" i="1"/>
  <c r="F1010" i="1"/>
  <c r="F987" i="1"/>
  <c r="F997" i="1"/>
  <c r="F1009" i="1"/>
  <c r="G969" i="1"/>
  <c r="G979" i="1"/>
  <c r="G991" i="1"/>
  <c r="G1001" i="1"/>
  <c r="I5" i="1"/>
  <c r="I17" i="1"/>
  <c r="I27" i="1"/>
  <c r="I37" i="1"/>
  <c r="I56" i="1"/>
  <c r="I2" i="1"/>
  <c r="I12" i="1"/>
  <c r="I24" i="1"/>
  <c r="I34" i="1"/>
  <c r="I44" i="1"/>
  <c r="I66" i="1"/>
  <c r="I70" i="1"/>
  <c r="I80" i="1"/>
  <c r="I92" i="1"/>
  <c r="I102" i="1"/>
  <c r="I112" i="1"/>
  <c r="I124" i="1"/>
  <c r="I134" i="1"/>
  <c r="I144" i="1"/>
  <c r="I156" i="1"/>
  <c r="I166" i="1"/>
  <c r="I176" i="1"/>
  <c r="I188" i="1"/>
  <c r="I198" i="1"/>
  <c r="I208" i="1"/>
  <c r="I220" i="1"/>
  <c r="I232" i="1"/>
  <c r="I252" i="1"/>
  <c r="I47" i="1"/>
  <c r="I57" i="1"/>
  <c r="I67" i="1"/>
  <c r="I79" i="1"/>
  <c r="I89" i="1"/>
  <c r="I99" i="1"/>
  <c r="I111" i="1"/>
  <c r="I121" i="1"/>
  <c r="I131" i="1"/>
  <c r="I143" i="1"/>
  <c r="I153" i="1"/>
  <c r="I163" i="1"/>
  <c r="I175" i="1"/>
  <c r="I185" i="1"/>
  <c r="I195" i="1"/>
  <c r="I207" i="1"/>
  <c r="I217" i="1"/>
  <c r="I227" i="1"/>
  <c r="I250" i="1"/>
  <c r="I441" i="1"/>
  <c r="I253" i="1"/>
  <c r="I265" i="1"/>
  <c r="I275" i="1"/>
  <c r="I285" i="1"/>
  <c r="I297" i="1"/>
  <c r="I307" i="1"/>
  <c r="I317" i="1"/>
  <c r="I329" i="1"/>
  <c r="I339" i="1"/>
  <c r="I349" i="1"/>
  <c r="I361" i="1"/>
  <c r="I371" i="1"/>
  <c r="I381" i="1"/>
  <c r="I393" i="1"/>
  <c r="I403" i="1"/>
  <c r="I413" i="1"/>
  <c r="I443" i="1"/>
  <c r="I433" i="1"/>
  <c r="I258" i="1"/>
  <c r="I270" i="1"/>
  <c r="I280" i="1"/>
  <c r="I290" i="1"/>
  <c r="I302" i="1"/>
  <c r="I312" i="1"/>
  <c r="I322" i="1"/>
  <c r="I334" i="1"/>
  <c r="I344" i="1"/>
  <c r="I354" i="1"/>
  <c r="I366" i="1"/>
  <c r="I376" i="1"/>
  <c r="I386" i="1"/>
  <c r="I398" i="1"/>
  <c r="I408" i="1"/>
  <c r="I417" i="1"/>
  <c r="I432" i="1"/>
  <c r="I442" i="1"/>
  <c r="I452" i="1"/>
  <c r="I464" i="1"/>
  <c r="I474" i="1"/>
  <c r="I484" i="1"/>
  <c r="I496" i="1"/>
  <c r="I506" i="1"/>
  <c r="I516" i="1"/>
  <c r="I528" i="1"/>
  <c r="I538" i="1"/>
  <c r="I557" i="1"/>
  <c r="I457" i="1"/>
  <c r="I467" i="1"/>
  <c r="I477" i="1"/>
  <c r="I489" i="1"/>
  <c r="I499" i="1"/>
  <c r="I509" i="1"/>
  <c r="I521" i="1"/>
  <c r="I531" i="1"/>
  <c r="I547" i="1"/>
  <c r="I632" i="1"/>
  <c r="I659" i="1"/>
  <c r="I567" i="1"/>
  <c r="I579" i="1"/>
  <c r="I589" i="1"/>
  <c r="I599" i="1"/>
  <c r="I611" i="1"/>
  <c r="I621" i="1"/>
  <c r="I643" i="1"/>
  <c r="I628" i="1"/>
  <c r="I648" i="1"/>
  <c r="I542" i="1"/>
  <c r="I554" i="1"/>
  <c r="I564" i="1"/>
  <c r="I574" i="1"/>
  <c r="I586" i="1"/>
  <c r="I596" i="1"/>
  <c r="I606" i="1"/>
  <c r="I618" i="1"/>
  <c r="I633" i="1"/>
  <c r="I657" i="1"/>
  <c r="I675" i="1"/>
  <c r="I685" i="1"/>
  <c r="I695" i="1"/>
  <c r="I707" i="1"/>
  <c r="I717" i="1"/>
  <c r="I727" i="1"/>
  <c r="I740" i="1"/>
  <c r="I660" i="1"/>
  <c r="I670" i="1"/>
  <c r="I682" i="1"/>
  <c r="I692" i="1"/>
  <c r="I702" i="1"/>
  <c r="I714" i="1"/>
  <c r="I724" i="1"/>
  <c r="I736" i="1"/>
  <c r="I742" i="1"/>
  <c r="I743" i="1"/>
  <c r="I753" i="1"/>
  <c r="I765" i="1"/>
  <c r="I775" i="1"/>
  <c r="I785" i="1"/>
  <c r="I797" i="1"/>
  <c r="I807" i="1"/>
  <c r="I817" i="1"/>
  <c r="I831" i="1"/>
  <c r="I762" i="1"/>
  <c r="I772" i="1"/>
  <c r="I784" i="1"/>
  <c r="I794" i="1"/>
  <c r="I804" i="1"/>
  <c r="I816" i="1"/>
  <c r="I826" i="1"/>
  <c r="I888" i="1"/>
  <c r="I845" i="1"/>
  <c r="I855" i="1"/>
  <c r="I865" i="1"/>
  <c r="I877" i="1"/>
  <c r="I830" i="1"/>
  <c r="I840" i="1"/>
  <c r="I852" i="1"/>
  <c r="I862" i="1"/>
  <c r="I872" i="1"/>
  <c r="I925" i="1"/>
  <c r="I898" i="1"/>
  <c r="I908" i="1"/>
  <c r="I922" i="1"/>
  <c r="I930" i="1"/>
  <c r="I885" i="1"/>
  <c r="I897" i="1"/>
  <c r="I907" i="1"/>
  <c r="I917" i="1"/>
  <c r="I944" i="1"/>
  <c r="I954" i="1"/>
  <c r="I968" i="1"/>
  <c r="I929" i="1"/>
  <c r="I939" i="1"/>
  <c r="I949" i="1"/>
  <c r="I963" i="1"/>
  <c r="I972" i="1"/>
  <c r="I977" i="1"/>
  <c r="I989" i="1"/>
  <c r="I999" i="1"/>
  <c r="I1009" i="1"/>
  <c r="I990" i="1"/>
  <c r="I1000" i="1"/>
  <c r="I1010" i="1"/>
  <c r="F632" i="1"/>
  <c r="F763" i="1"/>
  <c r="F805" i="1"/>
  <c r="F817" i="1"/>
  <c r="G735" i="1"/>
  <c r="G747" i="1"/>
  <c r="G767" i="1"/>
  <c r="G779" i="1"/>
  <c r="G789" i="1"/>
  <c r="G811" i="1"/>
  <c r="G821" i="1"/>
  <c r="G841" i="1"/>
  <c r="G851" i="1"/>
  <c r="G861" i="1"/>
  <c r="F885" i="1"/>
  <c r="F842" i="1"/>
  <c r="F854" i="1"/>
  <c r="F864" i="1"/>
  <c r="G883" i="1"/>
  <c r="G840" i="1"/>
  <c r="G850" i="1"/>
  <c r="G862" i="1"/>
  <c r="G881" i="1"/>
  <c r="F835" i="1"/>
  <c r="F845" i="1"/>
  <c r="F867" i="1"/>
  <c r="F877" i="1"/>
  <c r="G886" i="1"/>
  <c r="G898" i="1"/>
  <c r="G918" i="1"/>
  <c r="F937" i="1"/>
  <c r="F911" i="1"/>
  <c r="G921" i="1"/>
  <c r="G937" i="1"/>
  <c r="G901" i="1"/>
  <c r="F926" i="1"/>
  <c r="G941" i="1"/>
  <c r="F890" i="1"/>
  <c r="F910" i="1"/>
  <c r="F924" i="1"/>
  <c r="F947" i="1"/>
  <c r="F959" i="1"/>
  <c r="G1006" i="1"/>
  <c r="F963" i="1"/>
  <c r="F934" i="1"/>
  <c r="F946" i="1"/>
  <c r="F968" i="1"/>
  <c r="G1002" i="1"/>
  <c r="G926" i="1"/>
  <c r="G948" i="1"/>
  <c r="G958" i="1"/>
  <c r="F970" i="1"/>
  <c r="F980" i="1"/>
  <c r="F990" i="1"/>
  <c r="F979" i="1"/>
  <c r="F989" i="1"/>
  <c r="F1001" i="1"/>
  <c r="G971" i="1"/>
  <c r="G983" i="1"/>
  <c r="G993" i="1"/>
  <c r="I9" i="1"/>
  <c r="I19" i="1"/>
  <c r="I41" i="1"/>
  <c r="I4" i="1"/>
  <c r="I16" i="1"/>
  <c r="I36" i="1"/>
  <c r="I50" i="1"/>
  <c r="I72" i="1"/>
  <c r="I84" i="1"/>
  <c r="I104" i="1"/>
  <c r="I116" i="1"/>
  <c r="I136" i="1"/>
  <c r="I148" i="1"/>
  <c r="I158" i="1"/>
  <c r="I180" i="1"/>
  <c r="I190" i="1"/>
  <c r="I212" i="1"/>
  <c r="I222" i="1"/>
  <c r="I230" i="1"/>
  <c r="I49" i="1"/>
  <c r="I71" i="1"/>
  <c r="I81" i="1"/>
  <c r="I103" i="1"/>
  <c r="I113" i="1"/>
  <c r="I135" i="1"/>
  <c r="I155" i="1"/>
  <c r="I167" i="1"/>
  <c r="I187" i="1"/>
  <c r="I199" i="1"/>
  <c r="I209" i="1"/>
  <c r="I235" i="1"/>
  <c r="I245" i="1"/>
  <c r="I267" i="1"/>
  <c r="I277" i="1"/>
  <c r="I299" i="1"/>
  <c r="I309" i="1"/>
  <c r="I331" i="1"/>
  <c r="I353" i="1"/>
  <c r="I363" i="1"/>
  <c r="I385" i="1"/>
  <c r="I395" i="1"/>
  <c r="I405" i="1"/>
  <c r="I421" i="1"/>
  <c r="I418" i="1"/>
  <c r="I437" i="1"/>
  <c r="I262" i="1"/>
  <c r="I272" i="1"/>
  <c r="I282" i="1"/>
  <c r="I294" i="1"/>
  <c r="I304" i="1"/>
  <c r="I314" i="1"/>
  <c r="I326" i="1"/>
  <c r="I336" i="1"/>
  <c r="I346" i="1"/>
  <c r="I358" i="1"/>
  <c r="I368" i="1"/>
  <c r="I378" i="1"/>
  <c r="I390" i="1"/>
  <c r="I400" i="1"/>
  <c r="I410" i="1"/>
  <c r="I425" i="1"/>
  <c r="I434" i="1"/>
  <c r="I444" i="1"/>
  <c r="I466" i="1"/>
  <c r="I476" i="1"/>
  <c r="I488" i="1"/>
  <c r="I498" i="1"/>
  <c r="I508" i="1"/>
  <c r="I520" i="1"/>
  <c r="I530" i="1"/>
  <c r="I541" i="1"/>
  <c r="I459" i="1"/>
  <c r="I469" i="1"/>
  <c r="I481" i="1"/>
  <c r="I491" i="1"/>
  <c r="I501" i="1"/>
  <c r="I523" i="1"/>
  <c r="I533" i="1"/>
  <c r="I555" i="1"/>
  <c r="I559" i="1"/>
  <c r="I571" i="1"/>
  <c r="I591" i="1"/>
  <c r="I603" i="1"/>
  <c r="I629" i="1"/>
  <c r="I651" i="1"/>
  <c r="I652" i="1"/>
  <c r="I546" i="1"/>
  <c r="I566" i="1"/>
  <c r="I578" i="1"/>
  <c r="I598" i="1"/>
  <c r="I610" i="1"/>
  <c r="I620" i="1"/>
  <c r="I667" i="1"/>
  <c r="I677" i="1"/>
  <c r="I687" i="1"/>
  <c r="I709" i="1"/>
  <c r="I719" i="1"/>
  <c r="I750" i="1"/>
  <c r="I662" i="1"/>
  <c r="I674" i="1"/>
  <c r="I694" i="1"/>
  <c r="I706" i="1"/>
  <c r="I726" i="1"/>
  <c r="I752" i="1"/>
  <c r="I745" i="1"/>
  <c r="I757" i="1"/>
  <c r="I777" i="1"/>
  <c r="I789" i="1"/>
  <c r="I799" i="1"/>
  <c r="I821" i="1"/>
  <c r="I835" i="1"/>
  <c r="I776" i="1"/>
  <c r="I786" i="1"/>
  <c r="I796" i="1"/>
  <c r="I818" i="1"/>
  <c r="I828" i="1"/>
  <c r="I837" i="1"/>
  <c r="I857" i="1"/>
  <c r="I869" i="1"/>
  <c r="I832" i="1"/>
  <c r="I844" i="1"/>
  <c r="I864" i="1"/>
  <c r="I876" i="1"/>
  <c r="I932" i="1"/>
  <c r="I912" i="1"/>
  <c r="I923" i="1"/>
  <c r="I889" i="1"/>
  <c r="I899" i="1"/>
  <c r="I909" i="1"/>
  <c r="I946" i="1"/>
  <c r="I956" i="1"/>
  <c r="I966" i="1"/>
  <c r="I941" i="1"/>
  <c r="I953" i="1"/>
  <c r="I964" i="1"/>
  <c r="I981" i="1"/>
  <c r="I991" i="1"/>
  <c r="I1001" i="1"/>
  <c r="I982" i="1"/>
  <c r="I1002" i="1"/>
  <c r="G13" i="1"/>
  <c r="G31" i="1"/>
  <c r="G51" i="1"/>
  <c r="F4" i="1"/>
  <c r="F20" i="1"/>
  <c r="F36" i="1"/>
  <c r="F61" i="1"/>
  <c r="G10" i="1"/>
  <c r="G26" i="1"/>
  <c r="G42" i="1"/>
  <c r="G65" i="1"/>
  <c r="F5" i="1"/>
  <c r="F21" i="1"/>
  <c r="F37" i="1"/>
  <c r="F59" i="1"/>
  <c r="G54" i="1"/>
  <c r="G70" i="1"/>
  <c r="G86" i="1"/>
  <c r="G102" i="1"/>
  <c r="G118" i="1"/>
  <c r="G134" i="1"/>
  <c r="G150" i="1"/>
  <c r="G166" i="1"/>
  <c r="G182" i="1"/>
  <c r="G198" i="1"/>
  <c r="G214" i="1"/>
  <c r="F231" i="1"/>
  <c r="G260" i="1"/>
  <c r="F81" i="1"/>
  <c r="F97" i="1"/>
  <c r="F113" i="1"/>
  <c r="F129" i="1"/>
  <c r="F145" i="1"/>
  <c r="F161" i="1"/>
  <c r="F177" i="1"/>
  <c r="F193" i="1"/>
  <c r="F209" i="1"/>
  <c r="F225" i="1"/>
  <c r="F245" i="1"/>
  <c r="G87" i="1"/>
  <c r="G103" i="1"/>
  <c r="G119" i="1"/>
  <c r="G135" i="1"/>
  <c r="G151" i="1"/>
  <c r="G167" i="1"/>
  <c r="G183" i="1"/>
  <c r="G199" i="1"/>
  <c r="G215" i="1"/>
  <c r="F234" i="1"/>
  <c r="G264" i="1"/>
  <c r="F60" i="1"/>
  <c r="F76" i="1"/>
  <c r="F92" i="1"/>
  <c r="F108" i="1"/>
  <c r="F124" i="1"/>
  <c r="F140" i="1"/>
  <c r="F156" i="1"/>
  <c r="F172" i="1"/>
  <c r="F188" i="1"/>
  <c r="F204" i="1"/>
  <c r="F220" i="1"/>
  <c r="F241" i="1"/>
  <c r="G233" i="1"/>
  <c r="G249" i="1"/>
  <c r="G265" i="1"/>
  <c r="G281" i="1"/>
  <c r="G297" i="1"/>
  <c r="G313" i="1"/>
  <c r="G329" i="1"/>
  <c r="G345" i="1"/>
  <c r="G361" i="1"/>
  <c r="G377" i="1"/>
  <c r="G393" i="1"/>
  <c r="G409" i="1"/>
  <c r="G429" i="1"/>
  <c r="F252" i="1"/>
  <c r="F268" i="1"/>
  <c r="F284" i="1"/>
  <c r="F300" i="1"/>
  <c r="F316" i="1"/>
  <c r="F332" i="1"/>
  <c r="F348" i="1"/>
  <c r="F364" i="1"/>
  <c r="F380" i="1"/>
  <c r="F396" i="1"/>
  <c r="F412" i="1"/>
  <c r="G433" i="1"/>
  <c r="G282" i="1"/>
  <c r="G298" i="1"/>
  <c r="G314" i="1"/>
  <c r="G330" i="1"/>
  <c r="G346" i="1"/>
  <c r="G362" i="1"/>
  <c r="G378" i="1"/>
  <c r="G394" i="1"/>
  <c r="G410" i="1"/>
  <c r="G425" i="1"/>
  <c r="F263" i="1"/>
  <c r="F279" i="1"/>
  <c r="F295" i="1"/>
  <c r="F311" i="1"/>
  <c r="F327" i="1"/>
  <c r="F343" i="1"/>
  <c r="F359" i="1"/>
  <c r="F375" i="1"/>
  <c r="F391" i="1"/>
  <c r="F407" i="1"/>
  <c r="F429" i="1"/>
  <c r="F439" i="1"/>
  <c r="F455" i="1"/>
  <c r="F471" i="1"/>
  <c r="F487" i="1"/>
  <c r="F503" i="1"/>
  <c r="F519" i="1"/>
  <c r="F535" i="1"/>
  <c r="G562" i="1"/>
  <c r="G449" i="1"/>
  <c r="G465" i="1"/>
  <c r="G481" i="1"/>
  <c r="G497" i="1"/>
  <c r="G513" i="1"/>
  <c r="G529" i="1"/>
  <c r="G558" i="1"/>
  <c r="F464" i="1"/>
  <c r="F480" i="1"/>
  <c r="F496" i="1"/>
  <c r="F512" i="1"/>
  <c r="F528" i="1"/>
  <c r="F548" i="1"/>
  <c r="G426" i="1"/>
  <c r="G442" i="1"/>
  <c r="G458" i="1"/>
  <c r="G474" i="1"/>
  <c r="G490" i="1"/>
  <c r="G500" i="1"/>
  <c r="G512" i="1"/>
  <c r="G522" i="1"/>
  <c r="G532" i="1"/>
  <c r="G542" i="1"/>
  <c r="G560" i="1"/>
  <c r="G551" i="1"/>
  <c r="G563" i="1"/>
  <c r="G573" i="1"/>
  <c r="G583" i="1"/>
  <c r="G595" i="1"/>
  <c r="G605" i="1"/>
  <c r="G615" i="1"/>
  <c r="G630" i="1"/>
  <c r="F647" i="1"/>
  <c r="F562" i="1"/>
  <c r="F574" i="1"/>
  <c r="F584" i="1"/>
  <c r="F594" i="1"/>
  <c r="F606" i="1"/>
  <c r="F616" i="1"/>
  <c r="F627" i="1"/>
  <c r="F644" i="1"/>
  <c r="G566" i="1"/>
  <c r="G576" i="1"/>
  <c r="G588" i="1"/>
  <c r="G598" i="1"/>
  <c r="G608" i="1"/>
  <c r="G620" i="1"/>
  <c r="F649" i="1"/>
  <c r="F547" i="1"/>
  <c r="F557" i="1"/>
  <c r="F567" i="1"/>
  <c r="F579" i="1"/>
  <c r="F589" i="1"/>
  <c r="F599" i="1"/>
  <c r="F611" i="1"/>
  <c r="F621" i="1"/>
  <c r="G632" i="1"/>
  <c r="F654" i="1"/>
  <c r="F672" i="1"/>
  <c r="F682" i="1"/>
  <c r="F694" i="1"/>
  <c r="F704" i="1"/>
  <c r="F714" i="1"/>
  <c r="F726" i="1"/>
  <c r="G740" i="1"/>
  <c r="G644" i="1"/>
  <c r="G656" i="1"/>
  <c r="G666" i="1"/>
  <c r="G676" i="1"/>
  <c r="G688" i="1"/>
  <c r="G698" i="1"/>
  <c r="G708" i="1"/>
  <c r="G720" i="1"/>
  <c r="G730" i="1"/>
  <c r="F747" i="1"/>
  <c r="F663" i="1"/>
  <c r="F673" i="1"/>
  <c r="F683" i="1"/>
  <c r="F695" i="1"/>
  <c r="F705" i="1"/>
  <c r="F715" i="1"/>
  <c r="F727" i="1"/>
  <c r="G734" i="1"/>
  <c r="G625" i="1"/>
  <c r="G637" i="1"/>
  <c r="G647" i="1"/>
  <c r="G657" i="1"/>
  <c r="G669" i="1"/>
  <c r="G679" i="1"/>
  <c r="G689" i="1"/>
  <c r="G701" i="1"/>
  <c r="G711" i="1"/>
  <c r="G721" i="1"/>
  <c r="G732" i="1"/>
  <c r="F740" i="1"/>
  <c r="F750" i="1"/>
  <c r="F762" i="1"/>
  <c r="F772" i="1"/>
  <c r="F782" i="1"/>
  <c r="F794" i="1"/>
  <c r="F804" i="1"/>
  <c r="F814" i="1"/>
  <c r="F826" i="1"/>
  <c r="G746" i="1"/>
  <c r="G756" i="1"/>
  <c r="G768" i="1"/>
  <c r="G778" i="1"/>
  <c r="G788" i="1"/>
  <c r="G800" i="1"/>
  <c r="G810" i="1"/>
  <c r="G820" i="1"/>
  <c r="F836" i="1"/>
  <c r="F773" i="1"/>
  <c r="F785" i="1"/>
  <c r="F795" i="1"/>
  <c r="F827" i="1"/>
  <c r="G757" i="1"/>
  <c r="G799" i="1"/>
  <c r="F834" i="1"/>
  <c r="G873" i="1"/>
  <c r="F874" i="1"/>
  <c r="G872" i="1"/>
  <c r="F855" i="1"/>
  <c r="G908" i="1"/>
  <c r="F901" i="1"/>
  <c r="G913" i="1"/>
  <c r="F900" i="1"/>
  <c r="G943" i="1"/>
  <c r="G974" i="1"/>
  <c r="G992" i="1"/>
  <c r="F956" i="1"/>
  <c r="G936" i="1"/>
  <c r="F973" i="1"/>
  <c r="F1002" i="1"/>
  <c r="G961" i="1"/>
  <c r="G1003" i="1"/>
  <c r="I29" i="1"/>
  <c r="I60" i="1"/>
  <c r="I26" i="1"/>
  <c r="I233" i="1"/>
  <c r="I94" i="1"/>
  <c r="I126" i="1"/>
  <c r="I168" i="1"/>
  <c r="I200" i="1"/>
  <c r="I239" i="1"/>
  <c r="I59" i="1"/>
  <c r="I91" i="1"/>
  <c r="I123" i="1"/>
  <c r="I145" i="1"/>
  <c r="I177" i="1"/>
  <c r="I219" i="1"/>
  <c r="I415" i="1"/>
  <c r="I257" i="1"/>
  <c r="I289" i="1"/>
  <c r="I321" i="1"/>
  <c r="I341" i="1"/>
  <c r="I373" i="1"/>
  <c r="I456" i="1"/>
  <c r="I449" i="1"/>
  <c r="I513" i="1"/>
  <c r="I639" i="1"/>
  <c r="I581" i="1"/>
  <c r="I613" i="1"/>
  <c r="I635" i="1"/>
  <c r="I556" i="1"/>
  <c r="I588" i="1"/>
  <c r="I634" i="1"/>
  <c r="I699" i="1"/>
  <c r="I731" i="1"/>
  <c r="I684" i="1"/>
  <c r="I716" i="1"/>
  <c r="I746" i="1"/>
  <c r="I767" i="1"/>
  <c r="I809" i="1"/>
  <c r="I764" i="1"/>
  <c r="I808" i="1"/>
  <c r="I847" i="1"/>
  <c r="I879" i="1"/>
  <c r="I854" i="1"/>
  <c r="I900" i="1"/>
  <c r="I934" i="1"/>
  <c r="I926" i="1"/>
  <c r="I931" i="1"/>
  <c r="I976" i="1"/>
  <c r="I992" i="1"/>
  <c r="P484" i="1" l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397" i="1" l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128" i="1" l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A3" i="1" l="1"/>
  <c r="P9" i="1" l="1"/>
  <c r="P16" i="1"/>
  <c r="P29" i="1"/>
  <c r="P30" i="1"/>
  <c r="P40" i="1"/>
  <c r="P44" i="1"/>
  <c r="P45" i="1"/>
  <c r="P47" i="1"/>
  <c r="P52" i="1"/>
  <c r="P53" i="1"/>
  <c r="P61" i="1"/>
  <c r="P65" i="1"/>
  <c r="P66" i="1"/>
  <c r="P68" i="1"/>
  <c r="P70" i="1"/>
  <c r="P2" i="1"/>
  <c r="P8" i="1"/>
  <c r="P11" i="1"/>
  <c r="P13" i="1"/>
  <c r="P15" i="1"/>
  <c r="P17" i="1"/>
  <c r="P19" i="1"/>
  <c r="P21" i="1"/>
  <c r="P23" i="1"/>
  <c r="P25" i="1"/>
  <c r="P27" i="1"/>
  <c r="P32" i="1"/>
  <c r="P34" i="1"/>
  <c r="P36" i="1"/>
  <c r="P38" i="1"/>
  <c r="P42" i="1"/>
  <c r="P49" i="1"/>
  <c r="P51" i="1"/>
  <c r="P24" i="1"/>
  <c r="P31" i="1"/>
  <c r="P39" i="1"/>
  <c r="P46" i="1"/>
  <c r="P14" i="1"/>
  <c r="P22" i="1"/>
  <c r="P37" i="1"/>
  <c r="P12" i="1"/>
  <c r="P20" i="1"/>
  <c r="P28" i="1"/>
  <c r="P35" i="1"/>
  <c r="P43" i="1"/>
  <c r="P50" i="1"/>
  <c r="P54" i="1"/>
  <c r="P55" i="1"/>
  <c r="P57" i="1"/>
  <c r="P59" i="1"/>
  <c r="P10" i="1"/>
  <c r="P41" i="1"/>
  <c r="P62" i="1"/>
  <c r="P72" i="1"/>
  <c r="P75" i="1"/>
  <c r="P77" i="1"/>
  <c r="P79" i="1"/>
  <c r="P81" i="1"/>
  <c r="P83" i="1"/>
  <c r="P85" i="1"/>
  <c r="P87" i="1"/>
  <c r="P88" i="1"/>
  <c r="P90" i="1"/>
  <c r="P33" i="1"/>
  <c r="P58" i="1"/>
  <c r="P60" i="1"/>
  <c r="P26" i="1"/>
  <c r="P67" i="1"/>
  <c r="P69" i="1"/>
  <c r="P71" i="1"/>
  <c r="P73" i="1"/>
  <c r="P74" i="1"/>
  <c r="P76" i="1"/>
  <c r="P78" i="1"/>
  <c r="P80" i="1"/>
  <c r="P82" i="1"/>
  <c r="P84" i="1"/>
  <c r="P86" i="1"/>
  <c r="P89" i="1"/>
  <c r="P91" i="1"/>
  <c r="P93" i="1"/>
  <c r="P18" i="1"/>
  <c r="P63" i="1"/>
  <c r="P95" i="1"/>
  <c r="P97" i="1"/>
  <c r="P99" i="1"/>
  <c r="P101" i="1"/>
  <c r="P103" i="1"/>
  <c r="P105" i="1"/>
  <c r="P107" i="1"/>
  <c r="P109" i="1"/>
  <c r="P111" i="1"/>
  <c r="P113" i="1"/>
  <c r="P115" i="1"/>
  <c r="P117" i="1"/>
  <c r="P119" i="1"/>
  <c r="P121" i="1"/>
  <c r="P123" i="1"/>
  <c r="P125" i="1"/>
  <c r="P127" i="1"/>
  <c r="P56" i="1"/>
  <c r="P92" i="1"/>
  <c r="P48" i="1"/>
  <c r="P100" i="1"/>
  <c r="P108" i="1"/>
  <c r="P116" i="1"/>
  <c r="P124" i="1"/>
  <c r="P64" i="1"/>
  <c r="P94" i="1"/>
  <c r="P102" i="1"/>
  <c r="P110" i="1"/>
  <c r="P118" i="1"/>
  <c r="P126" i="1"/>
  <c r="P96" i="1"/>
  <c r="P104" i="1"/>
  <c r="P112" i="1"/>
  <c r="P120" i="1"/>
  <c r="P114" i="1"/>
  <c r="P122" i="1"/>
  <c r="P98" i="1"/>
  <c r="P106" i="1"/>
  <c r="P3" i="1"/>
  <c r="P7" i="1"/>
  <c r="P6" i="1"/>
  <c r="P4" i="1"/>
  <c r="P5" i="1"/>
  <c r="H816" i="1" l="1"/>
  <c r="H892" i="1"/>
  <c r="H924" i="1"/>
  <c r="H550" i="1"/>
  <c r="H503" i="1"/>
  <c r="H668" i="1"/>
  <c r="H564" i="1"/>
  <c r="H775" i="1"/>
  <c r="H806" i="1"/>
  <c r="H534" i="1"/>
  <c r="H705" i="1"/>
  <c r="H906" i="1"/>
  <c r="H636" i="1"/>
  <c r="H802" i="1"/>
  <c r="H623" i="1"/>
  <c r="H1002" i="1"/>
  <c r="H650" i="1"/>
  <c r="H542" i="1"/>
  <c r="H965" i="1"/>
  <c r="H727" i="1"/>
  <c r="H939" i="1"/>
  <c r="H969" i="1"/>
  <c r="H536" i="1"/>
  <c r="H486" i="1"/>
  <c r="H821" i="1"/>
  <c r="H634" i="1"/>
  <c r="H988" i="1"/>
  <c r="H741" i="1"/>
  <c r="H493" i="1"/>
  <c r="H976" i="1"/>
  <c r="H589" i="1"/>
  <c r="H900" i="1"/>
  <c r="H940" i="1"/>
  <c r="H558" i="1"/>
  <c r="H851" i="1"/>
  <c r="H817" i="1"/>
  <c r="H993" i="1"/>
  <c r="H876" i="1"/>
  <c r="H617" i="1"/>
  <c r="H813" i="1"/>
  <c r="H952" i="1"/>
  <c r="H684" i="1"/>
  <c r="H517" i="1"/>
  <c r="H795" i="1"/>
  <c r="H984" i="1"/>
  <c r="H844" i="1"/>
  <c r="H908" i="1"/>
  <c r="H652" i="1"/>
  <c r="H673" i="1"/>
  <c r="H614" i="1"/>
  <c r="H959" i="1"/>
  <c r="H768" i="1"/>
  <c r="H494" i="1"/>
  <c r="H533" i="1"/>
  <c r="H581" i="1"/>
  <c r="H526" i="1"/>
  <c r="H685" i="1"/>
  <c r="H510" i="1"/>
  <c r="H756" i="1"/>
  <c r="H560" i="1"/>
  <c r="H748" i="1"/>
  <c r="H574" i="1"/>
  <c r="H567" i="1"/>
  <c r="H681" i="1"/>
  <c r="H679" i="1"/>
  <c r="H556" i="1"/>
  <c r="H633" i="1"/>
  <c r="H557" i="1"/>
  <c r="H858" i="1"/>
  <c r="H525" i="1"/>
  <c r="H562" i="1"/>
  <c r="H773" i="1"/>
  <c r="H700" i="1"/>
  <c r="H509" i="1"/>
  <c r="H780" i="1"/>
  <c r="H703" i="1"/>
  <c r="H590" i="1"/>
  <c r="H691" i="1"/>
  <c r="H758" i="1"/>
  <c r="H616" i="1"/>
  <c r="H622" i="1"/>
  <c r="H641" i="1"/>
  <c r="H647" i="1"/>
  <c r="H627" i="1"/>
  <c r="H755" i="1"/>
  <c r="H499" i="1"/>
  <c r="H485" i="1"/>
  <c r="H666" i="1"/>
  <c r="H597" i="1"/>
  <c r="H798" i="1"/>
  <c r="H518" i="1"/>
  <c r="H713" i="1"/>
  <c r="H607" i="1"/>
  <c r="H513" i="1"/>
  <c r="H764" i="1"/>
  <c r="H692" i="1"/>
  <c r="H642" i="1"/>
  <c r="H701" i="1"/>
  <c r="H588" i="1"/>
  <c r="H497" i="1"/>
  <c r="H543" i="1"/>
  <c r="H608" i="1"/>
  <c r="H529" i="1"/>
  <c r="H695" i="1"/>
  <c r="H643" i="1"/>
  <c r="H905" i="1"/>
  <c r="H769" i="1"/>
  <c r="H737" i="1"/>
  <c r="H502" i="1"/>
  <c r="H549" i="1"/>
  <c r="H677" i="1"/>
  <c r="H742" i="1"/>
  <c r="H600" i="1"/>
  <c r="H594" i="1"/>
  <c r="H501" i="1"/>
  <c r="H719" i="1"/>
  <c r="H504" i="1"/>
  <c r="H749" i="1"/>
  <c r="H605" i="1"/>
  <c r="H626" i="1"/>
  <c r="H663" i="1"/>
  <c r="H592" i="1"/>
  <c r="H625" i="1"/>
  <c r="H711" i="1"/>
  <c r="H960" i="1"/>
  <c r="H812" i="1"/>
  <c r="H696" i="1"/>
  <c r="H546" i="1"/>
  <c r="H582" i="1"/>
  <c r="H531" i="1"/>
  <c r="H709" i="1"/>
  <c r="H606" i="1"/>
  <c r="H613" i="1"/>
  <c r="H645" i="1"/>
  <c r="H598" i="1"/>
  <c r="H609" i="1"/>
  <c r="H717" i="1"/>
  <c r="H665" i="1"/>
  <c r="H676" i="1"/>
  <c r="H566" i="1"/>
  <c r="H815" i="1"/>
  <c r="H732" i="1"/>
  <c r="H535" i="1"/>
  <c r="H520" i="1"/>
  <c r="H552" i="1"/>
  <c r="H843" i="1"/>
  <c r="H578" i="1"/>
  <c r="H640" i="1"/>
  <c r="H596" i="1"/>
  <c r="H584" i="1"/>
  <c r="H694" i="1"/>
  <c r="H541" i="1"/>
  <c r="H577" i="1"/>
  <c r="H931" i="1"/>
  <c r="H869" i="1"/>
  <c r="H777" i="1"/>
  <c r="H800" i="1"/>
  <c r="H618" i="1"/>
  <c r="H845" i="1"/>
  <c r="H781" i="1"/>
  <c r="H743" i="1"/>
  <c r="H723" i="1"/>
  <c r="H599" i="1"/>
  <c r="H672" i="1"/>
  <c r="H912" i="1"/>
  <c r="H619" i="1"/>
  <c r="H554" i="1"/>
  <c r="H631" i="1"/>
  <c r="H885" i="1"/>
  <c r="H573" i="1"/>
  <c r="H918" i="1"/>
  <c r="H544" i="1"/>
  <c r="H852" i="1"/>
  <c r="H827" i="1"/>
  <c r="H902" i="1"/>
  <c r="H484" i="1"/>
  <c r="H538" i="1"/>
  <c r="H624" i="1"/>
  <c r="H610" i="1"/>
  <c r="H693" i="1"/>
  <c r="H495" i="1"/>
  <c r="H682" i="1"/>
  <c r="H568" i="1"/>
  <c r="H917" i="1"/>
  <c r="H716" i="1"/>
  <c r="H966" i="1"/>
  <c r="H530" i="1"/>
  <c r="H729" i="1"/>
  <c r="H496" i="1"/>
  <c r="H797" i="1"/>
  <c r="H995" i="1"/>
  <c r="H809" i="1"/>
  <c r="H611" i="1"/>
  <c r="H646" i="1"/>
  <c r="H528" i="1"/>
  <c r="H593" i="1"/>
  <c r="H488" i="1"/>
  <c r="H580" i="1"/>
  <c r="H948" i="1"/>
  <c r="H565" i="1"/>
  <c r="H487" i="1"/>
  <c r="H792" i="1"/>
  <c r="H537" i="1"/>
  <c r="H506" i="1"/>
  <c r="H856" i="1"/>
  <c r="H730" i="1"/>
  <c r="H491" i="1"/>
  <c r="H559" i="1"/>
  <c r="H901" i="1"/>
  <c r="H956" i="1"/>
  <c r="H657" i="1"/>
  <c r="H983" i="1"/>
  <c r="H880" i="1"/>
  <c r="H675" i="1"/>
  <c r="H921" i="1"/>
  <c r="H943" i="1"/>
  <c r="H648" i="1"/>
  <c r="H678" i="1"/>
  <c r="H586" i="1"/>
  <c r="H721" i="1"/>
  <c r="H527" i="1"/>
  <c r="H587" i="1"/>
  <c r="H949" i="1"/>
  <c r="H583" i="1"/>
  <c r="H615" i="1"/>
  <c r="H511" i="1"/>
  <c r="H551" i="1"/>
  <c r="H710" i="1"/>
  <c r="H899" i="1"/>
  <c r="H731" i="1"/>
  <c r="H563" i="1"/>
  <c r="H763" i="1"/>
  <c r="H512" i="1"/>
  <c r="H670" i="1"/>
  <c r="H865" i="1"/>
  <c r="H934" i="1"/>
  <c r="H714" i="1"/>
  <c r="H788" i="1"/>
  <c r="H762" i="1"/>
  <c r="H745" i="1"/>
  <c r="H498" i="1"/>
  <c r="H726" i="1"/>
  <c r="H950" i="1"/>
  <c r="H958" i="1"/>
  <c r="H591" i="1"/>
  <c r="H978" i="1"/>
  <c r="H936" i="1"/>
  <c r="H555" i="1"/>
  <c r="H492" i="1"/>
  <c r="H761" i="1"/>
  <c r="H947" i="1"/>
  <c r="H837" i="1"/>
  <c r="H651" i="1"/>
  <c r="H785" i="1"/>
  <c r="H838" i="1"/>
  <c r="H522" i="1"/>
  <c r="H783" i="1"/>
  <c r="H659" i="1"/>
  <c r="H989" i="1"/>
  <c r="H697" i="1"/>
  <c r="H746" i="1"/>
  <c r="H649" i="1"/>
  <c r="H669" i="1"/>
  <c r="H490" i="1"/>
  <c r="H753" i="1"/>
  <c r="H771" i="1"/>
  <c r="H953" i="1"/>
  <c r="H524" i="1"/>
  <c r="H508" i="1"/>
  <c r="H752" i="1"/>
  <c r="H686" i="1"/>
  <c r="H548" i="1"/>
  <c r="H630" i="1"/>
  <c r="H772" i="1"/>
  <c r="H944" i="1"/>
  <c r="H629" i="1"/>
  <c r="H942" i="1"/>
  <c r="H523" i="1"/>
  <c r="H830" i="1"/>
  <c r="H576" i="1"/>
  <c r="H620" i="1"/>
  <c r="H759" i="1"/>
  <c r="H811" i="1"/>
  <c r="H793" i="1"/>
  <c r="H662" i="1"/>
  <c r="H835" i="1"/>
  <c r="H575" i="1"/>
  <c r="H644" i="1"/>
  <c r="H875" i="1"/>
  <c r="H539" i="1"/>
  <c r="H963" i="1"/>
  <c r="H808" i="1"/>
  <c r="H728" i="1"/>
  <c r="H910" i="1"/>
  <c r="H794" i="1"/>
  <c r="H532" i="1"/>
  <c r="H922" i="1"/>
  <c r="H810" i="1"/>
  <c r="H595" i="1"/>
  <c r="H848" i="1"/>
  <c r="H500" i="1"/>
  <c r="H489" i="1"/>
  <c r="H553" i="1"/>
  <c r="H667" i="1"/>
  <c r="H519" i="1"/>
  <c r="H632" i="1"/>
  <c r="H734" i="1"/>
  <c r="H911" i="1"/>
  <c r="H857" i="1"/>
  <c r="H561" i="1"/>
  <c r="H927" i="1"/>
  <c r="H514" i="1"/>
  <c r="H736" i="1"/>
  <c r="H707" i="1"/>
  <c r="H724" i="1"/>
  <c r="H765" i="1"/>
  <c r="H824" i="1"/>
  <c r="H547" i="1"/>
  <c r="H639" i="1"/>
  <c r="H661" i="1"/>
  <c r="H740" i="1"/>
  <c r="H804" i="1"/>
  <c r="H883" i="1"/>
  <c r="H879" i="1"/>
  <c r="H612" i="1"/>
  <c r="H873" i="1"/>
  <c r="H895" i="1"/>
  <c r="H841" i="1"/>
  <c r="H994" i="1"/>
  <c r="H733" i="1"/>
  <c r="H889" i="1"/>
  <c r="H774" i="1"/>
  <c r="H767" i="1"/>
  <c r="H814" i="1"/>
  <c r="H689" i="1"/>
  <c r="H637" i="1"/>
  <c r="H970" i="1"/>
  <c r="H516" i="1"/>
  <c r="H718" i="1"/>
  <c r="H977" i="1"/>
  <c r="H786" i="1"/>
  <c r="H981" i="1"/>
  <c r="H997" i="1"/>
  <c r="H833" i="1"/>
  <c r="H782" i="1"/>
  <c r="H585" i="1"/>
  <c r="H951" i="1"/>
  <c r="H928" i="1"/>
  <c r="H861" i="1"/>
  <c r="H840" i="1"/>
  <c r="H747" i="1"/>
  <c r="H776" i="1"/>
  <c r="H853" i="1"/>
  <c r="H849" i="1"/>
  <c r="H784" i="1"/>
  <c r="H658" i="1"/>
  <c r="H803" i="1"/>
  <c r="H846" i="1"/>
  <c r="H937" i="1"/>
  <c r="H722" i="1"/>
  <c r="H863" i="1"/>
  <c r="H801" i="1"/>
  <c r="H688" i="1"/>
  <c r="H789" i="1"/>
  <c r="H735" i="1"/>
  <c r="H750" i="1"/>
  <c r="H628" i="1"/>
  <c r="H754" i="1"/>
  <c r="H884" i="1"/>
  <c r="H720" i="1"/>
  <c r="H820" i="1"/>
  <c r="H712" i="1"/>
  <c r="H923" i="1"/>
  <c r="H870" i="1"/>
  <c r="H831" i="1"/>
  <c r="H877" i="1"/>
  <c r="H962" i="1"/>
  <c r="H507" i="1"/>
  <c r="H915" i="1"/>
  <c r="H505" i="1"/>
  <c r="H654" i="1"/>
  <c r="H864" i="1"/>
  <c r="H521" i="1"/>
  <c r="H945" i="1"/>
  <c r="H751" i="1"/>
  <c r="H826" i="1"/>
  <c r="H757" i="1"/>
  <c r="H854" i="1"/>
  <c r="H601" i="1"/>
  <c r="H698" i="1"/>
  <c r="H779" i="1"/>
  <c r="H790" i="1"/>
  <c r="H656" i="1"/>
  <c r="H866" i="1"/>
  <c r="H687" i="1"/>
  <c r="H893" i="1"/>
  <c r="H925" i="1"/>
  <c r="H805" i="1"/>
  <c r="H886" i="1"/>
  <c r="H871" i="1"/>
  <c r="H602" i="1"/>
  <c r="H847" i="1"/>
  <c r="H909" i="1"/>
  <c r="H725" i="1"/>
  <c r="H933" i="1"/>
  <c r="H579" i="1"/>
  <c r="H572" i="1"/>
  <c r="H571" i="1"/>
  <c r="H702" i="1"/>
  <c r="H818" i="1"/>
  <c r="H874" i="1"/>
  <c r="H655" i="1"/>
  <c r="H819" i="1"/>
  <c r="H957" i="1"/>
  <c r="H638" i="1"/>
  <c r="H766" i="1"/>
  <c r="H799" i="1"/>
  <c r="H604" i="1"/>
  <c r="H862" i="1"/>
  <c r="H715" i="1"/>
  <c r="H515" i="1"/>
  <c r="H907" i="1"/>
  <c r="H540" i="1"/>
  <c r="H832" i="1"/>
  <c r="H778" i="1"/>
  <c r="H545" i="1"/>
  <c r="H635" i="1"/>
  <c r="H1006" i="1"/>
  <c r="H690" i="1"/>
  <c r="H1005" i="1"/>
  <c r="H980" i="1"/>
  <c r="H569" i="1"/>
  <c r="H867" i="1"/>
  <c r="H919" i="1"/>
  <c r="H986" i="1"/>
  <c r="H760" i="1"/>
  <c r="H621" i="1"/>
  <c r="H975" i="1"/>
  <c r="H990" i="1"/>
  <c r="H839" i="1"/>
  <c r="H828" i="1"/>
  <c r="H603" i="1"/>
  <c r="H987" i="1"/>
  <c r="H897" i="1"/>
  <c r="H708" i="1"/>
  <c r="H955" i="1"/>
  <c r="H834" i="1"/>
  <c r="H888" i="1"/>
  <c r="H967" i="1"/>
  <c r="H796" i="1"/>
  <c r="H699" i="1"/>
  <c r="H913" i="1"/>
  <c r="H704" i="1"/>
  <c r="H859" i="1"/>
  <c r="H882" i="1"/>
  <c r="H825" i="1"/>
  <c r="H973" i="1"/>
  <c r="H904" i="1"/>
  <c r="H570" i="1"/>
  <c r="H894" i="1"/>
  <c r="H660" i="1"/>
  <c r="H1010" i="1"/>
  <c r="H664" i="1"/>
  <c r="H791" i="1"/>
  <c r="H653" i="1"/>
  <c r="H891" i="1"/>
  <c r="H896" i="1"/>
  <c r="H829" i="1"/>
  <c r="H991" i="1"/>
  <c r="H914" i="1"/>
  <c r="H964" i="1"/>
  <c r="H954" i="1"/>
  <c r="H739" i="1"/>
  <c r="H961" i="1"/>
  <c r="H999" i="1"/>
  <c r="H738" i="1"/>
  <c r="H1001" i="1"/>
  <c r="H935" i="1"/>
  <c r="H982" i="1"/>
  <c r="H787" i="1"/>
  <c r="H680" i="1"/>
  <c r="H878" i="1"/>
  <c r="H836" i="1"/>
  <c r="H671" i="1"/>
  <c r="H1004" i="1"/>
  <c r="H1009" i="1"/>
  <c r="H683" i="1"/>
  <c r="H946" i="1"/>
  <c r="H903" i="1"/>
  <c r="H706" i="1"/>
  <c r="H932" i="1"/>
  <c r="H920" i="1"/>
  <c r="H881" i="1"/>
  <c r="H744" i="1"/>
  <c r="H985" i="1"/>
  <c r="H1007" i="1"/>
  <c r="H1003" i="1"/>
  <c r="H822" i="1"/>
  <c r="H872" i="1"/>
  <c r="H916" i="1"/>
  <c r="H929" i="1"/>
  <c r="H974" i="1"/>
  <c r="H887" i="1"/>
  <c r="H807" i="1"/>
  <c r="H941" i="1"/>
  <c r="H972" i="1"/>
  <c r="H926" i="1"/>
  <c r="H770" i="1"/>
  <c r="H998" i="1"/>
  <c r="H842" i="1"/>
  <c r="H968" i="1"/>
  <c r="H979" i="1"/>
  <c r="H1008" i="1"/>
  <c r="H938" i="1"/>
  <c r="H850" i="1"/>
  <c r="H1000" i="1"/>
  <c r="H996" i="1"/>
  <c r="H674" i="1"/>
  <c r="H898" i="1"/>
  <c r="H930" i="1"/>
  <c r="H855" i="1"/>
  <c r="H890" i="1"/>
  <c r="H860" i="1"/>
  <c r="H971" i="1"/>
  <c r="H868" i="1"/>
  <c r="H823" i="1"/>
  <c r="H992" i="1"/>
  <c r="J788" i="1"/>
  <c r="J1004" i="1"/>
  <c r="J516" i="1"/>
  <c r="J1005" i="1"/>
  <c r="J681" i="1"/>
  <c r="J833" i="1"/>
  <c r="J531" i="1"/>
  <c r="J937" i="1"/>
  <c r="J678" i="1"/>
  <c r="J570" i="1"/>
  <c r="J669" i="1"/>
  <c r="J884" i="1"/>
  <c r="J526" i="1"/>
  <c r="J628" i="1"/>
  <c r="J554" i="1"/>
  <c r="J863" i="1"/>
  <c r="J569" i="1"/>
  <c r="J822" i="1"/>
  <c r="J962" i="1"/>
  <c r="J555" i="1"/>
  <c r="J899" i="1"/>
  <c r="J502" i="1"/>
  <c r="J565" i="1"/>
  <c r="J889" i="1"/>
  <c r="J610" i="1"/>
  <c r="J738" i="1"/>
  <c r="J986" i="1"/>
  <c r="J651" i="1"/>
  <c r="J613" i="1"/>
  <c r="J900" i="1"/>
  <c r="J832" i="1"/>
  <c r="J496" i="1"/>
  <c r="J865" i="1"/>
  <c r="J695" i="1"/>
  <c r="J782" i="1"/>
  <c r="J697" i="1"/>
  <c r="J629" i="1"/>
  <c r="J719" i="1"/>
  <c r="J786" i="1"/>
  <c r="J943" i="1"/>
  <c r="J851" i="1"/>
  <c r="J521" i="1"/>
  <c r="J560" i="1"/>
  <c r="J795" i="1"/>
  <c r="J914" i="1"/>
  <c r="J608" i="1"/>
  <c r="J710" i="1"/>
  <c r="J589" i="1"/>
  <c r="J998" i="1"/>
  <c r="J647" i="1"/>
  <c r="J871" i="1"/>
  <c r="J791" i="1"/>
  <c r="J509" i="1"/>
  <c r="J579" i="1"/>
  <c r="J718" i="1"/>
  <c r="J731" i="1"/>
  <c r="J893" i="1"/>
  <c r="J489" i="1"/>
  <c r="J632" i="1"/>
  <c r="J978" i="1"/>
  <c r="J714" i="1"/>
  <c r="J770" i="1"/>
  <c r="J972" i="1"/>
  <c r="J813" i="1"/>
  <c r="J625" i="1"/>
  <c r="J730" i="1"/>
  <c r="J836" i="1"/>
  <c r="J665" i="1"/>
  <c r="J808" i="1"/>
  <c r="J734" i="1"/>
  <c r="J980" i="1"/>
  <c r="J804" i="1"/>
  <c r="J807" i="1"/>
  <c r="J870" i="1"/>
  <c r="J741" i="1"/>
  <c r="J853" i="1"/>
  <c r="J936" i="1"/>
  <c r="J599" i="1"/>
  <c r="J982" i="1"/>
  <c r="J615" i="1"/>
  <c r="J550" i="1"/>
  <c r="J997" i="1"/>
  <c r="J551" i="1"/>
  <c r="J618" i="1"/>
  <c r="J601" i="1"/>
  <c r="J595" i="1"/>
  <c r="J661" i="1"/>
  <c r="J849" i="1"/>
  <c r="J571" i="1"/>
  <c r="J801" i="1"/>
  <c r="J752" i="1"/>
  <c r="J816" i="1"/>
  <c r="J935" i="1"/>
  <c r="J1010" i="1"/>
  <c r="J600" i="1"/>
  <c r="J993" i="1"/>
  <c r="J576" i="1"/>
  <c r="J886" i="1"/>
  <c r="J584" i="1"/>
  <c r="J826" i="1"/>
  <c r="J686" i="1"/>
  <c r="J704" i="1"/>
  <c r="J641" i="1"/>
  <c r="J933" i="1"/>
  <c r="J634" i="1"/>
  <c r="J688" i="1"/>
  <c r="J612" i="1"/>
  <c r="J895" i="1"/>
  <c r="J803" i="1"/>
  <c r="J938" i="1"/>
  <c r="J711" i="1"/>
  <c r="J660" i="1"/>
  <c r="J614" i="1"/>
  <c r="J948" i="1"/>
  <c r="J594" i="1"/>
  <c r="J829" i="1"/>
  <c r="J806" i="1"/>
  <c r="J838" i="1"/>
  <c r="J716" i="1"/>
  <c r="J603" i="1"/>
  <c r="J659" i="1"/>
  <c r="J736" i="1"/>
  <c r="J992" i="1"/>
  <c r="J606" i="1"/>
  <c r="J590" i="1"/>
  <c r="J815" i="1"/>
  <c r="J642" i="1"/>
  <c r="J1009" i="1"/>
  <c r="J662" i="1"/>
  <c r="J682" i="1"/>
  <c r="J687" i="1"/>
  <c r="J667" i="1"/>
  <c r="J616" i="1"/>
  <c r="J811" i="1"/>
  <c r="J535" i="1"/>
  <c r="J767" i="1"/>
  <c r="J636" i="1"/>
  <c r="J1008" i="1"/>
  <c r="J843" i="1"/>
  <c r="J912" i="1"/>
  <c r="J785" i="1"/>
  <c r="J537" i="1"/>
  <c r="J708" i="1"/>
  <c r="J1006" i="1"/>
  <c r="J873" i="1"/>
  <c r="J586" i="1"/>
  <c r="J575" i="1"/>
  <c r="J971" i="1"/>
  <c r="J572" i="1"/>
  <c r="J692" i="1"/>
  <c r="J835" i="1"/>
  <c r="J751" i="1"/>
  <c r="J622" i="1"/>
  <c r="J558" i="1"/>
  <c r="J520" i="1"/>
  <c r="J834" i="1"/>
  <c r="J841" i="1"/>
  <c r="J534" i="1"/>
  <c r="J559" i="1"/>
  <c r="J536" i="1"/>
  <c r="J670" i="1"/>
  <c r="J784" i="1"/>
  <c r="J593" i="1"/>
  <c r="J715" i="1"/>
  <c r="J650" i="1"/>
  <c r="J828" i="1"/>
  <c r="J691" i="1"/>
  <c r="J674" i="1"/>
  <c r="J967" i="1"/>
  <c r="J643" i="1"/>
  <c r="J493" i="1"/>
  <c r="J955" i="1"/>
  <c r="J950" i="1"/>
  <c r="J649" i="1"/>
  <c r="J533" i="1"/>
  <c r="J934" i="1"/>
  <c r="J872" i="1"/>
  <c r="J562" i="1"/>
  <c r="J763" i="1"/>
  <c r="J994" i="1"/>
  <c r="J626" i="1"/>
  <c r="J939" i="1"/>
  <c r="J1001" i="1"/>
  <c r="J818" i="1"/>
  <c r="J975" i="1"/>
  <c r="J814" i="1"/>
  <c r="J617" i="1"/>
  <c r="J664" i="1"/>
  <c r="J908" i="1"/>
  <c r="J549" i="1"/>
  <c r="J749" i="1"/>
  <c r="J902" i="1"/>
  <c r="J543" i="1"/>
  <c r="J885" i="1"/>
  <c r="J977" i="1"/>
  <c r="J781" i="1"/>
  <c r="J821" i="1"/>
  <c r="J922" i="1"/>
  <c r="J511" i="1"/>
  <c r="J810" i="1"/>
  <c r="J646" i="1"/>
  <c r="J923" i="1"/>
  <c r="J890" i="1"/>
  <c r="J861" i="1"/>
  <c r="J988" i="1"/>
  <c r="J991" i="1"/>
  <c r="J772" i="1"/>
  <c r="J906" i="1"/>
  <c r="J847" i="1"/>
  <c r="J621" i="1"/>
  <c r="J529" i="1"/>
  <c r="J831" i="1"/>
  <c r="J774" i="1"/>
  <c r="J663" i="1"/>
  <c r="J508" i="1"/>
  <c r="J907" i="1"/>
  <c r="J944" i="1"/>
  <c r="J492" i="1"/>
  <c r="J737" i="1"/>
  <c r="J709" i="1"/>
  <c r="J703" i="1"/>
  <c r="J672" i="1"/>
  <c r="J867" i="1"/>
  <c r="J820" i="1"/>
  <c r="J974" i="1"/>
  <c r="J604" i="1"/>
  <c r="J654" i="1"/>
  <c r="J911" i="1"/>
  <c r="J500" i="1"/>
  <c r="J846" i="1"/>
  <c r="J696" i="1"/>
  <c r="J819" i="1"/>
  <c r="J794" i="1"/>
  <c r="J946" i="1"/>
  <c r="J990" i="1"/>
  <c r="J919" i="1"/>
  <c r="J754" i="1"/>
  <c r="J578" i="1"/>
  <c r="J574" i="1"/>
  <c r="J583" i="1"/>
  <c r="J837" i="1"/>
  <c r="J960" i="1"/>
  <c r="J973" i="1"/>
  <c r="J539" i="1"/>
  <c r="J525" i="1"/>
  <c r="J753" i="1"/>
  <c r="J925" i="1"/>
  <c r="J856" i="1"/>
  <c r="J920" i="1"/>
  <c r="J897" i="1"/>
  <c r="J854" i="1"/>
  <c r="J761" i="1"/>
  <c r="J894" i="1"/>
  <c r="J607" i="1"/>
  <c r="J506" i="1"/>
  <c r="J653" i="1"/>
  <c r="J548" i="1"/>
  <c r="J942" i="1"/>
  <c r="J799" i="1"/>
  <c r="J903" i="1"/>
  <c r="J951" i="1"/>
  <c r="J515" i="1"/>
  <c r="J542" i="1"/>
  <c r="J869" i="1"/>
  <c r="J842" i="1"/>
  <c r="J766" i="1"/>
  <c r="J918" i="1"/>
  <c r="J485" i="1"/>
  <c r="J927" i="1"/>
  <c r="J510" i="1"/>
  <c r="J953" i="1"/>
  <c r="J747" i="1"/>
  <c r="J652" i="1"/>
  <c r="J783" i="1"/>
  <c r="J964" i="1"/>
  <c r="J527" i="1"/>
  <c r="J656" i="1"/>
  <c r="J850" i="1"/>
  <c r="J561" i="1"/>
  <c r="J969" i="1"/>
  <c r="J984" i="1"/>
  <c r="J961" i="1"/>
  <c r="J845" i="1"/>
  <c r="J1003" i="1"/>
  <c r="J848" i="1"/>
  <c r="J623" i="1"/>
  <c r="J954" i="1"/>
  <c r="J947" i="1"/>
  <c r="J658" i="1"/>
  <c r="J499" i="1"/>
  <c r="J812" i="1"/>
  <c r="J655" i="1"/>
  <c r="J619" i="1"/>
  <c r="J809" i="1"/>
  <c r="J755" i="1"/>
  <c r="J546" i="1"/>
  <c r="J491" i="1"/>
  <c r="J941" i="1"/>
  <c r="J740" i="1"/>
  <c r="J591" i="1"/>
  <c r="J802" i="1"/>
  <c r="J729" i="1"/>
  <c r="J1002" i="1"/>
  <c r="J798" i="1"/>
  <c r="J827" i="1"/>
  <c r="J883" i="1"/>
  <c r="J627" i="1"/>
  <c r="J484" i="1"/>
  <c r="J507" i="1"/>
  <c r="J592" i="1"/>
  <c r="J671" i="1"/>
  <c r="J624" i="1"/>
  <c r="J909" i="1"/>
  <c r="J759" i="1"/>
  <c r="J765" i="1"/>
  <c r="J700" i="1"/>
  <c r="J724" i="1"/>
  <c r="J503" i="1"/>
  <c r="J866" i="1"/>
  <c r="J748" i="1"/>
  <c r="J768" i="1"/>
  <c r="J611" i="1"/>
  <c r="J512" i="1"/>
  <c r="J598" i="1"/>
  <c r="J567" i="1"/>
  <c r="J757" i="1"/>
  <c r="J898" i="1"/>
  <c r="J858" i="1"/>
  <c r="J725" i="1"/>
  <c r="J668" i="1"/>
  <c r="J844" i="1"/>
  <c r="J999" i="1"/>
  <c r="J840" i="1"/>
  <c r="J805" i="1"/>
  <c r="J609" i="1"/>
  <c r="J727" i="1"/>
  <c r="J638" i="1"/>
  <c r="J780" i="1"/>
  <c r="J733" i="1"/>
  <c r="J490" i="1"/>
  <c r="J487" i="1"/>
  <c r="J739" i="1"/>
  <c r="J789" i="1"/>
  <c r="J639" i="1"/>
  <c r="J528" i="1"/>
  <c r="J644" i="1"/>
  <c r="J726" i="1"/>
  <c r="J685" i="1"/>
  <c r="J597" i="1"/>
  <c r="J949" i="1"/>
  <c r="J513" i="1"/>
  <c r="J989" i="1"/>
  <c r="J859" i="1"/>
  <c r="J553" i="1"/>
  <c r="J956" i="1"/>
  <c r="J732" i="1"/>
  <c r="J657" i="1"/>
  <c r="J905" i="1"/>
  <c r="J717" i="1"/>
  <c r="J596" i="1"/>
  <c r="J690" i="1"/>
  <c r="J680" i="1"/>
  <c r="J756" i="1"/>
  <c r="J519" i="1"/>
  <c r="J721" i="1"/>
  <c r="J901" i="1"/>
  <c r="J545" i="1"/>
  <c r="J573" i="1"/>
  <c r="J637" i="1"/>
  <c r="J694" i="1"/>
  <c r="J793" i="1"/>
  <c r="J769" i="1"/>
  <c r="J541" i="1"/>
  <c r="J824" i="1"/>
  <c r="J497" i="1"/>
  <c r="J882" i="1"/>
  <c r="J968" i="1"/>
  <c r="J735" i="1"/>
  <c r="J959" i="1"/>
  <c r="J940" i="1"/>
  <c r="J501" i="1"/>
  <c r="J952" i="1"/>
  <c r="J880" i="1"/>
  <c r="J965" i="1"/>
  <c r="J699" i="1"/>
  <c r="J877" i="1"/>
  <c r="J773" i="1"/>
  <c r="J673" i="1"/>
  <c r="J742" i="1"/>
  <c r="J620" i="1"/>
  <c r="J917" i="1"/>
  <c r="J666" i="1"/>
  <c r="J706" i="1"/>
  <c r="J930" i="1"/>
  <c r="J868" i="1"/>
  <c r="J713" i="1"/>
  <c r="J750" i="1"/>
  <c r="J544" i="1"/>
  <c r="J760" i="1"/>
  <c r="J852" i="1"/>
  <c r="J498" i="1"/>
  <c r="J745" i="1"/>
  <c r="J864" i="1"/>
  <c r="J540" i="1"/>
  <c r="J495" i="1"/>
  <c r="J547" i="1"/>
  <c r="J523" i="1"/>
  <c r="J860" i="1"/>
  <c r="J518" i="1"/>
  <c r="J996" i="1"/>
  <c r="J904" i="1"/>
  <c r="J683" i="1"/>
  <c r="J876" i="1"/>
  <c r="J928" i="1"/>
  <c r="J532" i="1"/>
  <c r="J635" i="1"/>
  <c r="J981" i="1"/>
  <c r="J985" i="1"/>
  <c r="J494" i="1"/>
  <c r="J823" i="1"/>
  <c r="J1007" i="1"/>
  <c r="J563" i="1"/>
  <c r="J771" i="1"/>
  <c r="J486" i="1"/>
  <c r="J945" i="1"/>
  <c r="J556" i="1"/>
  <c r="J817" i="1"/>
  <c r="J891" i="1"/>
  <c r="J983" i="1"/>
  <c r="J787" i="1"/>
  <c r="J585" i="1"/>
  <c r="J926" i="1"/>
  <c r="J588" i="1"/>
  <c r="J693" i="1"/>
  <c r="J800" i="1"/>
  <c r="J764" i="1"/>
  <c r="J701" i="1"/>
  <c r="J915" i="1"/>
  <c r="J896" i="1"/>
  <c r="J522" i="1"/>
  <c r="J792" i="1"/>
  <c r="J684" i="1"/>
  <c r="J633" i="1"/>
  <c r="J931" i="1"/>
  <c r="J605" i="1"/>
  <c r="J776" i="1"/>
  <c r="J702" i="1"/>
  <c r="J557" i="1"/>
  <c r="J777" i="1"/>
  <c r="J797" i="1"/>
  <c r="J645" i="1"/>
  <c r="J640" i="1"/>
  <c r="J892" i="1"/>
  <c r="J689" i="1"/>
  <c r="J963" i="1"/>
  <c r="J587" i="1"/>
  <c r="J744" i="1"/>
  <c r="J504" i="1"/>
  <c r="J577" i="1"/>
  <c r="J505" i="1"/>
  <c r="J879" i="1"/>
  <c r="J631" i="1"/>
  <c r="J839" i="1"/>
  <c r="J913" i="1"/>
  <c r="J825" i="1"/>
  <c r="J743" i="1"/>
  <c r="J552" i="1"/>
  <c r="J677" i="1"/>
  <c r="J698" i="1"/>
  <c r="J874" i="1"/>
  <c r="J910" i="1"/>
  <c r="J728" i="1"/>
  <c r="J887" i="1"/>
  <c r="J855" i="1"/>
  <c r="J775" i="1"/>
  <c r="J976" i="1"/>
  <c r="J970" i="1"/>
  <c r="J679" i="1"/>
  <c r="J778" i="1"/>
  <c r="J564" i="1"/>
  <c r="J538" i="1"/>
  <c r="J966" i="1"/>
  <c r="J722" i="1"/>
  <c r="J602" i="1"/>
  <c r="J916" i="1"/>
  <c r="J830" i="1"/>
  <c r="J987" i="1"/>
  <c r="J707" i="1"/>
  <c r="J862" i="1"/>
  <c r="J979" i="1"/>
  <c r="J995" i="1"/>
  <c r="J790" i="1"/>
  <c r="J676" i="1"/>
  <c r="J524" i="1"/>
  <c r="J888" i="1"/>
  <c r="J675" i="1"/>
  <c r="J878" i="1"/>
  <c r="J958" i="1"/>
  <c r="J582" i="1"/>
  <c r="J758" i="1"/>
  <c r="J530" i="1"/>
  <c r="J630" i="1"/>
  <c r="J581" i="1"/>
  <c r="J762" i="1"/>
  <c r="J568" i="1"/>
  <c r="J517" i="1"/>
  <c r="J796" i="1"/>
  <c r="J705" i="1"/>
  <c r="J857" i="1"/>
  <c r="J875" i="1"/>
  <c r="J746" i="1"/>
  <c r="J723" i="1"/>
  <c r="J712" i="1"/>
  <c r="J566" i="1"/>
  <c r="J924" i="1"/>
  <c r="J648" i="1"/>
  <c r="J720" i="1"/>
  <c r="J929" i="1"/>
  <c r="J932" i="1"/>
  <c r="J881" i="1"/>
  <c r="J514" i="1"/>
  <c r="J957" i="1"/>
  <c r="J1000" i="1"/>
  <c r="J779" i="1"/>
  <c r="J580" i="1"/>
  <c r="J488" i="1"/>
  <c r="J921" i="1"/>
  <c r="H465" i="1"/>
  <c r="H457" i="1"/>
  <c r="H476" i="1"/>
  <c r="H441" i="1"/>
  <c r="H192" i="1"/>
  <c r="H184" i="1"/>
  <c r="H176" i="1"/>
  <c r="H404" i="1"/>
  <c r="H445" i="1"/>
  <c r="H131" i="1"/>
  <c r="H421" i="1"/>
  <c r="H316" i="1"/>
  <c r="H460" i="1"/>
  <c r="H467" i="1"/>
  <c r="H402" i="1"/>
  <c r="H480" i="1"/>
  <c r="H472" i="1"/>
  <c r="H310" i="1"/>
  <c r="H306" i="1"/>
  <c r="H458" i="1"/>
  <c r="H418" i="1"/>
  <c r="H133" i="1"/>
  <c r="H93" i="1"/>
  <c r="H77" i="1"/>
  <c r="H297" i="1"/>
  <c r="H43" i="1"/>
  <c r="H11" i="1"/>
  <c r="H294" i="1"/>
  <c r="H127" i="1"/>
  <c r="H7" i="1"/>
  <c r="H63" i="1"/>
  <c r="H328" i="1"/>
  <c r="H334" i="1"/>
  <c r="H61" i="1"/>
  <c r="H123" i="1"/>
  <c r="H180" i="1"/>
  <c r="H250" i="1"/>
  <c r="H2" i="1"/>
  <c r="H109" i="1"/>
  <c r="H326" i="1"/>
  <c r="H336" i="1"/>
  <c r="H85" i="1"/>
  <c r="H68" i="1"/>
  <c r="H56" i="1"/>
  <c r="H16" i="1"/>
  <c r="H280" i="1"/>
  <c r="H144" i="1"/>
  <c r="H188" i="1"/>
  <c r="H46" i="1"/>
  <c r="H170" i="1"/>
  <c r="H308" i="1"/>
  <c r="H302" i="1"/>
  <c r="H73" i="1"/>
  <c r="H89" i="1"/>
  <c r="H305" i="1"/>
  <c r="H344" i="1"/>
  <c r="H45" i="1"/>
  <c r="H186" i="1"/>
  <c r="H125" i="1"/>
  <c r="H118" i="1"/>
  <c r="H236" i="1"/>
  <c r="H25" i="1"/>
  <c r="H101" i="1"/>
  <c r="H27" i="1"/>
  <c r="H312" i="1"/>
  <c r="H42" i="1"/>
  <c r="H98" i="1"/>
  <c r="H200" i="1"/>
  <c r="H208" i="1"/>
  <c r="H216" i="1"/>
  <c r="H371" i="1"/>
  <c r="H350" i="1"/>
  <c r="H156" i="1"/>
  <c r="H31" i="1"/>
  <c r="H304" i="1"/>
  <c r="H19" i="1"/>
  <c r="H447" i="1"/>
  <c r="H70" i="1"/>
  <c r="H196" i="1"/>
  <c r="H103" i="1"/>
  <c r="H213" i="1"/>
  <c r="H57" i="1"/>
  <c r="H173" i="1"/>
  <c r="H112" i="1"/>
  <c r="H33" i="1"/>
  <c r="H5" i="1"/>
  <c r="H10" i="1"/>
  <c r="H244" i="1"/>
  <c r="H21" i="1"/>
  <c r="H393" i="1"/>
  <c r="H319" i="1"/>
  <c r="H100" i="1"/>
  <c r="H154" i="1"/>
  <c r="H92" i="1"/>
  <c r="H148" i="1"/>
  <c r="H39" i="1"/>
  <c r="H124" i="1"/>
  <c r="H35" i="1"/>
  <c r="H95" i="1"/>
  <c r="H352" i="1"/>
  <c r="H47" i="1"/>
  <c r="H106" i="1"/>
  <c r="H14" i="1"/>
  <c r="H258" i="1"/>
  <c r="H115" i="1"/>
  <c r="H53" i="1"/>
  <c r="H37" i="1"/>
  <c r="H274" i="1"/>
  <c r="H399" i="1"/>
  <c r="H423" i="1"/>
  <c r="H286" i="1"/>
  <c r="H205" i="1"/>
  <c r="H102" i="1"/>
  <c r="H220" i="1"/>
  <c r="H94" i="1"/>
  <c r="H212" i="1"/>
  <c r="H224" i="1"/>
  <c r="H408" i="1"/>
  <c r="H65" i="1"/>
  <c r="H355" i="1"/>
  <c r="H23" i="1"/>
  <c r="H55" i="1"/>
  <c r="H107" i="1"/>
  <c r="H126" i="1"/>
  <c r="H313" i="1"/>
  <c r="H71" i="1"/>
  <c r="H12" i="1"/>
  <c r="H130" i="1"/>
  <c r="H44" i="1"/>
  <c r="H50" i="1"/>
  <c r="H111" i="1"/>
  <c r="H430" i="1"/>
  <c r="H3" i="1"/>
  <c r="H284" i="1"/>
  <c r="H454" i="1"/>
  <c r="H79" i="1"/>
  <c r="H260" i="1"/>
  <c r="H113" i="1"/>
  <c r="H121" i="1"/>
  <c r="H116" i="1"/>
  <c r="H242" i="1"/>
  <c r="H268" i="1"/>
  <c r="H311" i="1"/>
  <c r="H327" i="1"/>
  <c r="H48" i="1"/>
  <c r="H104" i="1"/>
  <c r="H347" i="1"/>
  <c r="H58" i="1"/>
  <c r="H67" i="1"/>
  <c r="H431" i="1"/>
  <c r="H97" i="1"/>
  <c r="H29" i="1"/>
  <c r="H159" i="1"/>
  <c r="H8" i="1"/>
  <c r="H54" i="1"/>
  <c r="H221" i="1"/>
  <c r="H428" i="1"/>
  <c r="H276" i="1"/>
  <c r="H448" i="1"/>
  <c r="H149" i="1"/>
  <c r="H193" i="1"/>
  <c r="H209" i="1"/>
  <c r="H338" i="1"/>
  <c r="H90" i="1"/>
  <c r="H83" i="1"/>
  <c r="H34" i="1"/>
  <c r="H66" i="1"/>
  <c r="H142" i="1"/>
  <c r="H179" i="1"/>
  <c r="H143" i="1"/>
  <c r="H82" i="1"/>
  <c r="H247" i="1"/>
  <c r="H240" i="1"/>
  <c r="H256" i="1"/>
  <c r="H272" i="1"/>
  <c r="H318" i="1"/>
  <c r="H343" i="1"/>
  <c r="H359" i="1"/>
  <c r="H400" i="1"/>
  <c r="H135" i="1"/>
  <c r="H64" i="1"/>
  <c r="H461" i="1"/>
  <c r="H469" i="1"/>
  <c r="H477" i="1"/>
  <c r="H136" i="1"/>
  <c r="H132" i="1"/>
  <c r="H151" i="1"/>
  <c r="H119" i="1"/>
  <c r="H168" i="1"/>
  <c r="H372" i="1"/>
  <c r="H388" i="1"/>
  <c r="H84" i="1"/>
  <c r="H210" i="1"/>
  <c r="H36" i="1"/>
  <c r="H28" i="1"/>
  <c r="H122" i="1"/>
  <c r="H60" i="1"/>
  <c r="H150" i="1"/>
  <c r="H110" i="1"/>
  <c r="H263" i="1"/>
  <c r="H353" i="1"/>
  <c r="H383" i="1"/>
  <c r="H99" i="1"/>
  <c r="H91" i="1"/>
  <c r="H185" i="1"/>
  <c r="H201" i="1"/>
  <c r="H86" i="1"/>
  <c r="H204" i="1"/>
  <c r="H15" i="1"/>
  <c r="H141" i="1"/>
  <c r="H174" i="1"/>
  <c r="H38" i="1"/>
  <c r="H30" i="1"/>
  <c r="H197" i="1"/>
  <c r="H62" i="1"/>
  <c r="H229" i="1"/>
  <c r="H266" i="1"/>
  <c r="H234" i="1"/>
  <c r="H228" i="1"/>
  <c r="H232" i="1"/>
  <c r="H248" i="1"/>
  <c r="H264" i="1"/>
  <c r="H292" i="1"/>
  <c r="H335" i="1"/>
  <c r="H351" i="1"/>
  <c r="H439" i="1"/>
  <c r="H464" i="1"/>
  <c r="H363" i="1"/>
  <c r="H342" i="1"/>
  <c r="H140" i="1"/>
  <c r="H165" i="1"/>
  <c r="H52" i="1"/>
  <c r="H178" i="1"/>
  <c r="H218" i="1"/>
  <c r="H432" i="1"/>
  <c r="H288" i="1"/>
  <c r="H320" i="1"/>
  <c r="H380" i="1"/>
  <c r="H396" i="1"/>
  <c r="H96" i="1"/>
  <c r="H199" i="1"/>
  <c r="H191" i="1"/>
  <c r="H40" i="1"/>
  <c r="H72" i="1"/>
  <c r="H13" i="1"/>
  <c r="H317" i="1"/>
  <c r="H117" i="1"/>
  <c r="H257" i="1"/>
  <c r="H81" i="1"/>
  <c r="H59" i="1"/>
  <c r="H158" i="1"/>
  <c r="H51" i="1"/>
  <c r="H128" i="1"/>
  <c r="H171" i="1"/>
  <c r="H78" i="1"/>
  <c r="H80" i="1"/>
  <c r="H230" i="1"/>
  <c r="H238" i="1"/>
  <c r="H246" i="1"/>
  <c r="H254" i="1"/>
  <c r="H120" i="1"/>
  <c r="H49" i="1"/>
  <c r="H279" i="1"/>
  <c r="H287" i="1"/>
  <c r="H295" i="1"/>
  <c r="H303" i="1"/>
  <c r="H255" i="1"/>
  <c r="H298" i="1"/>
  <c r="H283" i="1"/>
  <c r="H291" i="1"/>
  <c r="H299" i="1"/>
  <c r="H307" i="1"/>
  <c r="H315" i="1"/>
  <c r="H323" i="1"/>
  <c r="H331" i="1"/>
  <c r="H339" i="1"/>
  <c r="H365" i="1"/>
  <c r="H375" i="1"/>
  <c r="H391" i="1"/>
  <c r="H462" i="1"/>
  <c r="H249" i="1"/>
  <c r="H265" i="1"/>
  <c r="H463" i="1"/>
  <c r="H471" i="1"/>
  <c r="H479" i="1"/>
  <c r="H414" i="1"/>
  <c r="H438" i="1"/>
  <c r="H437" i="1"/>
  <c r="H155" i="1"/>
  <c r="H163" i="1"/>
  <c r="H9" i="1"/>
  <c r="H74" i="1"/>
  <c r="H314" i="1"/>
  <c r="H451" i="1"/>
  <c r="H88" i="1"/>
  <c r="H17" i="1"/>
  <c r="H114" i="1"/>
  <c r="H4" i="1"/>
  <c r="H108" i="1"/>
  <c r="H226" i="1"/>
  <c r="H433" i="1"/>
  <c r="H281" i="1"/>
  <c r="H289" i="1"/>
  <c r="H379" i="1"/>
  <c r="H395" i="1"/>
  <c r="H440" i="1"/>
  <c r="H333" i="1"/>
  <c r="H341" i="1"/>
  <c r="H349" i="1"/>
  <c r="H357" i="1"/>
  <c r="H367" i="1"/>
  <c r="H361" i="1"/>
  <c r="H381" i="1"/>
  <c r="H377" i="1"/>
  <c r="H483" i="1"/>
  <c r="H105" i="1"/>
  <c r="H69" i="1"/>
  <c r="H416" i="1"/>
  <c r="H415" i="1"/>
  <c r="H309" i="1"/>
  <c r="H325" i="1"/>
  <c r="H87" i="1"/>
  <c r="H164" i="1"/>
  <c r="H134" i="1"/>
  <c r="H167" i="1"/>
  <c r="H162" i="1"/>
  <c r="H76" i="1"/>
  <c r="H194" i="1"/>
  <c r="H332" i="1"/>
  <c r="H202" i="1"/>
  <c r="H41" i="1"/>
  <c r="H285" i="1"/>
  <c r="H293" i="1"/>
  <c r="H301" i="1"/>
  <c r="H290" i="1"/>
  <c r="H417" i="1"/>
  <c r="H387" i="1"/>
  <c r="H407" i="1"/>
  <c r="H321" i="1"/>
  <c r="H329" i="1"/>
  <c r="H337" i="1"/>
  <c r="H345" i="1"/>
  <c r="H373" i="1"/>
  <c r="H369" i="1"/>
  <c r="H389" i="1"/>
  <c r="H385" i="1"/>
  <c r="H475" i="1"/>
  <c r="H468" i="1"/>
  <c r="H6" i="1"/>
  <c r="H235" i="1"/>
  <c r="H251" i="1"/>
  <c r="H137" i="1"/>
  <c r="H340" i="1"/>
  <c r="H348" i="1"/>
  <c r="H356" i="1"/>
  <c r="H177" i="1"/>
  <c r="H225" i="1"/>
  <c r="H436" i="1"/>
  <c r="H362" i="1"/>
  <c r="H382" i="1"/>
  <c r="H207" i="1"/>
  <c r="H282" i="1"/>
  <c r="H444" i="1"/>
  <c r="H443" i="1"/>
  <c r="H406" i="1"/>
  <c r="H405" i="1"/>
  <c r="H429" i="1"/>
  <c r="H324" i="1"/>
  <c r="H446" i="1"/>
  <c r="H153" i="1"/>
  <c r="H161" i="1"/>
  <c r="H169" i="1"/>
  <c r="H231" i="1"/>
  <c r="H434" i="1"/>
  <c r="H346" i="1"/>
  <c r="H384" i="1"/>
  <c r="H166" i="1"/>
  <c r="H32" i="1"/>
  <c r="H411" i="1"/>
  <c r="H227" i="1"/>
  <c r="H300" i="1"/>
  <c r="H296" i="1"/>
  <c r="H243" i="1"/>
  <c r="H413" i="1"/>
  <c r="H129" i="1"/>
  <c r="H145" i="1"/>
  <c r="H435" i="1"/>
  <c r="H215" i="1"/>
  <c r="H420" i="1"/>
  <c r="H419" i="1"/>
  <c r="H233" i="1"/>
  <c r="H358" i="1"/>
  <c r="H366" i="1"/>
  <c r="H378" i="1"/>
  <c r="H183" i="1"/>
  <c r="H397" i="1"/>
  <c r="H364" i="1"/>
  <c r="H452" i="1"/>
  <c r="H223" i="1"/>
  <c r="H360" i="1"/>
  <c r="H368" i="1"/>
  <c r="H24" i="1"/>
  <c r="H354" i="1"/>
  <c r="H374" i="1"/>
  <c r="H370" i="1"/>
  <c r="H390" i="1"/>
  <c r="H394" i="1"/>
  <c r="H412" i="1"/>
  <c r="H75" i="1"/>
  <c r="H160" i="1"/>
  <c r="H26" i="1"/>
  <c r="H18" i="1"/>
  <c r="H219" i="1"/>
  <c r="H237" i="1"/>
  <c r="H245" i="1"/>
  <c r="H253" i="1"/>
  <c r="H261" i="1"/>
  <c r="H269" i="1"/>
  <c r="H277" i="1"/>
  <c r="H262" i="1"/>
  <c r="H270" i="1"/>
  <c r="H278" i="1"/>
  <c r="H259" i="1"/>
  <c r="H217" i="1"/>
  <c r="H410" i="1"/>
  <c r="H450" i="1"/>
  <c r="H175" i="1"/>
  <c r="H376" i="1"/>
  <c r="H392" i="1"/>
  <c r="H386" i="1"/>
  <c r="H152" i="1"/>
  <c r="H20" i="1"/>
  <c r="H146" i="1"/>
  <c r="H138" i="1"/>
  <c r="H239" i="1"/>
  <c r="H427" i="1"/>
  <c r="H466" i="1"/>
  <c r="H273" i="1"/>
  <c r="H424" i="1"/>
  <c r="H157" i="1"/>
  <c r="H22" i="1"/>
  <c r="H189" i="1"/>
  <c r="H172" i="1"/>
  <c r="H181" i="1"/>
  <c r="H241" i="1"/>
  <c r="H195" i="1"/>
  <c r="H459" i="1"/>
  <c r="H187" i="1"/>
  <c r="H203" i="1"/>
  <c r="H442" i="1"/>
  <c r="H470" i="1"/>
  <c r="H478" i="1"/>
  <c r="H271" i="1"/>
  <c r="H456" i="1"/>
  <c r="H398" i="1"/>
  <c r="H422" i="1"/>
  <c r="H267" i="1"/>
  <c r="H275" i="1"/>
  <c r="H401" i="1"/>
  <c r="H322" i="1"/>
  <c r="H409" i="1"/>
  <c r="H425" i="1"/>
  <c r="H211" i="1"/>
  <c r="H182" i="1"/>
  <c r="H190" i="1"/>
  <c r="H198" i="1"/>
  <c r="H206" i="1"/>
  <c r="H214" i="1"/>
  <c r="H222" i="1"/>
  <c r="H252" i="1"/>
  <c r="H330" i="1"/>
  <c r="H455" i="1"/>
  <c r="H139" i="1"/>
  <c r="H453" i="1"/>
  <c r="H473" i="1"/>
  <c r="H147" i="1"/>
  <c r="H474" i="1"/>
  <c r="H482" i="1"/>
  <c r="H403" i="1"/>
  <c r="H426" i="1"/>
  <c r="H449" i="1"/>
  <c r="H481" i="1"/>
  <c r="J337" i="1" l="1"/>
  <c r="J326" i="1"/>
  <c r="J78" i="1"/>
  <c r="J207" i="1"/>
  <c r="J33" i="1"/>
  <c r="J437" i="1"/>
  <c r="J400" i="1"/>
  <c r="J53" i="1"/>
  <c r="J75" i="1"/>
  <c r="J183" i="1"/>
  <c r="J187" i="1"/>
  <c r="J429" i="1"/>
  <c r="J194" i="1"/>
  <c r="J415" i="1"/>
  <c r="J250" i="1"/>
  <c r="J130" i="1"/>
  <c r="J433" i="1"/>
  <c r="J186" i="1"/>
  <c r="J289" i="1"/>
  <c r="J294" i="1"/>
  <c r="J107" i="1"/>
  <c r="J112" i="1"/>
  <c r="J406" i="1"/>
  <c r="J222" i="1"/>
  <c r="J48" i="1"/>
  <c r="J354" i="1"/>
  <c r="J180" i="1"/>
  <c r="J295" i="1"/>
  <c r="J411" i="1"/>
  <c r="J287" i="1"/>
  <c r="J161" i="1"/>
  <c r="J238" i="1"/>
  <c r="J202" i="1"/>
  <c r="J310" i="1"/>
  <c r="J196" i="1"/>
  <c r="J420" i="1"/>
  <c r="J108" i="1"/>
  <c r="J403" i="1"/>
  <c r="J417" i="1"/>
  <c r="J39" i="1"/>
  <c r="J331" i="1"/>
  <c r="J115" i="1"/>
  <c r="J473" i="1"/>
  <c r="J217" i="1"/>
  <c r="J298" i="1"/>
  <c r="J36" i="1"/>
  <c r="J262" i="1"/>
  <c r="J213" i="1"/>
  <c r="J483" i="1"/>
  <c r="J141" i="1"/>
  <c r="J104" i="1"/>
  <c r="J93" i="1"/>
  <c r="J280" i="1"/>
  <c r="J25" i="1"/>
  <c r="J24" i="1"/>
  <c r="J102" i="1"/>
  <c r="J156" i="1"/>
  <c r="J84" i="1"/>
  <c r="J68" i="1"/>
  <c r="J38" i="1"/>
  <c r="J179" i="1"/>
  <c r="J19" i="1"/>
  <c r="J26" i="1"/>
  <c r="J466" i="1"/>
  <c r="J423" i="1"/>
  <c r="J233" i="1"/>
  <c r="J252" i="1"/>
  <c r="J175" i="1"/>
  <c r="J56" i="1"/>
  <c r="J397" i="1"/>
  <c r="J462" i="1"/>
  <c r="J413" i="1"/>
  <c r="J99" i="1"/>
  <c r="J414" i="1"/>
  <c r="J91" i="1"/>
  <c r="J460" i="1"/>
  <c r="J50" i="1"/>
  <c r="J254" i="1"/>
  <c r="J291" i="1"/>
  <c r="J361" i="1"/>
  <c r="J443" i="1"/>
  <c r="J461" i="1"/>
  <c r="J344" i="1"/>
  <c r="J323" i="1"/>
  <c r="J467" i="1"/>
  <c r="J259" i="1"/>
  <c r="J334" i="1"/>
  <c r="J418" i="1"/>
  <c r="J195" i="1"/>
  <c r="J242" i="1"/>
  <c r="J388" i="1"/>
  <c r="J322" i="1"/>
  <c r="J426" i="1"/>
  <c r="J120" i="1"/>
  <c r="J392" i="1"/>
  <c r="J376" i="1"/>
  <c r="J200" i="1"/>
  <c r="J319" i="1"/>
  <c r="J282" i="1"/>
  <c r="J407" i="1"/>
  <c r="J270" i="1"/>
  <c r="J52" i="1"/>
  <c r="J427" i="1"/>
  <c r="J452" i="1"/>
  <c r="J468" i="1"/>
  <c r="J176" i="1"/>
  <c r="J263" i="1"/>
  <c r="J347" i="1"/>
  <c r="J211" i="1"/>
  <c r="J401" i="1"/>
  <c r="J279" i="1"/>
  <c r="J153" i="1"/>
  <c r="J299" i="1"/>
  <c r="J421" i="1"/>
  <c r="J442" i="1"/>
  <c r="J160" i="1"/>
  <c r="J203" i="1"/>
  <c r="J352" i="1"/>
  <c r="J223" i="1"/>
  <c r="J276" i="1"/>
  <c r="J168" i="1"/>
  <c r="J34" i="1"/>
  <c r="J431" i="1"/>
  <c r="J283" i="1"/>
  <c r="J428" i="1"/>
  <c r="J230" i="1"/>
  <c r="J166" i="1"/>
  <c r="J477" i="1"/>
  <c r="J98" i="1"/>
  <c r="J251" i="1"/>
  <c r="J127" i="1"/>
  <c r="J330" i="1"/>
  <c r="J281" i="1"/>
  <c r="J63" i="1"/>
  <c r="J336" i="1"/>
  <c r="J54" i="1"/>
  <c r="J44" i="1"/>
  <c r="J312" i="1"/>
  <c r="J225" i="1"/>
  <c r="J101" i="1"/>
  <c r="J469" i="1"/>
  <c r="J165" i="1"/>
  <c r="J459" i="1"/>
  <c r="J60" i="1"/>
  <c r="J164" i="1"/>
  <c r="J201" i="1"/>
  <c r="J89" i="1"/>
  <c r="J88" i="1"/>
  <c r="J360" i="1"/>
  <c r="J353" i="1"/>
  <c r="J364" i="1"/>
  <c r="J482" i="1"/>
  <c r="J7" i="1"/>
  <c r="J430" i="1"/>
  <c r="J266" i="1"/>
  <c r="J355" i="1"/>
  <c r="J284" i="1"/>
  <c r="J257" i="1"/>
  <c r="J333" i="1"/>
  <c r="J245" i="1"/>
  <c r="J453" i="1"/>
  <c r="J385" i="1"/>
  <c r="J402" i="1"/>
  <c r="J62" i="1"/>
  <c r="J305" i="1"/>
  <c r="J151" i="1"/>
  <c r="J450" i="1"/>
  <c r="J387" i="1"/>
  <c r="J114" i="1"/>
  <c r="J218" i="1"/>
  <c r="J28" i="1"/>
  <c r="J471" i="1"/>
  <c r="J378" i="1"/>
  <c r="J192" i="1"/>
  <c r="J370" i="1"/>
  <c r="J174" i="1"/>
  <c r="J103" i="1"/>
  <c r="J335" i="1"/>
  <c r="J72" i="1"/>
  <c r="J20" i="1"/>
  <c r="J204" i="1"/>
  <c r="J5" i="1"/>
  <c r="J155" i="1"/>
  <c r="J140" i="1"/>
  <c r="J274" i="1"/>
  <c r="J434" i="1"/>
  <c r="J379" i="1"/>
  <c r="J383" i="1"/>
  <c r="J479" i="1"/>
  <c r="J419" i="1"/>
  <c r="J220" i="1"/>
  <c r="J447" i="1"/>
  <c r="J363" i="1"/>
  <c r="J77" i="1"/>
  <c r="J12" i="1"/>
  <c r="J18" i="1"/>
  <c r="J139" i="1"/>
  <c r="J386" i="1"/>
  <c r="J42" i="1"/>
  <c r="J441" i="1"/>
  <c r="J170" i="1"/>
  <c r="J224" i="1"/>
  <c r="J362" i="1"/>
  <c r="J288" i="1"/>
  <c r="J83" i="1"/>
  <c r="J247" i="1"/>
  <c r="J142" i="1"/>
  <c r="J236" i="1"/>
  <c r="J232" i="1"/>
  <c r="J390" i="1"/>
  <c r="J31" i="1"/>
  <c r="J145" i="1"/>
  <c r="J40" i="1"/>
  <c r="J152" i="1"/>
  <c r="J172" i="1"/>
  <c r="J445" i="1"/>
  <c r="J253" i="1"/>
  <c r="J304" i="1"/>
  <c r="J359" i="1"/>
  <c r="J189" i="1"/>
  <c r="J261" i="1"/>
  <c r="J339" i="1"/>
  <c r="J193" i="1"/>
  <c r="J177" i="1"/>
  <c r="J349" i="1"/>
  <c r="J184" i="1"/>
  <c r="J188" i="1"/>
  <c r="J318" i="1"/>
  <c r="J122" i="1"/>
  <c r="J455" i="1"/>
  <c r="J476" i="1"/>
  <c r="J315" i="1"/>
  <c r="J475" i="1"/>
  <c r="J67" i="1"/>
  <c r="J22" i="1"/>
  <c r="J292" i="1"/>
  <c r="J124" i="1"/>
  <c r="J248" i="1"/>
  <c r="J138" i="1"/>
  <c r="J237" i="1"/>
  <c r="J374" i="1"/>
  <c r="J61" i="1"/>
  <c r="J182" i="1"/>
  <c r="J118" i="1"/>
  <c r="J377" i="1"/>
  <c r="J70" i="1"/>
  <c r="J369" i="1"/>
  <c r="J199" i="1"/>
  <c r="J317" i="1"/>
  <c r="J49" i="1"/>
  <c r="J76" i="1"/>
  <c r="J11" i="1"/>
  <c r="J345" i="1"/>
  <c r="J457" i="1"/>
  <c r="J71" i="1"/>
  <c r="J198" i="1"/>
  <c r="J300" i="1"/>
  <c r="J321" i="1"/>
  <c r="J436" i="1"/>
  <c r="J144" i="1"/>
  <c r="J73" i="1"/>
  <c r="J235" i="1"/>
  <c r="J384" i="1"/>
  <c r="J314" i="1"/>
  <c r="J449" i="1"/>
  <c r="J111" i="1"/>
  <c r="J81" i="1"/>
  <c r="J399" i="1"/>
  <c r="J246" i="1"/>
  <c r="J240" i="1"/>
  <c r="J311" i="1"/>
  <c r="J169" i="1"/>
  <c r="J343" i="1"/>
  <c r="J173" i="1"/>
  <c r="J472" i="1"/>
  <c r="J267" i="1"/>
  <c r="J338" i="1"/>
  <c r="J408" i="1"/>
  <c r="J271" i="1"/>
  <c r="J381" i="1"/>
  <c r="J143" i="1"/>
  <c r="J308" i="1"/>
  <c r="J422" i="1"/>
  <c r="J272" i="1"/>
  <c r="J258" i="1"/>
  <c r="J80" i="1"/>
  <c r="J30" i="1"/>
  <c r="J212" i="1"/>
  <c r="J249" i="1"/>
  <c r="J440" i="1"/>
  <c r="J148" i="1"/>
  <c r="J341" i="1"/>
  <c r="J444" i="1"/>
  <c r="J366" i="1"/>
  <c r="J448" i="1"/>
  <c r="J121" i="1"/>
  <c r="J178" i="1"/>
  <c r="J302" i="1"/>
  <c r="J389" i="1"/>
  <c r="J181" i="1"/>
  <c r="J129" i="1"/>
  <c r="J350" i="1"/>
  <c r="J327" i="1"/>
  <c r="J391" i="1"/>
  <c r="J41" i="1"/>
  <c r="J206" i="1"/>
  <c r="J157" i="1"/>
  <c r="J275" i="1"/>
  <c r="J116" i="1"/>
  <c r="J454" i="1"/>
  <c r="J404" i="1"/>
  <c r="J351" i="1"/>
  <c r="J273" i="1"/>
  <c r="J163" i="1"/>
  <c r="J340" i="1"/>
  <c r="J356" i="1"/>
  <c r="J464" i="1"/>
  <c r="J325" i="1"/>
  <c r="J396" i="1"/>
  <c r="J113" i="1"/>
  <c r="J277" i="1"/>
  <c r="J412" i="1"/>
  <c r="J209" i="1"/>
  <c r="J79" i="1"/>
  <c r="J255" i="1"/>
  <c r="J134" i="1"/>
  <c r="J210" i="1"/>
  <c r="J96" i="1"/>
  <c r="J474" i="1"/>
  <c r="J268" i="1"/>
  <c r="J132" i="1"/>
  <c r="J136" i="1"/>
  <c r="J92" i="1"/>
  <c r="J6" i="1"/>
  <c r="J214" i="1"/>
  <c r="J465" i="1"/>
  <c r="J185" i="1"/>
  <c r="J470" i="1"/>
  <c r="J47" i="1"/>
  <c r="J227" i="1"/>
  <c r="J228" i="1"/>
  <c r="J133" i="1"/>
  <c r="J109" i="1"/>
  <c r="J285" i="1"/>
  <c r="J265" i="1"/>
  <c r="J117" i="1"/>
  <c r="J456" i="1"/>
  <c r="J137" i="1"/>
  <c r="J367" i="1"/>
  <c r="J416" i="1"/>
  <c r="J365" i="1"/>
  <c r="J15" i="1"/>
  <c r="J371" i="1"/>
  <c r="J146" i="1"/>
  <c r="J375" i="1"/>
  <c r="J205" i="1"/>
  <c r="J451" i="1"/>
  <c r="J29" i="1"/>
  <c r="J150" i="1"/>
  <c r="J8" i="1"/>
  <c r="J231" i="1"/>
  <c r="J329" i="1"/>
  <c r="J59" i="1"/>
  <c r="J167" i="1"/>
  <c r="J239" i="1"/>
  <c r="J2" i="1"/>
  <c r="J439" i="1"/>
  <c r="J424" i="1"/>
  <c r="J17" i="1"/>
  <c r="J244" i="1"/>
  <c r="J395" i="1"/>
  <c r="J393" i="1"/>
  <c r="J328" i="1"/>
  <c r="J398" i="1"/>
  <c r="J373" i="1"/>
  <c r="J332" i="1"/>
  <c r="J94" i="1"/>
  <c r="J260" i="1"/>
  <c r="J82" i="1"/>
  <c r="J3" i="1"/>
  <c r="J264" i="1"/>
  <c r="J10" i="1"/>
  <c r="J125" i="1"/>
  <c r="J215" i="1"/>
  <c r="J219" i="1"/>
  <c r="J368" i="1"/>
  <c r="J226" i="1"/>
  <c r="J372" i="1"/>
  <c r="J4" i="1"/>
  <c r="J309" i="1"/>
  <c r="J74" i="1"/>
  <c r="J35" i="1"/>
  <c r="J135" i="1"/>
  <c r="J438" i="1"/>
  <c r="J208" i="1"/>
  <c r="J243" i="1"/>
  <c r="J269" i="1"/>
  <c r="J216" i="1"/>
  <c r="J303" i="1"/>
  <c r="J357" i="1"/>
  <c r="J348" i="1"/>
  <c r="J446" i="1"/>
  <c r="J119" i="1"/>
  <c r="J106" i="1"/>
  <c r="J90" i="1"/>
  <c r="J394" i="1"/>
  <c r="J55" i="1"/>
  <c r="J324" i="1"/>
  <c r="J9" i="1"/>
  <c r="J171" i="1"/>
  <c r="J13" i="1"/>
  <c r="J65" i="1"/>
  <c r="J128" i="1"/>
  <c r="J197" i="1"/>
  <c r="J380" i="1"/>
  <c r="J21" i="1"/>
  <c r="J43" i="1"/>
  <c r="J14" i="1"/>
  <c r="J301" i="1"/>
  <c r="J158" i="1"/>
  <c r="J409" i="1"/>
  <c r="J425" i="1"/>
  <c r="J346" i="1"/>
  <c r="J191" i="1"/>
  <c r="J313" i="1"/>
  <c r="J126" i="1"/>
  <c r="J316" i="1"/>
  <c r="J229" i="1"/>
  <c r="J37" i="1"/>
  <c r="J382" i="1"/>
  <c r="J149" i="1"/>
  <c r="J190" i="1"/>
  <c r="J86" i="1"/>
  <c r="J123" i="1"/>
  <c r="J342" i="1"/>
  <c r="J297" i="1"/>
  <c r="J16" i="1"/>
  <c r="J241" i="1"/>
  <c r="J131" i="1"/>
  <c r="J432" i="1"/>
  <c r="J85" i="1"/>
  <c r="J69" i="1"/>
  <c r="J57" i="1"/>
  <c r="J159" i="1"/>
  <c r="J66" i="1"/>
  <c r="J105" i="1"/>
  <c r="J162" i="1"/>
  <c r="J234" i="1"/>
  <c r="J58" i="1"/>
  <c r="J97" i="1"/>
  <c r="J293" i="1"/>
  <c r="J481" i="1"/>
  <c r="J290" i="1"/>
  <c r="J110" i="1"/>
  <c r="J87" i="1"/>
  <c r="J51" i="1"/>
  <c r="J320" i="1"/>
  <c r="J458" i="1"/>
  <c r="J27" i="1"/>
  <c r="J32" i="1"/>
  <c r="J147" i="1"/>
  <c r="J278" i="1"/>
  <c r="J45" i="1"/>
  <c r="J95" i="1"/>
  <c r="J307" i="1"/>
  <c r="J46" i="1"/>
  <c r="J463" i="1"/>
  <c r="J405" i="1"/>
  <c r="J358" i="1"/>
  <c r="J100" i="1"/>
  <c r="J306" i="1"/>
  <c r="J256" i="1"/>
  <c r="J435" i="1"/>
  <c r="J296" i="1"/>
  <c r="J64" i="1"/>
  <c r="J410" i="1"/>
  <c r="J478" i="1"/>
  <c r="J221" i="1"/>
  <c r="J286" i="1"/>
  <c r="J480" i="1"/>
  <c r="J154" i="1"/>
  <c r="J23" i="1"/>
</calcChain>
</file>

<file path=xl/sharedStrings.xml><?xml version="1.0" encoding="utf-8"?>
<sst xmlns="http://schemas.openxmlformats.org/spreadsheetml/2006/main" count="6699" uniqueCount="1018">
  <si>
    <t>价格</t>
  </si>
  <si>
    <t>评级</t>
  </si>
  <si>
    <t>估值</t>
  </si>
  <si>
    <t>债券类别</t>
  </si>
  <si>
    <t>票面</t>
  </si>
  <si>
    <t>上市日期</t>
  </si>
  <si>
    <t>发行起始日</t>
  </si>
  <si>
    <t>当日</t>
    <phoneticPr fontId="2" type="noConversion"/>
  </si>
  <si>
    <t>上一交易日</t>
    <phoneticPr fontId="2" type="noConversion"/>
  </si>
  <si>
    <t>上上交易日</t>
    <phoneticPr fontId="2" type="noConversion"/>
  </si>
  <si>
    <t>成交日期</t>
  </si>
  <si>
    <t>AAA</t>
  </si>
  <si>
    <t>地方国有企业</t>
  </si>
  <si>
    <t>短期融资券</t>
  </si>
  <si>
    <t>2015-05-08</t>
  </si>
  <si>
    <t>2015-05-05</t>
  </si>
  <si>
    <t>2015-08-06</t>
  </si>
  <si>
    <t>中央国有企业</t>
  </si>
  <si>
    <t>2015-11-26</t>
  </si>
  <si>
    <t>金融债</t>
  </si>
  <si>
    <t>检查一下结果：是否有多出的列，多出的行，利率列特别小的数（可能需要乘100）</t>
    <phoneticPr fontId="2" type="noConversion"/>
  </si>
  <si>
    <t>点击“粘出数据”即可自动粘出</t>
    <phoneticPr fontId="2" type="noConversion"/>
  </si>
  <si>
    <t>2015-08-25</t>
  </si>
  <si>
    <t>2016-03-24</t>
  </si>
  <si>
    <t>2016-03-22</t>
  </si>
  <si>
    <t>AA+</t>
  </si>
  <si>
    <t>外商独资企业</t>
  </si>
  <si>
    <t>2015-10-13</t>
  </si>
  <si>
    <t>民营企业</t>
  </si>
  <si>
    <t>2015-10-28</t>
  </si>
  <si>
    <t>2015-10-26</t>
  </si>
  <si>
    <t>2015-10-30</t>
  </si>
  <si>
    <t>2015-10-27</t>
  </si>
  <si>
    <t>2016-03-21</t>
  </si>
  <si>
    <t>2016-03-16</t>
  </si>
  <si>
    <t>2016-01-13</t>
  </si>
  <si>
    <t>AA</t>
  </si>
  <si>
    <t>2016-03-14</t>
  </si>
  <si>
    <t>2016-03-09</t>
  </si>
  <si>
    <t>2016-03-10</t>
  </si>
  <si>
    <t>2016-03-08</t>
  </si>
  <si>
    <t>2016-03-29</t>
  </si>
  <si>
    <t>2016-03-25</t>
  </si>
  <si>
    <t>2016-03-30</t>
  </si>
  <si>
    <t>2016-03-28</t>
  </si>
  <si>
    <t>中期票据</t>
  </si>
  <si>
    <t>2014-04-29</t>
  </si>
  <si>
    <t>2015-06-23</t>
  </si>
  <si>
    <t>2014-03-13</t>
  </si>
  <si>
    <t>2016-03-15</t>
  </si>
  <si>
    <t>2014-10-23</t>
  </si>
  <si>
    <t>2015-06-12</t>
  </si>
  <si>
    <t>企业债</t>
  </si>
  <si>
    <t>2011-02-23</t>
  </si>
  <si>
    <t>2012-09-21</t>
  </si>
  <si>
    <t>公众企业</t>
  </si>
  <si>
    <t>同业存单</t>
  </si>
  <si>
    <t>2016-02-18</t>
  </si>
  <si>
    <t>2016-02-17</t>
  </si>
  <si>
    <t>2015-05-19</t>
  </si>
  <si>
    <t>2015-12-10</t>
  </si>
  <si>
    <t>国债</t>
  </si>
  <si>
    <t>2016-02-01</t>
  </si>
  <si>
    <t>2016-01-27</t>
  </si>
  <si>
    <t>2015-09-14</t>
  </si>
  <si>
    <t>2016-04-18</t>
  </si>
  <si>
    <t>2016-04-13</t>
  </si>
  <si>
    <t>2015-04-22</t>
  </si>
  <si>
    <t>地方政府债</t>
  </si>
  <si>
    <t>2015-09-25</t>
  </si>
  <si>
    <t>14国开25</t>
  </si>
  <si>
    <t>2014-10-14</t>
  </si>
  <si>
    <t>15国开07</t>
  </si>
  <si>
    <t>2015-04-10</t>
  </si>
  <si>
    <t>2015-03-31</t>
  </si>
  <si>
    <t>15国开23</t>
  </si>
  <si>
    <t>2015-11-06</t>
  </si>
  <si>
    <t>16国开08</t>
  </si>
  <si>
    <t>2016-03-07</t>
  </si>
  <si>
    <t>2016-03-01</t>
  </si>
  <si>
    <t>2014-07-22</t>
  </si>
  <si>
    <t>2014-07-14</t>
  </si>
  <si>
    <t>2015-02-11</t>
  </si>
  <si>
    <t>2015-02-03</t>
  </si>
  <si>
    <t>15国开08</t>
  </si>
  <si>
    <t>2015-04-17</t>
  </si>
  <si>
    <t>2015-04-07</t>
  </si>
  <si>
    <t>2016-01-08</t>
  </si>
  <si>
    <t>2016-01-04</t>
  </si>
  <si>
    <t>2015-07-14</t>
  </si>
  <si>
    <t>2015-07-07</t>
  </si>
  <si>
    <t>15国开10</t>
  </si>
  <si>
    <t>15国开18</t>
  </si>
  <si>
    <t>2015-09-08</t>
  </si>
  <si>
    <t>16农发05</t>
  </si>
  <si>
    <t>16进出03</t>
  </si>
  <si>
    <t>2016-02-24</t>
  </si>
  <si>
    <t>16国开10</t>
  </si>
  <si>
    <t>2016-04-07</t>
  </si>
  <si>
    <t>2016-03-31</t>
  </si>
  <si>
    <t>2015-08-17</t>
  </si>
  <si>
    <t>2015-08-13</t>
  </si>
  <si>
    <t>2015-11-23</t>
  </si>
  <si>
    <t>AA-</t>
  </si>
  <si>
    <t>2015-05-27</t>
  </si>
  <si>
    <t>2015-05-22</t>
  </si>
  <si>
    <t>2015-09-29</t>
  </si>
  <si>
    <t>2015-10-21</t>
  </si>
  <si>
    <t>2015-12-07</t>
  </si>
  <si>
    <t>2015-12-04</t>
  </si>
  <si>
    <t>2015-12-28</t>
  </si>
  <si>
    <t>2015-09-24</t>
  </si>
  <si>
    <t>2015-12-29</t>
  </si>
  <si>
    <t>2016-01-14</t>
  </si>
  <si>
    <t>2016-01-21</t>
  </si>
  <si>
    <t>2016-01-22</t>
  </si>
  <si>
    <t>2014-03-17</t>
  </si>
  <si>
    <t>2012-09-20</t>
  </si>
  <si>
    <t>2012-09-18</t>
  </si>
  <si>
    <t>2016-01-20</t>
  </si>
  <si>
    <t>外资企业</t>
  </si>
  <si>
    <t>公司债</t>
  </si>
  <si>
    <t>2012-11-26</t>
  </si>
  <si>
    <t>2015-07-20</t>
  </si>
  <si>
    <t>2015-07-23</t>
  </si>
  <si>
    <t>2015-12-22</t>
  </si>
  <si>
    <t>2015-07-22</t>
  </si>
  <si>
    <t>2015-07-15</t>
  </si>
  <si>
    <t>2013-09-23</t>
  </si>
  <si>
    <t>2015-08-19</t>
  </si>
  <si>
    <t>2015-06-29</t>
  </si>
  <si>
    <t>16国开06</t>
  </si>
  <si>
    <t>2016-02-22</t>
  </si>
  <si>
    <t>2015-01-22</t>
  </si>
  <si>
    <t>2015-02-09</t>
  </si>
  <si>
    <t>2015-07-17</t>
  </si>
  <si>
    <t>2015-08-26</t>
  </si>
  <si>
    <t>2015-12-03</t>
  </si>
  <si>
    <t>2015-12-25</t>
  </si>
  <si>
    <t>中外合资企业</t>
  </si>
  <si>
    <t>2016-02-23</t>
  </si>
  <si>
    <t>2015-11-05</t>
  </si>
  <si>
    <t>2016-02-29</t>
  </si>
  <si>
    <t>2012-10-25</t>
  </si>
  <si>
    <t>集体企业</t>
  </si>
  <si>
    <t>2016-04-08</t>
  </si>
  <si>
    <t>2013-07-17</t>
  </si>
  <si>
    <t>2016-04-06</t>
  </si>
  <si>
    <t>2014-11-26</t>
  </si>
  <si>
    <t>2014-11-18</t>
  </si>
  <si>
    <t>16国开07</t>
  </si>
  <si>
    <t>15进出14</t>
  </si>
  <si>
    <t>2015-09-16</t>
  </si>
  <si>
    <t>2015-09-10</t>
  </si>
  <si>
    <t>2015-07-29</t>
  </si>
  <si>
    <t>2015-10-20</t>
  </si>
  <si>
    <t>2015-11-19</t>
  </si>
  <si>
    <t>2015-12-11</t>
  </si>
  <si>
    <t>2015-12-14</t>
  </si>
  <si>
    <t>2016-01-28</t>
  </si>
  <si>
    <t>2016-02-19</t>
  </si>
  <si>
    <t>2016-04-14</t>
  </si>
  <si>
    <t>2016-04-12</t>
  </si>
  <si>
    <t>2016-01-12</t>
  </si>
  <si>
    <t>2016-01-07</t>
  </si>
  <si>
    <t>2013-03-05</t>
  </si>
  <si>
    <t>2013-06-21</t>
  </si>
  <si>
    <t>2015-10-23</t>
  </si>
  <si>
    <t>2014-06-16</t>
  </si>
  <si>
    <t>2013-03-22</t>
  </si>
  <si>
    <t>15渝城投MTN001</t>
  </si>
  <si>
    <t>2010-10-19</t>
  </si>
  <si>
    <t>2012-09-26</t>
  </si>
  <si>
    <t>2012-09-11</t>
  </si>
  <si>
    <t>政府支持机构债</t>
  </si>
  <si>
    <t>2012-09-24</t>
  </si>
  <si>
    <t>10邵阳城投债</t>
  </si>
  <si>
    <t>2010-09-07</t>
  </si>
  <si>
    <t>16皋开债</t>
  </si>
  <si>
    <t>2016-03-23</t>
  </si>
  <si>
    <t>15铁道13</t>
  </si>
  <si>
    <t>2015-07-10</t>
  </si>
  <si>
    <t>2015-04-27</t>
  </si>
  <si>
    <t>2014-10-15</t>
  </si>
  <si>
    <t>2014-06-23</t>
  </si>
  <si>
    <t>2014-06-19</t>
  </si>
  <si>
    <t>2013-03-15</t>
  </si>
  <si>
    <t>2015-12-16</t>
  </si>
  <si>
    <t>2014-09-15</t>
  </si>
  <si>
    <t>2014-04-21</t>
  </si>
  <si>
    <t>2015-06-19</t>
  </si>
  <si>
    <t>2015-07-13</t>
  </si>
  <si>
    <t>复制两列结果，粘贴到“有公式”sheet中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</si>
  <si>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</si>
  <si>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</si>
  <si>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</si>
  <si>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点击按钮，选择成交数据文件(.txt)，导入每日成交数据</t>
    <phoneticPr fontId="2" type="noConversion"/>
  </si>
  <si>
    <t>剩余期限</t>
    <phoneticPr fontId="2" type="noConversion"/>
  </si>
  <si>
    <t>代码</t>
    <phoneticPr fontId="2" type="noConversion"/>
  </si>
  <si>
    <t>2016-04-27</t>
  </si>
  <si>
    <t>2016-04-21</t>
  </si>
  <si>
    <t>13陕高速MTN1</t>
  </si>
  <si>
    <t>2013-01-16</t>
  </si>
  <si>
    <t>2015-08-31</t>
  </si>
  <si>
    <t>2015-05-21</t>
  </si>
  <si>
    <t>2016-04-22</t>
  </si>
  <si>
    <t>15京技投MTN001</t>
  </si>
  <si>
    <t>13陕延油MTN001</t>
  </si>
  <si>
    <t>2013-11-08</t>
  </si>
  <si>
    <t>2015-09-01</t>
  </si>
  <si>
    <t>2014-11-10</t>
  </si>
  <si>
    <t>2015-09-09</t>
  </si>
  <si>
    <t>2013-01-14</t>
  </si>
  <si>
    <t>2015-12-24</t>
  </si>
  <si>
    <t>2012-05-07</t>
  </si>
  <si>
    <t>2013-03-20</t>
  </si>
  <si>
    <t>2014-05-15</t>
  </si>
  <si>
    <t>2015-04-28</t>
  </si>
  <si>
    <t>其他企业</t>
  </si>
  <si>
    <t>2015-07-27</t>
  </si>
  <si>
    <t>2014-10-24</t>
  </si>
  <si>
    <t>15百联集MTN001</t>
  </si>
  <si>
    <t>2014-05-13</t>
  </si>
  <si>
    <t>2014-09-24</t>
  </si>
  <si>
    <t>15金融街MTN002</t>
  </si>
  <si>
    <t>2015-05-26</t>
  </si>
  <si>
    <t>16农发02</t>
  </si>
  <si>
    <t>15国开05</t>
  </si>
  <si>
    <t>16国开05</t>
  </si>
  <si>
    <t>2011-01-12</t>
  </si>
  <si>
    <t>2016-04-26</t>
  </si>
  <si>
    <t>2016-04-19</t>
  </si>
  <si>
    <t>2015-04-29</t>
  </si>
  <si>
    <t>2014-08-25</t>
  </si>
  <si>
    <t>11国网01</t>
  </si>
  <si>
    <t>2012-01-20</t>
  </si>
  <si>
    <t>2015-04-24</t>
  </si>
  <si>
    <t>2015-08-21</t>
  </si>
  <si>
    <t>2014-11-07</t>
  </si>
  <si>
    <t>2014-10-29</t>
  </si>
  <si>
    <t>2015-11-02</t>
  </si>
  <si>
    <t>2014-03-18</t>
  </si>
  <si>
    <t>2015-07-30</t>
  </si>
  <si>
    <t>2014-03-19</t>
  </si>
  <si>
    <t>2014-11-24</t>
  </si>
  <si>
    <t>2015-08-28</t>
  </si>
  <si>
    <t>2012-03-01</t>
  </si>
  <si>
    <t>2013-11-06</t>
  </si>
  <si>
    <t>2014-09-17</t>
  </si>
  <si>
    <t>2012-04-06</t>
  </si>
  <si>
    <t>2012-08-17</t>
  </si>
  <si>
    <t>2014-11-19</t>
  </si>
  <si>
    <t>2013-11-07</t>
  </si>
  <si>
    <t>2014-03-26</t>
  </si>
  <si>
    <t>2015-09-17</t>
  </si>
  <si>
    <t>2015-02-05</t>
  </si>
  <si>
    <t>136029.SH</t>
  </si>
  <si>
    <t>14长沙土开债</t>
  </si>
  <si>
    <t>2012-09-13</t>
  </si>
  <si>
    <t>2012-09-28</t>
  </si>
  <si>
    <t>2015-07-01</t>
  </si>
  <si>
    <t>2015-06-17</t>
  </si>
  <si>
    <t>2015-09-15</t>
  </si>
  <si>
    <t>2014-07-28</t>
  </si>
  <si>
    <t>14金隅MTN002</t>
  </si>
  <si>
    <t>2014-06-06</t>
  </si>
  <si>
    <t>136142.SH</t>
  </si>
  <si>
    <t>16中铁01</t>
  </si>
  <si>
    <t>2011-03-08</t>
  </si>
  <si>
    <t>2013-08-15</t>
  </si>
  <si>
    <t>2014-11-20</t>
  </si>
  <si>
    <t>2014-04-23</t>
  </si>
  <si>
    <t>15沪国资</t>
  </si>
  <si>
    <t>14国开29</t>
  </si>
  <si>
    <t>15龙湖02</t>
  </si>
  <si>
    <t>15福州城投MTN002</t>
  </si>
  <si>
    <t>2015-11-10</t>
  </si>
  <si>
    <t>2015-03-09</t>
  </si>
  <si>
    <t>16华润MTN001</t>
  </si>
  <si>
    <t>16白下国资债</t>
  </si>
  <si>
    <t>15进出05</t>
  </si>
  <si>
    <t>2016-04-20</t>
  </si>
  <si>
    <t>122770.SH</t>
  </si>
  <si>
    <t>15农发12</t>
  </si>
  <si>
    <t>122388.SH</t>
  </si>
  <si>
    <t>15华泰G1</t>
  </si>
  <si>
    <t>14附息国债21</t>
  </si>
  <si>
    <t>14大唐集MTN001</t>
  </si>
  <si>
    <t>2011-05-03</t>
  </si>
  <si>
    <t>122723.SH</t>
  </si>
  <si>
    <t>12石油05</t>
  </si>
  <si>
    <t>122376.SH</t>
  </si>
  <si>
    <t>15首置01</t>
  </si>
  <si>
    <t>2016-04-01</t>
  </si>
  <si>
    <t>15进出08</t>
  </si>
  <si>
    <t>16农发09</t>
  </si>
  <si>
    <t>14进出47</t>
  </si>
  <si>
    <t>14农发02</t>
  </si>
  <si>
    <t>13邗城建债</t>
  </si>
  <si>
    <t>2014-05-29</t>
  </si>
  <si>
    <t>15进出19</t>
  </si>
  <si>
    <t>16农发13</t>
  </si>
  <si>
    <t>14国开05</t>
  </si>
  <si>
    <t>16百业源MTN001</t>
  </si>
  <si>
    <t>2014-08-11</t>
  </si>
  <si>
    <t>12三一MTN1</t>
  </si>
  <si>
    <t>2016-04-05</t>
  </si>
  <si>
    <t>16海淀国资MTN001</t>
  </si>
  <si>
    <t>16农发10</t>
  </si>
  <si>
    <t>14中建材MTN002</t>
  </si>
  <si>
    <t>15中航国际MTN001</t>
  </si>
  <si>
    <t>2012-06-29</t>
  </si>
  <si>
    <t>14农发38</t>
  </si>
  <si>
    <t>16龙湖02</t>
  </si>
  <si>
    <t>2013-09-04</t>
  </si>
  <si>
    <t>2014-03-14</t>
  </si>
  <si>
    <t>2013-08-27</t>
  </si>
  <si>
    <t>136019.SH</t>
  </si>
  <si>
    <t>15龙湖04</t>
  </si>
  <si>
    <t>2014-11-04</t>
  </si>
  <si>
    <t>15渝两江MTN001</t>
  </si>
  <si>
    <t>15金街03</t>
  </si>
  <si>
    <t>2015-01-27</t>
  </si>
  <si>
    <t>15中煤MTN001</t>
  </si>
  <si>
    <t>2013-04-23</t>
  </si>
  <si>
    <t>2014-01-23</t>
  </si>
  <si>
    <t>11泰医高债</t>
  </si>
  <si>
    <t>122406.SH</t>
  </si>
  <si>
    <t>15新湖债</t>
  </si>
  <si>
    <t>2015-03-27</t>
  </si>
  <si>
    <t>2014-06-20</t>
  </si>
  <si>
    <t>2012-03-14</t>
  </si>
  <si>
    <t>2015-09-02</t>
  </si>
  <si>
    <t>2014-01-24</t>
  </si>
  <si>
    <t>2015-02-13</t>
  </si>
  <si>
    <t>15南山集MTN001</t>
  </si>
  <si>
    <t>2015-04-13</t>
  </si>
  <si>
    <t>2012-04-20</t>
  </si>
  <si>
    <t>2015-04-09</t>
  </si>
  <si>
    <t>2011-04-20</t>
  </si>
  <si>
    <t>122465.SH</t>
  </si>
  <si>
    <t>15广越01</t>
  </si>
  <si>
    <t>2010-05-26</t>
  </si>
  <si>
    <t>2014-08-28</t>
  </si>
  <si>
    <t>2012-06-11</t>
  </si>
  <si>
    <t>2014-05-08</t>
  </si>
  <si>
    <t>2013-01-09</t>
  </si>
  <si>
    <t>2013-01-24</t>
  </si>
  <si>
    <t>2013-01-25</t>
  </si>
  <si>
    <t>2014-08-01</t>
  </si>
  <si>
    <t>2014-11-17</t>
  </si>
  <si>
    <t>2014-05-27</t>
  </si>
  <si>
    <t>2013-08-19</t>
  </si>
  <si>
    <t>2014-02-27</t>
  </si>
  <si>
    <t>2013-03-12</t>
  </si>
  <si>
    <t>2012-12-24</t>
  </si>
  <si>
    <t>2015-01-19</t>
  </si>
  <si>
    <t>15沪建工MTN001</t>
  </si>
  <si>
    <t>2012-02-22</t>
  </si>
  <si>
    <t>公司属性</t>
    <phoneticPr fontId="2" type="noConversion"/>
  </si>
  <si>
    <t>2016-02-16</t>
  </si>
  <si>
    <t>16附息国债08</t>
  </si>
  <si>
    <t>16农发18</t>
  </si>
  <si>
    <t>2012-06-06</t>
  </si>
  <si>
    <t>2012-04-25</t>
  </si>
  <si>
    <t>2014-01-14</t>
  </si>
  <si>
    <t>2012-10-11</t>
  </si>
  <si>
    <t>136034.SH</t>
  </si>
  <si>
    <t>2010-06-08</t>
  </si>
  <si>
    <t>2011-12-07</t>
  </si>
  <si>
    <t>2014-07-24</t>
  </si>
  <si>
    <t>2015-04-02</t>
  </si>
  <si>
    <t>2016-05-09</t>
  </si>
  <si>
    <t>13首发MTN001</t>
  </si>
  <si>
    <t>2010-09-28</t>
  </si>
  <si>
    <t>2012-06-27</t>
  </si>
  <si>
    <t>2013-12-11</t>
  </si>
  <si>
    <t>2016-05-13</t>
  </si>
  <si>
    <t>2015-02-12</t>
  </si>
  <si>
    <t>2016-05-18</t>
  </si>
  <si>
    <t>2016-05-20</t>
  </si>
  <si>
    <t>2016-05-23</t>
  </si>
  <si>
    <t>2016-05-27</t>
  </si>
  <si>
    <t>2016-05-26</t>
  </si>
  <si>
    <t>136120.SH</t>
  </si>
  <si>
    <t>2016-05-30</t>
  </si>
  <si>
    <t>2016-06-06</t>
  </si>
  <si>
    <t>2016-06-08</t>
  </si>
  <si>
    <t>2016-06-03</t>
  </si>
  <si>
    <t>16铁道MTN002</t>
  </si>
  <si>
    <t>2016-06-12</t>
  </si>
  <si>
    <t>2016-06-07</t>
  </si>
  <si>
    <t>2010-08-13</t>
  </si>
  <si>
    <t>2016-06-13</t>
  </si>
  <si>
    <t>2016-06-16</t>
  </si>
  <si>
    <t>2016-06-14</t>
  </si>
  <si>
    <t>2016-06-20</t>
  </si>
  <si>
    <t>2016-06-15</t>
  </si>
  <si>
    <t>124508.SH</t>
  </si>
  <si>
    <t>简称</t>
    <phoneticPr fontId="2" type="noConversion"/>
  </si>
  <si>
    <t>2016-06-22</t>
  </si>
  <si>
    <t>2016-06-24</t>
  </si>
  <si>
    <t>16疏浚01</t>
  </si>
  <si>
    <t>2016-06-29</t>
  </si>
  <si>
    <t>2016-06-30</t>
  </si>
  <si>
    <t>2016-06-28</t>
  </si>
  <si>
    <t>2010-08-27</t>
  </si>
  <si>
    <t>15成交投MTN001</t>
  </si>
  <si>
    <t>16渝迈瑞债</t>
  </si>
  <si>
    <t>2016-07-01</t>
  </si>
  <si>
    <t>15福星01</t>
  </si>
  <si>
    <t>15广田债</t>
  </si>
  <si>
    <t>2016-07-05</t>
  </si>
  <si>
    <t>2016-07-06</t>
  </si>
  <si>
    <t>2016-07-07</t>
  </si>
  <si>
    <t>16瘦西湖MTN001</t>
  </si>
  <si>
    <t>2016-07-12</t>
  </si>
  <si>
    <t>2016-07-13</t>
  </si>
  <si>
    <t>2016-07-11</t>
  </si>
  <si>
    <t>16渝城投MTN001</t>
  </si>
  <si>
    <t>112353.SZ</t>
  </si>
  <si>
    <t>16TCL02</t>
  </si>
  <si>
    <t>2016-07-14</t>
  </si>
  <si>
    <t>2016-07-15</t>
  </si>
  <si>
    <t>112241.SZ</t>
  </si>
  <si>
    <t>2016-07-20</t>
  </si>
  <si>
    <t>16国开投MTN001</t>
  </si>
  <si>
    <t>2016-07-21</t>
  </si>
  <si>
    <t>16深圳航空CP001</t>
  </si>
  <si>
    <t>12华能集MTN2</t>
  </si>
  <si>
    <t>2016-07-28</t>
  </si>
  <si>
    <t>2016-07-27</t>
  </si>
  <si>
    <t>2016-08-03</t>
  </si>
  <si>
    <t>2016-07-29</t>
  </si>
  <si>
    <t>2016-07-26</t>
  </si>
  <si>
    <t>2016-08-02</t>
  </si>
  <si>
    <t>2016-08-04</t>
  </si>
  <si>
    <t>16附息国债18</t>
  </si>
  <si>
    <t>2016-08-08</t>
  </si>
  <si>
    <t>16进出08</t>
  </si>
  <si>
    <t>16附息国债17</t>
  </si>
  <si>
    <t>2016-08-05</t>
  </si>
  <si>
    <t>2016-08-09</t>
  </si>
  <si>
    <t>2016-08-10</t>
  </si>
  <si>
    <t>16联通03</t>
  </si>
  <si>
    <t>11国开11</t>
  </si>
  <si>
    <t>16神华MTN003</t>
  </si>
  <si>
    <t>2016-08-11</t>
  </si>
  <si>
    <t>2016-08-15</t>
  </si>
  <si>
    <t>2016-08-17</t>
  </si>
  <si>
    <t>2016-08-12</t>
  </si>
  <si>
    <t>136544.SH</t>
  </si>
  <si>
    <t>2016-08-16</t>
  </si>
  <si>
    <t>16北汽01</t>
  </si>
  <si>
    <t>2012-10-29</t>
  </si>
  <si>
    <t>14铁道11</t>
  </si>
  <si>
    <t>2016-08-18</t>
  </si>
  <si>
    <t>2015-02-17</t>
  </si>
  <si>
    <t>2016-08-19</t>
  </si>
  <si>
    <t>2016-08-22</t>
  </si>
  <si>
    <t>16华电SCP013</t>
  </si>
  <si>
    <t>2016-08-23</t>
  </si>
  <si>
    <t>16华电SCP014</t>
  </si>
  <si>
    <t>16西南水泥CP002</t>
  </si>
  <si>
    <t>16附息国债19</t>
  </si>
  <si>
    <t>2016-08-24</t>
  </si>
  <si>
    <t>16水务01</t>
  </si>
  <si>
    <t>16金螳螂MTN001</t>
  </si>
  <si>
    <t>16国开13</t>
  </si>
  <si>
    <t>2016-08-29</t>
  </si>
  <si>
    <t>13国开38</t>
  </si>
  <si>
    <t>2016-08-31</t>
  </si>
  <si>
    <t>2016-08-26</t>
  </si>
  <si>
    <t>122486.SH</t>
  </si>
  <si>
    <t>2016-08-25</t>
  </si>
  <si>
    <t>15上实发MTN001</t>
  </si>
  <si>
    <t>15旭辉01</t>
  </si>
  <si>
    <t>136587.SH</t>
  </si>
  <si>
    <t>07国开09</t>
  </si>
  <si>
    <t>2007-06-18</t>
  </si>
  <si>
    <t>2007-05-30</t>
  </si>
  <si>
    <t>136474.SH</t>
  </si>
  <si>
    <t>16万达04</t>
  </si>
  <si>
    <t>2013-09-26</t>
  </si>
  <si>
    <t>2016-09-01</t>
  </si>
  <si>
    <t>2016-09-02</t>
  </si>
  <si>
    <t>13周口债02</t>
  </si>
  <si>
    <t>16常德城投MTN001</t>
  </si>
  <si>
    <t>2016-09-06</t>
  </si>
  <si>
    <t>2016-09-07</t>
  </si>
  <si>
    <t>12闽龙净MTN1</t>
  </si>
  <si>
    <t>2016-09-08</t>
  </si>
  <si>
    <t>2016-09-09</t>
  </si>
  <si>
    <t>16进出10</t>
  </si>
  <si>
    <t>2016-09-12</t>
  </si>
  <si>
    <t>2014-12-16</t>
  </si>
  <si>
    <t>125688.SH</t>
  </si>
  <si>
    <t>112187.SZ</t>
  </si>
  <si>
    <t>136554.SH</t>
  </si>
  <si>
    <t>2010-08-24</t>
  </si>
  <si>
    <t>16云城投CP002</t>
  </si>
  <si>
    <t>2016-09-14</t>
  </si>
  <si>
    <t>16中金01</t>
  </si>
  <si>
    <t>2016-09-13</t>
  </si>
  <si>
    <t>16陕延油CP001</t>
  </si>
  <si>
    <t>2016-09-19</t>
  </si>
  <si>
    <t>16河钢CP004</t>
  </si>
  <si>
    <t>122409.SH</t>
  </si>
  <si>
    <t>14红狮MTN002</t>
  </si>
  <si>
    <t>16中化化肥SCP002</t>
  </si>
  <si>
    <t>14进出35</t>
  </si>
  <si>
    <t>2016-09-23</t>
  </si>
  <si>
    <t>2016-09-20</t>
  </si>
  <si>
    <t>2016-09-21</t>
  </si>
  <si>
    <t>2016-09-22</t>
  </si>
  <si>
    <t>16淮北建投MTN001</t>
  </si>
  <si>
    <t>2016-09-26</t>
  </si>
  <si>
    <t>2016-09-27</t>
  </si>
  <si>
    <t>2016-09-30</t>
  </si>
  <si>
    <t>124202.SH</t>
  </si>
  <si>
    <t>PR平潭债</t>
  </si>
  <si>
    <t>16沪仪电CP001</t>
  </si>
  <si>
    <t>136097.SH</t>
  </si>
  <si>
    <t>16三安CP002</t>
  </si>
  <si>
    <t>15连云发MTN001</t>
  </si>
  <si>
    <t>15鲁高01</t>
  </si>
  <si>
    <t>16南网01</t>
  </si>
  <si>
    <t>112277.SZ</t>
  </si>
  <si>
    <t>2016-10-14</t>
  </si>
  <si>
    <t>2016-10-12</t>
  </si>
  <si>
    <t>16国航01</t>
  </si>
  <si>
    <t>14桂铁投MTN001</t>
  </si>
  <si>
    <t>15武钢MTN001</t>
  </si>
  <si>
    <t>124106.SH</t>
  </si>
  <si>
    <t>136588.SH</t>
  </si>
  <si>
    <t>PR邯郸债</t>
  </si>
  <si>
    <t>14沪城控MTN001</t>
  </si>
  <si>
    <t>2016-10-13</t>
  </si>
  <si>
    <t>16津城建SCP005</t>
  </si>
  <si>
    <t>2016-10-10</t>
  </si>
  <si>
    <t>15万达01</t>
  </si>
  <si>
    <t>122446.SH</t>
  </si>
  <si>
    <t>2016-10-17</t>
  </si>
  <si>
    <t>2016-10-19</t>
  </si>
  <si>
    <t>136721.SH</t>
  </si>
  <si>
    <t>136642.SH</t>
  </si>
  <si>
    <t>2016-10-18</t>
  </si>
  <si>
    <t>16晋能SCP007</t>
  </si>
  <si>
    <t>2016-10-20</t>
  </si>
  <si>
    <t>16国电MTN001</t>
  </si>
  <si>
    <t>16广州农村商业银行CD107</t>
  </si>
  <si>
    <t>2016-10-24</t>
  </si>
  <si>
    <t>16津投03</t>
  </si>
  <si>
    <t>2016-10-25</t>
  </si>
  <si>
    <t>2016-10-26</t>
  </si>
  <si>
    <t>12闽高速MTN2</t>
  </si>
  <si>
    <t>2016-10-27</t>
  </si>
  <si>
    <t>2016-10-28</t>
  </si>
  <si>
    <t>112384.SZ</t>
  </si>
  <si>
    <t>2016-11-01</t>
  </si>
  <si>
    <t>16歌尔01</t>
  </si>
  <si>
    <t>2016-11-02</t>
  </si>
  <si>
    <t>2010-06-02</t>
  </si>
  <si>
    <t>122607.SH</t>
  </si>
  <si>
    <t>2016-11-03</t>
  </si>
  <si>
    <t>PR渝地产</t>
  </si>
  <si>
    <t>16中铝业SCP011</t>
  </si>
  <si>
    <t>2016-11-04</t>
  </si>
  <si>
    <t>136280.SH</t>
  </si>
  <si>
    <t>16附息国债23</t>
  </si>
  <si>
    <t>2016-11-07</t>
  </si>
  <si>
    <t>2016-11-14</t>
  </si>
  <si>
    <t>2016-11-08</t>
  </si>
  <si>
    <t>16大唐01</t>
  </si>
  <si>
    <t>16泸州窖MTN001</t>
  </si>
  <si>
    <t>136734.SH</t>
  </si>
  <si>
    <t>16诚通控股MTN002</t>
  </si>
  <si>
    <t>2016-11-09</t>
  </si>
  <si>
    <t>16兴业CD594</t>
  </si>
  <si>
    <t>2016-11-11</t>
  </si>
  <si>
    <t>136288.SH</t>
  </si>
  <si>
    <t>16建发02</t>
  </si>
  <si>
    <t>2016-11-16</t>
  </si>
  <si>
    <t>14招金债</t>
  </si>
  <si>
    <t>2016-11-17</t>
  </si>
  <si>
    <t>2016-11-15</t>
  </si>
  <si>
    <t>2016-11-18</t>
  </si>
  <si>
    <t>15沪闵行债</t>
  </si>
  <si>
    <t>16长电01</t>
  </si>
  <si>
    <t>2016-11-21</t>
  </si>
  <si>
    <t>16硚口国资债</t>
  </si>
  <si>
    <t>16华能SCP009</t>
  </si>
  <si>
    <t>16中信CD271</t>
  </si>
  <si>
    <t>2016-11-23</t>
  </si>
  <si>
    <t>14柳州城投小微债</t>
  </si>
  <si>
    <t>2016-11-22</t>
  </si>
  <si>
    <t>2016-11-24</t>
  </si>
  <si>
    <t>136606.SH</t>
  </si>
  <si>
    <t>2016-11-25</t>
  </si>
  <si>
    <t>2016-11-28</t>
  </si>
  <si>
    <t>16信投G2</t>
  </si>
  <si>
    <t>2016-11-29</t>
  </si>
  <si>
    <t>16民生CD254</t>
  </si>
  <si>
    <t>16福州城投CP002</t>
  </si>
  <si>
    <t>16威高CP001</t>
  </si>
  <si>
    <t>136739.SH</t>
  </si>
  <si>
    <t>16健康元MTN001</t>
  </si>
  <si>
    <t>16通用02</t>
  </si>
  <si>
    <t>16国开15</t>
  </si>
  <si>
    <t>2016-12-02</t>
  </si>
  <si>
    <t>2016-11-30</t>
  </si>
  <si>
    <t>2016-12-12</t>
  </si>
  <si>
    <t>2016-12-06</t>
  </si>
  <si>
    <t>16保利地产MTN001</t>
  </si>
  <si>
    <t>15皖高速MTN001(7年期)</t>
  </si>
  <si>
    <t>124540.SH</t>
  </si>
  <si>
    <t>16新兴际华SCP005</t>
  </si>
  <si>
    <t>16国开18</t>
  </si>
  <si>
    <t>16浦发CD501</t>
  </si>
  <si>
    <t>2016-12-26</t>
  </si>
  <si>
    <t>2016-12-23</t>
  </si>
  <si>
    <t>2016-12-22</t>
  </si>
  <si>
    <t>2016-12-13</t>
  </si>
  <si>
    <t>16皖出版CP001</t>
  </si>
  <si>
    <t>10中石油01</t>
  </si>
  <si>
    <t>2016-12-28</t>
  </si>
  <si>
    <t>136012.SH</t>
  </si>
  <si>
    <t>2016-12-15</t>
  </si>
  <si>
    <t>16浦发CD504</t>
  </si>
  <si>
    <t>2016-12-27</t>
  </si>
  <si>
    <t>16中化工MTN001</t>
  </si>
  <si>
    <t>16河钢集SCP005</t>
  </si>
  <si>
    <t>2017-01-05</t>
  </si>
  <si>
    <t>136546.SH</t>
  </si>
  <si>
    <t>136873.SH</t>
  </si>
  <si>
    <t>2017-01-04</t>
  </si>
  <si>
    <t>16沪华信SCP006</t>
  </si>
  <si>
    <t>122363.SH</t>
  </si>
  <si>
    <t>14太证债</t>
  </si>
  <si>
    <t>16深航空SCP013</t>
  </si>
  <si>
    <t>136735.SH</t>
  </si>
  <si>
    <t>16大唐02</t>
  </si>
  <si>
    <t>10渝江北嘴债</t>
  </si>
  <si>
    <t>16浦发CD500</t>
  </si>
  <si>
    <t>2017-01-10</t>
  </si>
  <si>
    <t>16新燃01</t>
  </si>
  <si>
    <t>14中信国安MTN002</t>
  </si>
  <si>
    <t>2017-01-09</t>
  </si>
  <si>
    <t>2017-01-11</t>
  </si>
  <si>
    <t>10附息国债15</t>
  </si>
  <si>
    <t>136738.SH</t>
  </si>
  <si>
    <t>2017-01-12</t>
  </si>
  <si>
    <t>16通用01</t>
  </si>
  <si>
    <t>2017-01-13</t>
  </si>
  <si>
    <t>2017-01-16</t>
  </si>
  <si>
    <t>16民生CD387</t>
  </si>
  <si>
    <t>17农发05</t>
  </si>
  <si>
    <t>17附息国债01</t>
  </si>
  <si>
    <t>2017-01-17</t>
  </si>
  <si>
    <t>2017-01-18</t>
  </si>
  <si>
    <t>16平安CD188</t>
  </si>
  <si>
    <t>136578.SH</t>
  </si>
  <si>
    <t>2017-01-24</t>
  </si>
  <si>
    <t>16小商02</t>
  </si>
  <si>
    <t>2017-01-20</t>
  </si>
  <si>
    <t>2017-01-19</t>
  </si>
  <si>
    <t>17附息国债02</t>
  </si>
  <si>
    <t>2017-01-22</t>
  </si>
  <si>
    <t>2017-01-23</t>
  </si>
  <si>
    <t>17国开03</t>
  </si>
  <si>
    <t>2017-01-25</t>
  </si>
  <si>
    <t>2017-02-08</t>
  </si>
  <si>
    <t>2017-01-26</t>
  </si>
  <si>
    <t>17农发03</t>
  </si>
  <si>
    <t>16南通汽运CP001</t>
  </si>
  <si>
    <t>17河钢集SCP001</t>
  </si>
  <si>
    <t>17附息国债03</t>
  </si>
  <si>
    <t>2017-02-13</t>
  </si>
  <si>
    <t>122422.SH</t>
  </si>
  <si>
    <t>112278.SZ</t>
  </si>
  <si>
    <t>16广晟03</t>
  </si>
  <si>
    <t>17附息国债04</t>
  </si>
  <si>
    <t>17进出01</t>
  </si>
  <si>
    <t>15东莞债</t>
  </si>
  <si>
    <t>2017-02-10</t>
  </si>
  <si>
    <t>16广州农村商业银行CD067</t>
  </si>
  <si>
    <t>17中材01</t>
  </si>
  <si>
    <t>2017-02-14</t>
  </si>
  <si>
    <t>2017-02-15</t>
  </si>
  <si>
    <t>17贴现国债07</t>
  </si>
  <si>
    <t>122440.SH</t>
  </si>
  <si>
    <t>2017-02-20</t>
  </si>
  <si>
    <t>2017-02-16</t>
  </si>
  <si>
    <t>2017-02-17</t>
  </si>
  <si>
    <t>16武汉地铁GN002</t>
  </si>
  <si>
    <t>2017-02-24</t>
  </si>
  <si>
    <t>2017-02-22</t>
  </si>
  <si>
    <t>16南方水泥CP002</t>
  </si>
  <si>
    <t>13国网MTN1</t>
  </si>
  <si>
    <t>2017-02-21</t>
  </si>
  <si>
    <t>2017-02-23</t>
  </si>
  <si>
    <t>16河北银行CD026</t>
  </si>
  <si>
    <t>2017-02-28</t>
  </si>
  <si>
    <t>2017-02-27</t>
  </si>
  <si>
    <t>136032.SH</t>
  </si>
  <si>
    <t>16龙盛01</t>
  </si>
  <si>
    <t>2013-07-25</t>
  </si>
  <si>
    <t>12椒江债</t>
  </si>
  <si>
    <t>17中信银行CD044</t>
  </si>
  <si>
    <t>G16唐新3</t>
  </si>
  <si>
    <t>16开滦SCP003</t>
  </si>
  <si>
    <t>16豫园商城MTN001</t>
  </si>
  <si>
    <t>15富力债</t>
  </si>
  <si>
    <t>112130.SZ</t>
  </si>
  <si>
    <t>12华包债</t>
  </si>
  <si>
    <t>15苏交通MTN005</t>
  </si>
  <si>
    <t>16兴业CD528</t>
  </si>
  <si>
    <t>16贾汪城投债</t>
  </si>
  <si>
    <t>136726.SH</t>
  </si>
  <si>
    <t>2011-06-15</t>
  </si>
  <si>
    <t>136353.SH</t>
  </si>
  <si>
    <t>16鲁西SCP001</t>
  </si>
  <si>
    <t>112236.SZ</t>
  </si>
  <si>
    <t>16鲁宏桥MTN002</t>
  </si>
  <si>
    <t>17兴业银行CD088</t>
  </si>
  <si>
    <t>2011-06-02</t>
  </si>
  <si>
    <t>2014-11-12</t>
  </si>
  <si>
    <t>136023.SH</t>
  </si>
  <si>
    <t>136272.SH</t>
  </si>
  <si>
    <t>16国控01</t>
  </si>
  <si>
    <t>15京建工MTN001</t>
  </si>
  <si>
    <t>2017-03-01</t>
  </si>
  <si>
    <t>17贴现国债09</t>
  </si>
  <si>
    <t>2017-03-02</t>
  </si>
  <si>
    <t>17广发银行CD012</t>
  </si>
  <si>
    <t>17兴业银行CD102</t>
  </si>
  <si>
    <t>15九州通MTN001</t>
  </si>
  <si>
    <t>2013-02-04</t>
  </si>
  <si>
    <t>2017-03-03</t>
  </si>
  <si>
    <t>17陕煤化SCP002</t>
  </si>
  <si>
    <t>16福建海峡银行CD025</t>
  </si>
  <si>
    <t>2017-03-06</t>
  </si>
  <si>
    <t>16中粮SCP006</t>
  </si>
  <si>
    <t>16双流机场MTN001</t>
  </si>
  <si>
    <t>136055.SH</t>
  </si>
  <si>
    <t>17招商银行CD069</t>
  </si>
  <si>
    <t>17浦发银行CD084</t>
  </si>
  <si>
    <t>2017-03-07</t>
  </si>
  <si>
    <t>14皖交投MTN001</t>
  </si>
  <si>
    <t>16洪涛装饰SCP001</t>
  </si>
  <si>
    <t>16紫金04</t>
  </si>
  <si>
    <t>16兴业CD418</t>
  </si>
  <si>
    <t>10国开15</t>
  </si>
  <si>
    <t>2017-03-08</t>
  </si>
  <si>
    <t>136350.SH</t>
  </si>
  <si>
    <t>125779.SH</t>
  </si>
  <si>
    <t>16海怡02</t>
  </si>
  <si>
    <t>15中宝债</t>
  </si>
  <si>
    <t>2017-03-09</t>
  </si>
  <si>
    <t>127400.SH</t>
  </si>
  <si>
    <t>136260.SH</t>
  </si>
  <si>
    <t>2017-03-15</t>
  </si>
  <si>
    <t>125966.SH</t>
  </si>
  <si>
    <t>2017-03-13</t>
  </si>
  <si>
    <t>2017-03-14</t>
  </si>
  <si>
    <t>16百联集MTN001</t>
  </si>
  <si>
    <t>15财富C2</t>
  </si>
  <si>
    <t>16广晟SCP006</t>
  </si>
  <si>
    <t>12邵阳债</t>
  </si>
  <si>
    <t>13津港股MTN3</t>
  </si>
  <si>
    <t>2013-06-18</t>
  </si>
  <si>
    <t>17国开04</t>
  </si>
  <si>
    <t>2013-06-27</t>
  </si>
  <si>
    <t>2017-03-16</t>
  </si>
  <si>
    <t>122564.SH</t>
  </si>
  <si>
    <t>136888.SH</t>
  </si>
  <si>
    <t>136152.SH</t>
  </si>
  <si>
    <t>17平安银行CD066</t>
  </si>
  <si>
    <t>2017-03-17</t>
  </si>
  <si>
    <t>17附息国债06</t>
  </si>
  <si>
    <t>2017-03-20</t>
  </si>
  <si>
    <t>PR椒江债</t>
  </si>
  <si>
    <t>145282.SH</t>
  </si>
  <si>
    <t>16晋电01</t>
  </si>
  <si>
    <t>16新长宁MTN001</t>
  </si>
  <si>
    <t>122395.SH</t>
  </si>
  <si>
    <t>16康美SCP001</t>
  </si>
  <si>
    <t>2017-03-21</t>
  </si>
  <si>
    <t>2017-03-22</t>
  </si>
  <si>
    <t>15成交投MTN002</t>
  </si>
  <si>
    <t>16万达01</t>
  </si>
  <si>
    <t>16TCL集SCP003</t>
  </si>
  <si>
    <t>136143.SH</t>
  </si>
  <si>
    <t>17徽商银行CD050</t>
  </si>
  <si>
    <t>17广晟SCP001</t>
  </si>
  <si>
    <t>2017-03-27</t>
  </si>
  <si>
    <t>16西发债01</t>
  </si>
  <si>
    <t>2017-03-24</t>
  </si>
  <si>
    <t>2017-03-23</t>
  </si>
  <si>
    <t>17进出03</t>
  </si>
  <si>
    <t>16上实MTN001</t>
  </si>
  <si>
    <t>15宜城投债</t>
  </si>
  <si>
    <t>143020.SH</t>
  </si>
  <si>
    <t>17象屿MTN001</t>
  </si>
  <si>
    <t>17兴业银行CD144</t>
  </si>
  <si>
    <t>136522.SH</t>
  </si>
  <si>
    <t>17浦发银行CD121</t>
  </si>
  <si>
    <t>16首股债</t>
  </si>
  <si>
    <t>2017-03-28</t>
  </si>
  <si>
    <t>17中电投SCP005</t>
  </si>
  <si>
    <t>17光大银行CD078</t>
  </si>
  <si>
    <t>2017-03-29</t>
  </si>
  <si>
    <t>17进出04</t>
  </si>
  <si>
    <t>17厦门国际银行CD003</t>
  </si>
  <si>
    <t>16江苏10</t>
  </si>
  <si>
    <t>17光大银行CD075</t>
  </si>
  <si>
    <t>17河钢集MTN003</t>
  </si>
  <si>
    <t>2017-04-01</t>
  </si>
  <si>
    <t>2017-03-31</t>
  </si>
  <si>
    <t>16兴业CD578</t>
  </si>
  <si>
    <t>122671.SH</t>
  </si>
  <si>
    <t>16复星02</t>
  </si>
  <si>
    <t>17中信银行CD081</t>
  </si>
  <si>
    <t>112456.SZ</t>
  </si>
  <si>
    <t>2017-04-07</t>
  </si>
  <si>
    <t>2017-04-06</t>
  </si>
  <si>
    <t>12奉化债</t>
  </si>
  <si>
    <t>16海正CP001</t>
  </si>
  <si>
    <t>127459.SH</t>
  </si>
  <si>
    <t>112244.SZ</t>
  </si>
  <si>
    <t>16永泰能源CP004</t>
  </si>
  <si>
    <t>2017-04-10</t>
  </si>
  <si>
    <t>17国开10</t>
  </si>
  <si>
    <t>2017-04-12</t>
  </si>
  <si>
    <t>122008.SH</t>
  </si>
  <si>
    <t>2017-04-11</t>
  </si>
  <si>
    <t>16宝钢SCP004</t>
  </si>
  <si>
    <t>16光大CD322</t>
  </si>
  <si>
    <t>17渤海银行CD012</t>
  </si>
  <si>
    <t>17川能投SCP001</t>
  </si>
  <si>
    <t>2017-04-13</t>
  </si>
  <si>
    <t>136504.SH</t>
  </si>
  <si>
    <t>16中关01</t>
  </si>
  <si>
    <t>2017-04-14</t>
  </si>
  <si>
    <t>2017-04-17</t>
  </si>
  <si>
    <t>2017-04-19</t>
  </si>
  <si>
    <t>17附息国债07</t>
  </si>
  <si>
    <t>122426.SH</t>
  </si>
  <si>
    <t>15际华02</t>
  </si>
  <si>
    <t>17晋焦煤CP001</t>
  </si>
  <si>
    <t>17中铝业SCP003</t>
  </si>
  <si>
    <t>2017-04-18</t>
  </si>
  <si>
    <t>17国开06</t>
  </si>
  <si>
    <t>14扬州经开MTN001</t>
  </si>
  <si>
    <t>2017-04-20</t>
  </si>
  <si>
    <t>15深航空MTN001</t>
  </si>
  <si>
    <t>124988.SH</t>
  </si>
  <si>
    <t>PR首开02</t>
  </si>
  <si>
    <t>14闽投债</t>
  </si>
  <si>
    <t>2017-04-24</t>
  </si>
  <si>
    <t>2017-04-21</t>
  </si>
  <si>
    <t>17光大银行CD055</t>
  </si>
  <si>
    <t>16玉渊潭MTN001</t>
  </si>
  <si>
    <t>17中电子MTN001</t>
  </si>
  <si>
    <t>17首钢SCP004</t>
  </si>
  <si>
    <t>14武钢债</t>
  </si>
  <si>
    <t>17农发08</t>
  </si>
  <si>
    <t>2017-04-25</t>
  </si>
  <si>
    <t>17贴现国债19</t>
  </si>
  <si>
    <t>2017-04-26</t>
  </si>
  <si>
    <t>13陕高速债</t>
  </si>
  <si>
    <t>15宁沪高MTN002</t>
  </si>
  <si>
    <t>136150.SH</t>
  </si>
  <si>
    <t>17鞍钢集CP001</t>
  </si>
  <si>
    <t>2017-04-27</t>
  </si>
  <si>
    <t>16中海油SCP001</t>
  </si>
  <si>
    <t>A</t>
  </si>
  <si>
    <t>16嘉兴城投MTN001</t>
  </si>
  <si>
    <t>17首农01</t>
  </si>
  <si>
    <t>2017-04-28</t>
  </si>
  <si>
    <t>17中电投SCP009</t>
  </si>
  <si>
    <t>17晋能MTN001</t>
  </si>
  <si>
    <t>2017-05-03</t>
  </si>
  <si>
    <t>17湖北科投CP001</t>
  </si>
  <si>
    <t>17冀交投CP002</t>
  </si>
  <si>
    <t>127442.SH</t>
  </si>
  <si>
    <t>2017-05-04</t>
  </si>
  <si>
    <t>136114.SH</t>
  </si>
  <si>
    <t>135089.SH</t>
  </si>
  <si>
    <t>125367.SH</t>
  </si>
  <si>
    <t>125379.SH</t>
  </si>
  <si>
    <t>136189.SH</t>
  </si>
  <si>
    <t>124800.SH</t>
  </si>
  <si>
    <t>112488.SZ</t>
  </si>
  <si>
    <t>127161.SH</t>
  </si>
  <si>
    <t>127409.SH</t>
  </si>
  <si>
    <t>122334.SH</t>
  </si>
  <si>
    <t>2017-05-05</t>
  </si>
  <si>
    <t>14中金集MTN002</t>
  </si>
  <si>
    <t>17皖投集SCP001</t>
  </si>
  <si>
    <t>17贴现国债20</t>
  </si>
  <si>
    <t>15鲁地矿集MTN001</t>
  </si>
  <si>
    <t>17连云城建MTN001</t>
  </si>
  <si>
    <t>2017-05-08</t>
  </si>
  <si>
    <t>17上海银行CD034</t>
  </si>
  <si>
    <t>17广发银行CD040</t>
  </si>
  <si>
    <t>17附息国债10</t>
  </si>
  <si>
    <t>17附息国债09</t>
  </si>
  <si>
    <t>112235.SZ</t>
  </si>
  <si>
    <t>2017-05-09</t>
  </si>
  <si>
    <t>16市北高新SCP001</t>
  </si>
  <si>
    <t>17九江银行CD071</t>
  </si>
  <si>
    <t>17深圳特发SCP001</t>
  </si>
  <si>
    <t>2017-05-10</t>
  </si>
  <si>
    <t>122366.SH</t>
  </si>
  <si>
    <t>13中色MTN001</t>
  </si>
  <si>
    <t>16青岛城发MTN001</t>
  </si>
  <si>
    <t>2017-05-11</t>
  </si>
  <si>
    <t>17兴业银行CD239</t>
  </si>
  <si>
    <t>17内蒙古银行CD029</t>
  </si>
  <si>
    <t>17成都银行CD040</t>
  </si>
  <si>
    <t>代码</t>
    <phoneticPr fontId="2" type="noConversion"/>
  </si>
  <si>
    <t>简称</t>
    <phoneticPr fontId="2" type="noConversion"/>
  </si>
  <si>
    <t>剩余期限</t>
    <phoneticPr fontId="2" type="noConversion"/>
  </si>
  <si>
    <t>估值偏离</t>
    <phoneticPr fontId="2" type="noConversion"/>
  </si>
  <si>
    <t>前一日估值</t>
    <phoneticPr fontId="2" type="noConversion"/>
  </si>
  <si>
    <t>估值变化</t>
    <phoneticPr fontId="2" type="noConversion"/>
  </si>
  <si>
    <t>公司属性</t>
    <phoneticPr fontId="2" type="noConversion"/>
  </si>
  <si>
    <t>135796.SH</t>
  </si>
  <si>
    <t>112408.SZ</t>
  </si>
  <si>
    <t>122336.SH</t>
  </si>
  <si>
    <t>136326.SH</t>
  </si>
  <si>
    <t>112506.SZ</t>
  </si>
  <si>
    <t>143062.SH</t>
  </si>
  <si>
    <t>136363.SH</t>
  </si>
  <si>
    <t>143087.SH</t>
  </si>
  <si>
    <t>125636.SH</t>
  </si>
  <si>
    <t>136220.SH</t>
  </si>
  <si>
    <t>127453.SH</t>
  </si>
  <si>
    <t>139132.SH</t>
  </si>
  <si>
    <t>124426.SH</t>
  </si>
  <si>
    <t>124570.SH</t>
  </si>
  <si>
    <t>136635.SH</t>
  </si>
  <si>
    <t>136550.SH</t>
  </si>
  <si>
    <t>122233.SH</t>
  </si>
  <si>
    <t>140065.SH</t>
  </si>
  <si>
    <t>019526.SH</t>
  </si>
  <si>
    <t>16碧园04</t>
  </si>
  <si>
    <t>15清控MTN003</t>
  </si>
  <si>
    <t>16新兴01</t>
  </si>
  <si>
    <t>13牡丹01</t>
  </si>
  <si>
    <t>16金地02</t>
  </si>
  <si>
    <t>13吉利债</t>
  </si>
  <si>
    <t>17温氏01</t>
  </si>
  <si>
    <t>17穗发01</t>
  </si>
  <si>
    <t>17京投债01</t>
  </si>
  <si>
    <t>16丹阳01</t>
  </si>
  <si>
    <t>16中环电子MTN001</t>
  </si>
  <si>
    <t>16莱钢03</t>
  </si>
  <si>
    <t>14亨通MTN001</t>
  </si>
  <si>
    <t>16永兴银都债</t>
  </si>
  <si>
    <t>16津航空MTN002</t>
  </si>
  <si>
    <t>14新昌债01</t>
  </si>
  <si>
    <t>PR滕州02</t>
  </si>
  <si>
    <t>15西宁城投MTN001</t>
  </si>
  <si>
    <t>16新投01</t>
  </si>
  <si>
    <t>17大丰海港SCP001</t>
  </si>
  <si>
    <t>12浙五金债</t>
  </si>
  <si>
    <t>16建安01</t>
  </si>
  <si>
    <t>16西发01</t>
  </si>
  <si>
    <t>13南城发债</t>
  </si>
  <si>
    <t>PR澄港城</t>
  </si>
  <si>
    <t>12十堰城投债</t>
  </si>
  <si>
    <t>11邹城国资债</t>
  </si>
  <si>
    <t>2011-01-25</t>
  </si>
  <si>
    <t>17鲁晨鸣CP002</t>
  </si>
  <si>
    <t>16山东海洋SCP001</t>
  </si>
  <si>
    <t>16湘电广MTN002</t>
  </si>
  <si>
    <t>15华谊MTN001</t>
  </si>
  <si>
    <t>17陕西能源CP001</t>
  </si>
  <si>
    <t>14宁城建MTN001</t>
  </si>
  <si>
    <t>16中材科技SCP003</t>
  </si>
  <si>
    <t>16皖能源MTN001</t>
  </si>
  <si>
    <t>14京国资</t>
  </si>
  <si>
    <t>17南方水泥SCP003</t>
  </si>
  <si>
    <t>17兵装02</t>
  </si>
  <si>
    <t>17厦门国际银行CD054</t>
  </si>
  <si>
    <t>17重庆农村商行CD084</t>
  </si>
  <si>
    <t>17盛京银行CD051</t>
  </si>
  <si>
    <t>17广州银行CD043</t>
  </si>
  <si>
    <t>17澜沧江SCP004</t>
  </si>
  <si>
    <t>17北京银行CD034</t>
  </si>
  <si>
    <t>16北京银行CD181</t>
  </si>
  <si>
    <t>16铁道01</t>
  </si>
  <si>
    <t>16光大CD154</t>
  </si>
  <si>
    <t>12招商02</t>
  </si>
  <si>
    <t>17汶上农商银行CD001</t>
  </si>
  <si>
    <t>17华夏银行CD063</t>
  </si>
  <si>
    <t>16上海银行CD274</t>
  </si>
  <si>
    <t>16山西债03</t>
  </si>
  <si>
    <t>11国开37</t>
  </si>
  <si>
    <t>17广发银行CD038</t>
  </si>
  <si>
    <t>16宁波债02</t>
  </si>
  <si>
    <t>15宁波债07</t>
  </si>
  <si>
    <t>17进出06</t>
  </si>
  <si>
    <t>15国债26</t>
  </si>
  <si>
    <t>17江苏启东农商行CD016</t>
  </si>
  <si>
    <t>17廊坊银行CD022</t>
  </si>
  <si>
    <t>17广发银行CD017</t>
  </si>
  <si>
    <t>16萧山农商银行CD062</t>
  </si>
  <si>
    <t>16萧山农商银行CD060</t>
  </si>
  <si>
    <t>17华夏银行CD032</t>
  </si>
  <si>
    <t>17津航空SCP001</t>
  </si>
  <si>
    <t>14嘉兴现代MTN001</t>
  </si>
  <si>
    <t>16福特汽车01</t>
  </si>
  <si>
    <t>17春华水务CP001</t>
  </si>
  <si>
    <t>17昆山国创SCP001</t>
  </si>
  <si>
    <t>16中建投租SCP005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</si>
</sst>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.0000_);[Red]\(#,##0.0000\)"/>
    <numFmt numFmtId="177" formatCode="#,##0.00_);[Red]\(#,##0.00\)"/>
    <numFmt numFmtId="178" formatCode="###,###,##0.0000"/>
    <numFmt numFmtId="180" formatCode="&quot;周&quot;General"/>
    <numFmt numFmtId="183" formatCode="yyyy\-mm\-dd"/>
  </numFmts>
  <fonts count="10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24">
    <xf numFmtId="0" fontId="0" fillId="0" borderId="0" xfId="0">
      <alignment vertical="center"/>
    </xf>
    <xf numFmtId="0" fontId="4" fillId="0" borderId="0" xfId="1" applyFont="1" applyAlignment="1">
      <alignment horizontal="left"/>
    </xf>
    <xf numFmtId="14" fontId="3" fillId="0" borderId="0" xfId="1" applyNumberFormat="1"/>
    <xf numFmtId="178" fontId="3" fillId="0" borderId="0" xfId="1" applyNumberFormat="1"/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0" fontId="5" fillId="2" borderId="0" xfId="0" applyFont="1" applyFill="1">
      <alignment vertical="center"/>
    </xf>
    <xf numFmtId="0" fontId="0" fillId="0" borderId="0" xfId="0" applyNumberFormat="1">
      <alignment vertical="center"/>
    </xf>
    <xf numFmtId="176" fontId="6" fillId="0" borderId="0" xfId="1" applyNumberFormat="1" applyFont="1" applyAlignment="1">
      <alignment horizontal="left"/>
    </xf>
    <xf numFmtId="177" fontId="6" fillId="0" borderId="0" xfId="1" applyNumberFormat="1" applyFont="1" applyAlignment="1">
      <alignment horizontal="left"/>
    </xf>
    <xf numFmtId="0" fontId="6" fillId="0" borderId="0" xfId="0" applyFont="1">
      <alignment vertical="center"/>
    </xf>
    <xf numFmtId="0" fontId="7" fillId="2" borderId="0" xfId="0" applyFont="1" applyFill="1">
      <alignment vertical="center"/>
    </xf>
    <xf numFmtId="180" fontId="0" fillId="0" borderId="0" xfId="0" applyNumberFormat="1" applyAlignment="1">
      <alignment horizontal="center" vertical="center"/>
    </xf>
    <xf numFmtId="178" fontId="3" fillId="0" borderId="0" xfId="1" applyNumberFormat="1" applyFill="1"/>
    <xf numFmtId="14" fontId="3" fillId="0" borderId="0" xfId="1" applyNumberFormat="1" applyFill="1"/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/>
    <xf numFmtId="0" fontId="8" fillId="0" borderId="0" xfId="1" applyNumberFormat="1" applyFont="1" applyFill="1" applyAlignment="1">
      <alignment horizontal="left"/>
    </xf>
    <xf numFmtId="0" fontId="8" fillId="0" borderId="0" xfId="1" applyFont="1" applyFill="1" applyAlignment="1">
      <alignment horizontal="left"/>
    </xf>
    <xf numFmtId="176" fontId="8" fillId="0" borderId="0" xfId="1" applyNumberFormat="1" applyFont="1" applyFill="1" applyAlignment="1">
      <alignment horizontal="left"/>
    </xf>
    <xf numFmtId="177" fontId="8" fillId="0" borderId="0" xfId="1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183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18">
    <dxf>
      <font>
        <color rgb="FF9C0006"/>
      </font>
      <fill>
        <patternFill>
          <bgColor rgb="FFFFC7CE"/>
        </patternFill>
      </fill>
    </dxf>
    <dxf>
      <numFmt numFmtId="19" formatCode="yyyy/m/d"/>
    </dxf>
    <dxf>
      <numFmt numFmtId="19" formatCode="yyyy/m/d"/>
    </dxf>
    <dxf>
      <numFmt numFmtId="19" formatCode="yyyy/m/d"/>
    </dxf>
    <dxf>
      <numFmt numFmtId="178" formatCode="###,###,##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#,##0.00_);[Red]\(#,##0.00\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#,##0.0000_);[Red]\(#,##0.0000\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solid">
          <fgColor indexed="64"/>
          <bgColor theme="1" tint="0.249977111117893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导入每日成交数据（txt文档）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粘出数据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7</xdr:row>
          <xdr:rowOff>0</xdr:rowOff>
        </xdr:from>
        <xdr:to>
          <xdr:col>0</xdr:col>
          <xdr:colOff>866775</xdr:colOff>
          <xdr:row>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粘出数据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b_anal_day"/>
      <definedName name="b_anal_yield_cnbd"/>
      <definedName name="b_info_couponrate"/>
      <definedName name="b_info_latestissurercreditrating"/>
      <definedName name="B_Info_ListedDate"/>
      <definedName name="b_info_name"/>
      <definedName name="b_info_windl1type"/>
      <definedName name="b_issue_firstissue"/>
      <definedName name="s_info_Natur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表1" displayName="表1" ref="B1:P1578" totalsRowShown="0" headerRowDxfId="16" dataCellStyle="常规 2">
  <autoFilter ref="B1:P1578"/>
  <tableColumns count="15">
    <tableColumn id="1" name="代码" dataDxfId="15"/>
    <tableColumn id="2" name="价格" dataDxfId="14"/>
    <tableColumn id="3" name="简称" dataDxfId="13" dataCellStyle="常规 2">
      <calculatedColumnFormula>[1]!b_info_name(B2)</calculatedColumnFormula>
    </tableColumn>
    <tableColumn id="4" name="评级" dataDxfId="12" dataCellStyle="常规 2">
      <calculatedColumnFormula>[1]!b_info_latestissurercreditrating(B2)</calculatedColumnFormula>
    </tableColumn>
    <tableColumn id="5" name="剩余期限" dataDxfId="11" dataCellStyle="常规 2">
      <calculatedColumnFormula>[1]!b_anal_day(B2,$A$5)/365</calculatedColumnFormula>
    </tableColumn>
    <tableColumn id="6" name="估值" dataDxfId="10" dataCellStyle="常规 2">
      <calculatedColumnFormula>[1]!b_anal_yield_cnbd(B2,$A$5)</calculatedColumnFormula>
    </tableColumn>
    <tableColumn id="13" name="估值偏离" dataDxfId="9" dataCellStyle="常规 2">
      <calculatedColumnFormula>(IF(C2&lt;0.1,C2*100,C2)-G2)*100</calculatedColumnFormula>
    </tableColumn>
    <tableColumn id="14" name="前一日估值" dataDxfId="8" dataCellStyle="常规 2">
      <calculatedColumnFormula>[1]!b_anal_yield_cnbd(B2,$A$7)</calculatedColumnFormula>
    </tableColumn>
    <tableColumn id="15" name="估值变化" dataDxfId="7" dataCellStyle="常规 2">
      <calculatedColumnFormula>(G2-I2)*100</calculatedColumnFormula>
    </tableColumn>
    <tableColumn id="7" name="公司属性" dataDxfId="6" dataCellStyle="常规 2">
      <calculatedColumnFormula>[1]!s_info_Nature(B2)</calculatedColumnFormula>
    </tableColumn>
    <tableColumn id="8" name="债券类别" dataDxfId="5" dataCellStyle="常规 2">
      <calculatedColumnFormula>[1]!b_info_windl1type(B2)</calculatedColumnFormula>
    </tableColumn>
    <tableColumn id="9" name="票面" dataDxfId="4" dataCellStyle="常规 2">
      <calculatedColumnFormula>[1]!b_info_couponrate(B2)</calculatedColumnFormula>
    </tableColumn>
    <tableColumn id="10" name="上市日期" dataDxfId="3" dataCellStyle="常规 2">
      <calculatedColumnFormula>[1]!B_Info_ListedDate(B2)</calculatedColumnFormula>
    </tableColumn>
    <tableColumn id="11" name="发行起始日" dataDxfId="2" dataCellStyle="常规 2">
      <calculatedColumnFormula>[1]!b_issue_firstissue(B2)</calculatedColumnFormula>
    </tableColumn>
    <tableColumn id="12" name="成交日期" dataDxfId="1">
      <calculatedColumnFormula>$A$2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8:N14"/>
  <sheetViews>
    <sheetView workbookViewId="0">
      <selection activeCell="B7" sqref="B7"/>
    </sheetView>
  </sheetViews>
  <sheetFormatPr defaultRowHeight="13.5"/>
  <cols>
    <col min="1" max="1" width="9" style="7" customWidth="1"/>
    <col min="2" max="2" width="18.375" style="7" customWidth="1"/>
    <col min="3" max="3" width="6.875" customWidth="1"/>
    <col min="4" max="4" width="9" style="7"/>
    <col min="5" max="5" width="10.375" style="7" bestFit="1" customWidth="1"/>
    <col min="7" max="7" width="9.625" style="7" customWidth="1"/>
    <col min="8" max="8" width="10.375" style="7" bestFit="1" customWidth="1"/>
    <col min="10" max="10" width="10.875" style="7" customWidth="1"/>
    <col min="11" max="11" width="10.375" style="7" bestFit="1" customWidth="1"/>
    <col min="13" max="13" width="11.25" style="7" customWidth="1"/>
    <col min="14" max="14" width="10.375" style="7" bestFit="1" customWidth="1"/>
  </cols>
  <sheetData>
    <row r="8" spans="3:5">
      <c r="C8">
        <v>1</v>
      </c>
      <c r="D8" t="s">
        <v>196</v>
      </c>
      <c r="E8"/>
    </row>
    <row r="9" spans="3:5">
      <c r="C9">
        <v>2</v>
      </c>
      <c r="D9" t="s">
        <v>20</v>
      </c>
      <c r="E9"/>
    </row>
    <row r="10" spans="3:5">
      <c r="C10">
        <v>3</v>
      </c>
      <c r="D10" t="s">
        <v>192</v>
      </c>
      <c r="E10"/>
    </row>
    <row r="11" spans="3:5">
      <c r="C11">
        <v>4</v>
      </c>
      <c r="D11" t="s">
        <v>21</v>
      </c>
      <c r="E11"/>
    </row>
    <row r="12" spans="3:5">
      <c r="D12"/>
      <c r="E12"/>
    </row>
    <row r="13" spans="3:5">
      <c r="D13"/>
      <c r="E13"/>
    </row>
    <row r="14" spans="3:5">
      <c r="E14"/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导入文本文档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578"/>
  <sheetViews>
    <sheetView tabSelected="1" workbookViewId="0">
      <selection activeCell="G2" sqref="G2"/>
    </sheetView>
  </sheetViews>
  <sheetFormatPr defaultRowHeight="13.5"/>
  <cols>
    <col min="1" max="1" width="13.125" customWidth="1"/>
    <col min="2" max="2" width="12" style="16" customWidth="1"/>
    <col min="3" max="3" width="8" customWidth="1"/>
    <col min="4" max="4" width="17.375" customWidth="1"/>
    <col min="6" max="6" width="10.25" style="10" customWidth="1"/>
    <col min="7" max="7" width="9.125" style="10" bestFit="1" customWidth="1"/>
    <col min="8" max="8" width="10.375" style="10" bestFit="1" customWidth="1"/>
    <col min="9" max="10" width="10.375" style="10" customWidth="1"/>
    <col min="11" max="11" width="12.875" customWidth="1"/>
    <col min="12" max="12" width="10.25" customWidth="1"/>
    <col min="14" max="14" width="14.375" customWidth="1"/>
    <col min="15" max="15" width="13.375" customWidth="1"/>
    <col min="16" max="16" width="11.75" bestFit="1" customWidth="1"/>
  </cols>
  <sheetData>
    <row r="1" spans="1:16">
      <c r="A1" s="5" t="s">
        <v>7</v>
      </c>
      <c r="B1" s="22" t="s">
        <v>198</v>
      </c>
      <c r="C1" s="6" t="s">
        <v>0</v>
      </c>
      <c r="D1" s="6" t="s">
        <v>399</v>
      </c>
      <c r="E1" s="6" t="s">
        <v>1</v>
      </c>
      <c r="F1" s="6" t="s">
        <v>197</v>
      </c>
      <c r="G1" s="11" t="s">
        <v>2</v>
      </c>
      <c r="H1" s="11" t="s">
        <v>193</v>
      </c>
      <c r="I1" s="11" t="s">
        <v>194</v>
      </c>
      <c r="J1" s="11" t="s">
        <v>195</v>
      </c>
      <c r="K1" s="6" t="s">
        <v>359</v>
      </c>
      <c r="L1" s="6" t="s">
        <v>3</v>
      </c>
      <c r="M1" s="6" t="s">
        <v>4</v>
      </c>
      <c r="N1" s="6" t="s">
        <v>5</v>
      </c>
      <c r="O1" s="6" t="s">
        <v>6</v>
      </c>
      <c r="P1" s="6" t="s">
        <v>10</v>
      </c>
    </row>
    <row r="2" spans="1:16">
      <c r="A2" s="23">
        <f ca="1">TODAY()</f>
        <v>42989</v>
      </c>
      <c r="B2" s="7">
        <v>101754002</v>
      </c>
      <c r="C2" s="7">
        <v>8.6999999999999993</v>
      </c>
      <c r="D2" s="1" t="str">
        <f>[1]!b_info_name(B2)</f>
        <v>17鲁宏桥MTN002</v>
      </c>
      <c r="E2" s="1" t="str">
        <f>[1]!b_info_latestissurercreditrating(B2)</f>
        <v>AA+</v>
      </c>
      <c r="F2" s="8">
        <f ca="1">[1]!b_anal_day(B2,$A$5)/365</f>
        <v>4.3397260273972602</v>
      </c>
      <c r="G2" s="9">
        <f ca="1">[1]!b_anal_yield_cnbd(B2,$A$5)</f>
        <v>0</v>
      </c>
      <c r="H2" s="9">
        <f t="shared" ref="H2:H61" ca="1" si="0">(IF(C2&lt;0.1,C2*100,C2)-G2)*100</f>
        <v>869.99999999999989</v>
      </c>
      <c r="I2" s="9">
        <f ca="1">[1]!b_anal_yield_cnbd(B2,$A$7)</f>
        <v>0</v>
      </c>
      <c r="J2" s="9">
        <f t="shared" ref="J2:J62" ca="1" si="1">(G2-I2)*100</f>
        <v>0</v>
      </c>
      <c r="K2" s="1" t="str">
        <f>[1]!s_info_Nature(B2)</f>
        <v>外商独资企业</v>
      </c>
      <c r="L2" s="1" t="str">
        <f>[1]!b_info_windl1type(B2)</f>
        <v>中期票据</v>
      </c>
      <c r="M2" s="3">
        <f>[1]!b_info_couponrate(B2)</f>
        <v>5.2</v>
      </c>
      <c r="N2" s="2" t="str">
        <f>[1]!B_Info_ListedDate(B2)</f>
        <v>2017-01-12</v>
      </c>
      <c r="O2" s="2" t="str">
        <f>[1]!b_issue_firstissue(B2)</f>
        <v>2017-01-10</v>
      </c>
      <c r="P2" s="4">
        <f t="shared" ref="P2:P61" ca="1" si="2">$A$2</f>
        <v>42989</v>
      </c>
    </row>
    <row r="3" spans="1:16">
      <c r="A3" s="12" t="str">
        <f ca="1">TEXT(WEEKDAY(A2),"dddd")</f>
        <v>Monday</v>
      </c>
      <c r="B3" s="7">
        <v>31491029</v>
      </c>
      <c r="C3" s="7">
        <v>8.6999999999999993</v>
      </c>
      <c r="D3" s="1" t="str">
        <f>[1]!b_info_name(B3)</f>
        <v>14淮北矿PPN001</v>
      </c>
      <c r="E3" s="1" t="str">
        <f>[1]!b_info_latestissurercreditrating(B3)</f>
        <v>AA+</v>
      </c>
      <c r="F3" s="8">
        <f ca="1">[1]!b_anal_day(B3,$A$5)/365</f>
        <v>0.20821917808219179</v>
      </c>
      <c r="G3" s="9">
        <f ca="1">[1]!b_anal_yield_cnbd(B3,$A$5)</f>
        <v>0</v>
      </c>
      <c r="H3" s="9">
        <f t="shared" ca="1" si="0"/>
        <v>869.99999999999989</v>
      </c>
      <c r="I3" s="9">
        <f ca="1">[1]!b_anal_yield_cnbd(B3,$A$7)</f>
        <v>0</v>
      </c>
      <c r="J3" s="9">
        <f t="shared" ca="1" si="1"/>
        <v>0</v>
      </c>
      <c r="K3" s="1" t="str">
        <f>[1]!s_info_Nature(B3)</f>
        <v>地方国有企业</v>
      </c>
      <c r="L3" s="1" t="str">
        <f>[1]!b_info_windl1type(B3)</f>
        <v>定向工具</v>
      </c>
      <c r="M3" s="3">
        <f>[1]!b_info_couponrate(B3)</f>
        <v>6.6</v>
      </c>
      <c r="N3" s="2">
        <f>[1]!B_Info_ListedDate(B3)</f>
        <v>0</v>
      </c>
      <c r="O3" s="2" t="str">
        <f>[1]!b_issue_firstissue(B3)</f>
        <v>2014-11-24</v>
      </c>
      <c r="P3" s="4">
        <f t="shared" ca="1" si="2"/>
        <v>42989</v>
      </c>
    </row>
    <row r="4" spans="1:16">
      <c r="A4" s="5" t="s">
        <v>8</v>
      </c>
      <c r="B4" s="7" t="s">
        <v>887</v>
      </c>
      <c r="C4" s="7">
        <v>8.17</v>
      </c>
      <c r="D4" s="1" t="str">
        <f>[1]!b_info_name(B4)</f>
        <v>15花园02</v>
      </c>
      <c r="E4" s="1" t="str">
        <f>[1]!b_info_latestissurercreditrating(B4)</f>
        <v>AA</v>
      </c>
      <c r="F4" s="8">
        <f ca="1">[1]!b_anal_day(B4,$A$5)/365</f>
        <v>3.2821917808219179</v>
      </c>
      <c r="G4" s="9">
        <f ca="1">[1]!b_anal_yield_cnbd(B4,$A$5)</f>
        <v>0</v>
      </c>
      <c r="H4" s="9">
        <f t="shared" ca="1" si="0"/>
        <v>817</v>
      </c>
      <c r="I4" s="9">
        <f ca="1">[1]!b_anal_yield_cnbd(B4,$A$7)</f>
        <v>0</v>
      </c>
      <c r="J4" s="9">
        <f t="shared" ca="1" si="1"/>
        <v>0</v>
      </c>
      <c r="K4" s="1" t="str">
        <f>[1]!s_info_Nature(B4)</f>
        <v>外商独资企业</v>
      </c>
      <c r="L4" s="1" t="str">
        <f>[1]!b_info_windl1type(B4)</f>
        <v>公司债</v>
      </c>
      <c r="M4" s="3">
        <f>[1]!b_info_couponrate(B4)</f>
        <v>7.47</v>
      </c>
      <c r="N4" s="2" t="str">
        <f>[1]!B_Info_ListedDate(B4)</f>
        <v>2016-01-06</v>
      </c>
      <c r="O4" s="2" t="str">
        <f>[1]!b_issue_firstissue(B4)</f>
        <v>2015-12-18</v>
      </c>
      <c r="P4" s="4">
        <f t="shared" ca="1" si="2"/>
        <v>42989</v>
      </c>
    </row>
    <row r="5" spans="1:16">
      <c r="A5" s="4">
        <f ca="1">A2-1</f>
        <v>42988</v>
      </c>
      <c r="B5" s="7">
        <v>101554032</v>
      </c>
      <c r="C5" s="7">
        <v>7.68</v>
      </c>
      <c r="D5" s="1" t="str">
        <f>[1]!b_info_name(B5)</f>
        <v>15鲁宏桥MTN002</v>
      </c>
      <c r="E5" s="1" t="str">
        <f>[1]!b_info_latestissurercreditrating(B5)</f>
        <v>AA+</v>
      </c>
      <c r="F5" s="8">
        <f ca="1">[1]!b_anal_day(B5,$A$5)/365</f>
        <v>0.67397260273972603</v>
      </c>
      <c r="G5" s="9">
        <f ca="1">[1]!b_anal_yield_cnbd(B5,$A$5)</f>
        <v>0</v>
      </c>
      <c r="H5" s="9">
        <f t="shared" ca="1" si="0"/>
        <v>768</v>
      </c>
      <c r="I5" s="9">
        <f ca="1">[1]!b_anal_yield_cnbd(B5,$A$7)</f>
        <v>0</v>
      </c>
      <c r="J5" s="9">
        <f t="shared" ca="1" si="1"/>
        <v>0</v>
      </c>
      <c r="K5" s="1" t="str">
        <f>[1]!s_info_Nature(B5)</f>
        <v>外商独资企业</v>
      </c>
      <c r="L5" s="1" t="str">
        <f>[1]!b_info_windl1type(B5)</f>
        <v>中期票据</v>
      </c>
      <c r="M5" s="3">
        <f>[1]!b_info_couponrate(B5)</f>
        <v>5.2</v>
      </c>
      <c r="N5" s="2" t="str">
        <f>[1]!B_Info_ListedDate(B5)</f>
        <v>2015-05-15</v>
      </c>
      <c r="O5" s="2" t="str">
        <f>[1]!b_issue_firstissue(B5)</f>
        <v>2015-05-13</v>
      </c>
      <c r="P5" s="4">
        <f t="shared" ca="1" si="2"/>
        <v>42989</v>
      </c>
    </row>
    <row r="6" spans="1:16">
      <c r="A6" s="5" t="s">
        <v>9</v>
      </c>
      <c r="B6" s="7">
        <v>101554032</v>
      </c>
      <c r="C6" s="7">
        <v>7.68</v>
      </c>
      <c r="D6" s="1" t="str">
        <f>[1]!b_info_name(B6)</f>
        <v>15鲁宏桥MTN002</v>
      </c>
      <c r="E6" s="1" t="str">
        <f>[1]!b_info_latestissurercreditrating(B6)</f>
        <v>AA+</v>
      </c>
      <c r="F6" s="8">
        <f ca="1">[1]!b_anal_day(B6,$A$5)/365</f>
        <v>0.67397260273972603</v>
      </c>
      <c r="G6" s="9">
        <f ca="1">[1]!b_anal_yield_cnbd(B6,$A$5)</f>
        <v>0</v>
      </c>
      <c r="H6" s="9">
        <f t="shared" ca="1" si="0"/>
        <v>768</v>
      </c>
      <c r="I6" s="9">
        <f ca="1">[1]!b_anal_yield_cnbd(B6,$A$7)</f>
        <v>0</v>
      </c>
      <c r="J6" s="9">
        <f t="shared" ca="1" si="1"/>
        <v>0</v>
      </c>
      <c r="K6" s="1" t="str">
        <f>[1]!s_info_Nature(B6)</f>
        <v>外商独资企业</v>
      </c>
      <c r="L6" s="1" t="str">
        <f>[1]!b_info_windl1type(B6)</f>
        <v>中期票据</v>
      </c>
      <c r="M6" s="3">
        <f>[1]!b_info_couponrate(B6)</f>
        <v>5.2</v>
      </c>
      <c r="N6" s="2" t="str">
        <f>[1]!B_Info_ListedDate(B6)</f>
        <v>2015-05-15</v>
      </c>
      <c r="O6" s="2" t="str">
        <f>[1]!b_issue_firstissue(B6)</f>
        <v>2015-05-13</v>
      </c>
      <c r="P6" s="4">
        <f t="shared" ca="1" si="2"/>
        <v>42989</v>
      </c>
    </row>
    <row r="7" spans="1:16" ht="12" customHeight="1">
      <c r="A7" s="4">
        <f ca="1">A2-2</f>
        <v>42987</v>
      </c>
      <c r="B7" s="7">
        <v>101651035</v>
      </c>
      <c r="C7" s="7">
        <v>7.25</v>
      </c>
      <c r="D7" s="1" t="str">
        <f>[1]!b_info_name(B7)</f>
        <v>16东阳光MTN001</v>
      </c>
      <c r="E7" s="1" t="str">
        <f>[1]!b_info_latestissurercreditrating(B7)</f>
        <v>AA</v>
      </c>
      <c r="F7" s="8">
        <f ca="1">[1]!b_anal_day(B7,$A$5)/365</f>
        <v>1.8767123287671232</v>
      </c>
      <c r="G7" s="9">
        <f ca="1">[1]!b_anal_yield_cnbd(B7,$A$5)</f>
        <v>0</v>
      </c>
      <c r="H7" s="9">
        <f t="shared" ca="1" si="0"/>
        <v>725</v>
      </c>
      <c r="I7" s="9">
        <f ca="1">[1]!b_anal_yield_cnbd(B7,$A$7)</f>
        <v>0</v>
      </c>
      <c r="J7" s="9">
        <f t="shared" ca="1" si="1"/>
        <v>0</v>
      </c>
      <c r="K7" s="1" t="str">
        <f>[1]!s_info_Nature(B7)</f>
        <v>民营企业</v>
      </c>
      <c r="L7" s="1" t="str">
        <f>[1]!b_info_windl1type(B7)</f>
        <v>中期票据</v>
      </c>
      <c r="M7" s="3">
        <f>[1]!b_info_couponrate(B7)</f>
        <v>6.27</v>
      </c>
      <c r="N7" s="2" t="str">
        <f>[1]!B_Info_ListedDate(B7)</f>
        <v>2016-07-28</v>
      </c>
      <c r="O7" s="2" t="str">
        <f>[1]!b_issue_firstissue(B7)</f>
        <v>2016-07-25</v>
      </c>
      <c r="P7" s="4">
        <f t="shared" ca="1" si="2"/>
        <v>42989</v>
      </c>
    </row>
    <row r="8" spans="1:16">
      <c r="B8" s="7" t="s">
        <v>888</v>
      </c>
      <c r="C8" s="7">
        <v>7</v>
      </c>
      <c r="D8" s="1" t="str">
        <f>[1]!b_info_name(B8)</f>
        <v>16兴城01</v>
      </c>
      <c r="E8" s="1" t="str">
        <f>[1]!b_info_latestissurercreditrating(B8)</f>
        <v>AA</v>
      </c>
      <c r="F8" s="8">
        <f ca="1">[1]!b_anal_day(B8,$A$5)/365</f>
        <v>3.3698630136986303</v>
      </c>
      <c r="G8" s="9">
        <f ca="1">[1]!b_anal_yield_cnbd(B8,$A$5)</f>
        <v>0</v>
      </c>
      <c r="H8" s="9">
        <f t="shared" ca="1" si="0"/>
        <v>700</v>
      </c>
      <c r="I8" s="9">
        <f ca="1">[1]!b_anal_yield_cnbd(B8,$A$7)</f>
        <v>0</v>
      </c>
      <c r="J8" s="9">
        <f t="shared" ca="1" si="1"/>
        <v>0</v>
      </c>
      <c r="K8" s="1" t="str">
        <f>[1]!s_info_Nature(B8)</f>
        <v>地方国有企业</v>
      </c>
      <c r="L8" s="1" t="str">
        <f>[1]!b_info_windl1type(B8)</f>
        <v>公司债</v>
      </c>
      <c r="M8" s="3">
        <f>[1]!b_info_couponrate(B8)</f>
        <v>6.28</v>
      </c>
      <c r="N8" s="2" t="str">
        <f>[1]!B_Info_ListedDate(B8)</f>
        <v>2016-02-05</v>
      </c>
      <c r="O8" s="2" t="str">
        <f>[1]!b_issue_firstissue(B8)</f>
        <v>2016-01-22</v>
      </c>
      <c r="P8" s="4">
        <f t="shared" ca="1" si="2"/>
        <v>42989</v>
      </c>
    </row>
    <row r="9" spans="1:16">
      <c r="B9" s="7" t="s">
        <v>889</v>
      </c>
      <c r="C9" s="7">
        <v>6.7</v>
      </c>
      <c r="D9" s="1" t="str">
        <f>[1]!b_info_name(B9)</f>
        <v>14美兰01</v>
      </c>
      <c r="E9" s="1" t="str">
        <f>[1]!b_info_latestissurercreditrating(B9)</f>
        <v>AA+</v>
      </c>
      <c r="F9" s="8">
        <f ca="1">[1]!b_anal_day(B9,$A$5)/365</f>
        <v>0</v>
      </c>
      <c r="G9" s="9">
        <f ca="1">[1]!b_anal_yield_cnbd(B9,$A$5)</f>
        <v>0</v>
      </c>
      <c r="H9" s="9">
        <f t="shared" ca="1" si="0"/>
        <v>670</v>
      </c>
      <c r="I9" s="9">
        <f ca="1">[1]!b_anal_yield_cnbd(B9,$A$7)</f>
        <v>0</v>
      </c>
      <c r="J9" s="9">
        <f t="shared" ca="1" si="1"/>
        <v>0</v>
      </c>
      <c r="K9" s="1" t="str">
        <f>[1]!s_info_Nature(B9)</f>
        <v>地方国有企业</v>
      </c>
      <c r="L9" s="1" t="str">
        <f>[1]!b_info_windl1type(B9)</f>
        <v>公司债</v>
      </c>
      <c r="M9" s="3">
        <f>[1]!b_info_couponrate(B9)</f>
        <v>9.6999999999999993</v>
      </c>
      <c r="N9" s="2" t="str">
        <f>[1]!B_Info_ListedDate(B9)</f>
        <v>2014-09-25</v>
      </c>
      <c r="O9" s="2" t="str">
        <f>[1]!b_issue_firstissue(B9)</f>
        <v>2014-09-05</v>
      </c>
      <c r="P9" s="4">
        <f t="shared" ca="1" si="2"/>
        <v>42989</v>
      </c>
    </row>
    <row r="10" spans="1:16">
      <c r="B10" s="7" t="s">
        <v>890</v>
      </c>
      <c r="C10" s="7">
        <v>6.7</v>
      </c>
      <c r="D10" s="1" t="str">
        <f>[1]!b_info_name(B10)</f>
        <v>14美兰02</v>
      </c>
      <c r="E10" s="1" t="str">
        <f>[1]!b_info_latestissurercreditrating(B10)</f>
        <v>AA+</v>
      </c>
      <c r="F10" s="8">
        <f ca="1">[1]!b_anal_day(B10,$A$5)/365</f>
        <v>3.5616438356164383E-2</v>
      </c>
      <c r="G10" s="9">
        <f ca="1">[1]!b_anal_yield_cnbd(B10,$A$5)</f>
        <v>0</v>
      </c>
      <c r="H10" s="9">
        <f t="shared" ca="1" si="0"/>
        <v>670</v>
      </c>
      <c r="I10" s="9">
        <f ca="1">[1]!b_anal_yield_cnbd(B10,$A$7)</f>
        <v>0</v>
      </c>
      <c r="J10" s="9">
        <f t="shared" ca="1" si="1"/>
        <v>0</v>
      </c>
      <c r="K10" s="1" t="str">
        <f>[1]!s_info_Nature(B10)</f>
        <v>地方国有企业</v>
      </c>
      <c r="L10" s="1" t="str">
        <f>[1]!b_info_windl1type(B10)</f>
        <v>公司债</v>
      </c>
      <c r="M10" s="3">
        <f>[1]!b_info_couponrate(B10)</f>
        <v>9.6999999999999993</v>
      </c>
      <c r="N10" s="2" t="str">
        <f>[1]!B_Info_ListedDate(B10)</f>
        <v>2014-10-23</v>
      </c>
      <c r="O10" s="2" t="str">
        <f>[1]!b_issue_firstissue(B10)</f>
        <v>2014-09-23</v>
      </c>
      <c r="P10" s="4">
        <f t="shared" ca="1" si="2"/>
        <v>42989</v>
      </c>
    </row>
    <row r="11" spans="1:16">
      <c r="B11" s="7" t="s">
        <v>690</v>
      </c>
      <c r="C11" s="7">
        <v>6.6</v>
      </c>
      <c r="D11" s="1" t="str">
        <f>[1]!b_info_name(B11)</f>
        <v>15龙光01</v>
      </c>
      <c r="E11" s="1" t="str">
        <f>[1]!b_info_latestissurercreditrating(B11)</f>
        <v>AA+</v>
      </c>
      <c r="F11" s="8">
        <f ca="1">[1]!b_anal_day(B11,$A$5)/365</f>
        <v>2.9424657534246577</v>
      </c>
      <c r="G11" s="9">
        <f ca="1">[1]!b_anal_yield_cnbd(B11,$A$5)</f>
        <v>0</v>
      </c>
      <c r="H11" s="9">
        <f t="shared" ca="1" si="0"/>
        <v>660</v>
      </c>
      <c r="I11" s="9">
        <f ca="1">[1]!b_anal_yield_cnbd(B11,$A$7)</f>
        <v>0</v>
      </c>
      <c r="J11" s="9">
        <f t="shared" ca="1" si="1"/>
        <v>0</v>
      </c>
      <c r="K11" s="1" t="str">
        <f>[1]!s_info_Nature(B11)</f>
        <v>外商独资企业</v>
      </c>
      <c r="L11" s="1" t="str">
        <f>[1]!b_info_windl1type(B11)</f>
        <v>公司债</v>
      </c>
      <c r="M11" s="3">
        <f>[1]!b_info_couponrate(B11)</f>
        <v>5</v>
      </c>
      <c r="N11" s="2" t="str">
        <f>[1]!B_Info_ListedDate(B11)</f>
        <v>2015-09-25</v>
      </c>
      <c r="O11" s="2" t="str">
        <f>[1]!b_issue_firstissue(B11)</f>
        <v>2015-08-18</v>
      </c>
      <c r="P11" s="4">
        <f t="shared" ca="1" si="2"/>
        <v>42989</v>
      </c>
    </row>
    <row r="12" spans="1:16">
      <c r="B12" s="7">
        <v>11767001</v>
      </c>
      <c r="C12" s="7">
        <v>6.4</v>
      </c>
      <c r="D12" s="1" t="str">
        <f>[1]!b_info_name(B12)</f>
        <v>17中融新大SCP001</v>
      </c>
      <c r="E12" s="1" t="str">
        <f>[1]!b_info_latestissurercreditrating(B12)</f>
        <v>AAA</v>
      </c>
      <c r="F12" s="8">
        <f ca="1">[1]!b_anal_day(B12,$A$5)/365</f>
        <v>8.2191780821917804E-2</v>
      </c>
      <c r="G12" s="9">
        <f ca="1">[1]!b_anal_yield_cnbd(B12,$A$5)</f>
        <v>0</v>
      </c>
      <c r="H12" s="9">
        <f t="shared" ca="1" si="0"/>
        <v>640</v>
      </c>
      <c r="I12" s="9">
        <f ca="1">[1]!b_anal_yield_cnbd(B12,$A$7)</f>
        <v>0</v>
      </c>
      <c r="J12" s="9">
        <f t="shared" ca="1" si="1"/>
        <v>0</v>
      </c>
      <c r="K12" s="1" t="str">
        <f>[1]!s_info_Nature(B12)</f>
        <v>民营企业</v>
      </c>
      <c r="L12" s="1" t="str">
        <f>[1]!b_info_windl1type(B12)</f>
        <v>短期融资券</v>
      </c>
      <c r="M12" s="3">
        <f>[1]!b_info_couponrate(B12)</f>
        <v>5.92</v>
      </c>
      <c r="N12" s="2" t="str">
        <f>[1]!B_Info_ListedDate(B12)</f>
        <v>2017-01-16</v>
      </c>
      <c r="O12" s="2" t="str">
        <f>[1]!b_issue_firstissue(B12)</f>
        <v>2017-01-11</v>
      </c>
      <c r="P12" s="4">
        <f t="shared" ca="1" si="2"/>
        <v>42989</v>
      </c>
    </row>
    <row r="13" spans="1:16">
      <c r="B13" s="7">
        <v>11767001</v>
      </c>
      <c r="C13" s="7">
        <v>6.4</v>
      </c>
      <c r="D13" s="1" t="str">
        <f>[1]!b_info_name(B13)</f>
        <v>17中融新大SCP001</v>
      </c>
      <c r="E13" s="1" t="str">
        <f>[1]!b_info_latestissurercreditrating(B13)</f>
        <v>AAA</v>
      </c>
      <c r="F13" s="8">
        <f ca="1">[1]!b_anal_day(B13,$A$5)/365</f>
        <v>8.2191780821917804E-2</v>
      </c>
      <c r="G13" s="9">
        <f ca="1">[1]!b_anal_yield_cnbd(B13,$A$5)</f>
        <v>0</v>
      </c>
      <c r="H13" s="9">
        <f t="shared" ca="1" si="0"/>
        <v>640</v>
      </c>
      <c r="I13" s="9">
        <f ca="1">[1]!b_anal_yield_cnbd(B13,$A$7)</f>
        <v>0</v>
      </c>
      <c r="J13" s="9">
        <f t="shared" ca="1" si="1"/>
        <v>0</v>
      </c>
      <c r="K13" s="1" t="str">
        <f>[1]!s_info_Nature(B13)</f>
        <v>民营企业</v>
      </c>
      <c r="L13" s="1" t="str">
        <f>[1]!b_info_windl1type(B13)</f>
        <v>短期融资券</v>
      </c>
      <c r="M13" s="3">
        <f>[1]!b_info_couponrate(B13)</f>
        <v>5.92</v>
      </c>
      <c r="N13" s="2" t="str">
        <f>[1]!B_Info_ListedDate(B13)</f>
        <v>2017-01-16</v>
      </c>
      <c r="O13" s="2" t="str">
        <f>[1]!b_issue_firstissue(B13)</f>
        <v>2017-01-11</v>
      </c>
      <c r="P13" s="4">
        <f t="shared" ca="1" si="2"/>
        <v>42989</v>
      </c>
    </row>
    <row r="14" spans="1:16">
      <c r="B14" s="7">
        <v>11767001</v>
      </c>
      <c r="C14" s="7">
        <v>6.4</v>
      </c>
      <c r="D14" s="1" t="str">
        <f>[1]!b_info_name(B14)</f>
        <v>17中融新大SCP001</v>
      </c>
      <c r="E14" s="1" t="str">
        <f>[1]!b_info_latestissurercreditrating(B14)</f>
        <v>AAA</v>
      </c>
      <c r="F14" s="8">
        <f ca="1">[1]!b_anal_day(B14,$A$5)/365</f>
        <v>8.2191780821917804E-2</v>
      </c>
      <c r="G14" s="9">
        <f ca="1">[1]!b_anal_yield_cnbd(B14,$A$5)</f>
        <v>0</v>
      </c>
      <c r="H14" s="9">
        <f t="shared" ca="1" si="0"/>
        <v>640</v>
      </c>
      <c r="I14" s="9">
        <f ca="1">[1]!b_anal_yield_cnbd(B14,$A$7)</f>
        <v>0</v>
      </c>
      <c r="J14" s="9">
        <f t="shared" ca="1" si="1"/>
        <v>0</v>
      </c>
      <c r="K14" s="1" t="str">
        <f>[1]!s_info_Nature(B14)</f>
        <v>民营企业</v>
      </c>
      <c r="L14" s="1" t="str">
        <f>[1]!b_info_windl1type(B14)</f>
        <v>短期融资券</v>
      </c>
      <c r="M14" s="3">
        <f>[1]!b_info_couponrate(B14)</f>
        <v>5.92</v>
      </c>
      <c r="N14" s="2" t="str">
        <f>[1]!B_Info_ListedDate(B14)</f>
        <v>2017-01-16</v>
      </c>
      <c r="O14" s="2" t="str">
        <f>[1]!b_issue_firstissue(B14)</f>
        <v>2017-01-11</v>
      </c>
      <c r="P14" s="4">
        <f t="shared" ca="1" si="2"/>
        <v>42989</v>
      </c>
    </row>
    <row r="15" spans="1:16">
      <c r="B15" s="7" t="s">
        <v>755</v>
      </c>
      <c r="C15" s="7">
        <v>6.37</v>
      </c>
      <c r="D15" s="1" t="str">
        <f>[1]!b_info_name(B15)</f>
        <v>15禹地产</v>
      </c>
      <c r="E15" s="1" t="str">
        <f>[1]!b_info_latestissurercreditrating(B15)</f>
        <v>AA</v>
      </c>
      <c r="F15" s="8">
        <f ca="1">[1]!b_anal_day(B15,$A$5)/365</f>
        <v>1.095890410958904</v>
      </c>
      <c r="G15" s="9">
        <f ca="1">[1]!b_anal_yield_cnbd(B15,$A$5)</f>
        <v>0</v>
      </c>
      <c r="H15" s="9">
        <f t="shared" ca="1" si="0"/>
        <v>637</v>
      </c>
      <c r="I15" s="9">
        <f ca="1">[1]!b_anal_yield_cnbd(B15,$A$7)</f>
        <v>0</v>
      </c>
      <c r="J15" s="9">
        <f t="shared" ca="1" si="1"/>
        <v>0</v>
      </c>
      <c r="K15" s="1" t="str">
        <f>[1]!s_info_Nature(B15)</f>
        <v>外商独资企业</v>
      </c>
      <c r="L15" s="1" t="str">
        <f>[1]!b_info_windl1type(B15)</f>
        <v>公司债</v>
      </c>
      <c r="M15" s="3">
        <f>[1]!b_info_couponrate(B15)</f>
        <v>6.7</v>
      </c>
      <c r="N15" s="2" t="str">
        <f>[1]!B_Info_ListedDate(B15)</f>
        <v>2015-11-26</v>
      </c>
      <c r="O15" s="2" t="str">
        <f>[1]!b_issue_firstissue(B15)</f>
        <v>2015-10-15</v>
      </c>
      <c r="P15" s="4">
        <f t="shared" ca="1" si="2"/>
        <v>42989</v>
      </c>
    </row>
    <row r="16" spans="1:16">
      <c r="B16" s="7">
        <v>101660076</v>
      </c>
      <c r="C16" s="7">
        <v>6.21</v>
      </c>
      <c r="D16" s="1" t="str">
        <f>[1]!b_info_name(B16)</f>
        <v>16陕煤化MTN001</v>
      </c>
      <c r="E16" s="1" t="str">
        <f>[1]!b_info_latestissurercreditrating(B16)</f>
        <v>AAA</v>
      </c>
      <c r="F16" s="8">
        <f ca="1">[1]!b_anal_day(B16,$A$5)/365</f>
        <v>4.2082191780821914</v>
      </c>
      <c r="G16" s="9">
        <f ca="1">[1]!b_anal_yield_cnbd(B16,$A$5)</f>
        <v>0</v>
      </c>
      <c r="H16" s="9">
        <f t="shared" ca="1" si="0"/>
        <v>621</v>
      </c>
      <c r="I16" s="9">
        <f ca="1">[1]!b_anal_yield_cnbd(B16,$A$7)</f>
        <v>0</v>
      </c>
      <c r="J16" s="9">
        <f t="shared" ca="1" si="1"/>
        <v>0</v>
      </c>
      <c r="K16" s="1" t="str">
        <f>[1]!s_info_Nature(B16)</f>
        <v>地方国有企业</v>
      </c>
      <c r="L16" s="1" t="str">
        <f>[1]!b_info_windl1type(B16)</f>
        <v>中期票据</v>
      </c>
      <c r="M16" s="3">
        <f>[1]!b_info_couponrate(B16)</f>
        <v>5.19</v>
      </c>
      <c r="N16" s="2" t="str">
        <f>[1]!B_Info_ListedDate(B16)</f>
        <v>2016-11-25</v>
      </c>
      <c r="O16" s="2" t="str">
        <f>[1]!b_issue_firstissue(B16)</f>
        <v>2016-11-22</v>
      </c>
      <c r="P16" s="4">
        <f t="shared" ca="1" si="2"/>
        <v>42989</v>
      </c>
    </row>
    <row r="17" spans="2:16">
      <c r="B17" s="7">
        <v>101660076</v>
      </c>
      <c r="C17" s="7">
        <v>6.21</v>
      </c>
      <c r="D17" s="1" t="str">
        <f>[1]!b_info_name(B17)</f>
        <v>16陕煤化MTN001</v>
      </c>
      <c r="E17" s="1" t="str">
        <f>[1]!b_info_latestissurercreditrating(B17)</f>
        <v>AAA</v>
      </c>
      <c r="F17" s="8">
        <f ca="1">[1]!b_anal_day(B17,$A$5)/365</f>
        <v>4.2082191780821914</v>
      </c>
      <c r="G17" s="9">
        <f ca="1">[1]!b_anal_yield_cnbd(B17,$A$5)</f>
        <v>0</v>
      </c>
      <c r="H17" s="9">
        <f t="shared" ca="1" si="0"/>
        <v>621</v>
      </c>
      <c r="I17" s="9">
        <f ca="1">[1]!b_anal_yield_cnbd(B17,$A$7)</f>
        <v>0</v>
      </c>
      <c r="J17" s="9">
        <f t="shared" ca="1" si="1"/>
        <v>0</v>
      </c>
      <c r="K17" s="1" t="str">
        <f>[1]!s_info_Nature(B17)</f>
        <v>地方国有企业</v>
      </c>
      <c r="L17" s="1" t="str">
        <f>[1]!b_info_windl1type(B17)</f>
        <v>中期票据</v>
      </c>
      <c r="M17" s="3">
        <f>[1]!b_info_couponrate(B17)</f>
        <v>5.19</v>
      </c>
      <c r="N17" s="2" t="str">
        <f>[1]!B_Info_ListedDate(B17)</f>
        <v>2016-11-25</v>
      </c>
      <c r="O17" s="2" t="str">
        <f>[1]!b_issue_firstissue(B17)</f>
        <v>2016-11-22</v>
      </c>
      <c r="P17" s="4">
        <f t="shared" ca="1" si="2"/>
        <v>42989</v>
      </c>
    </row>
    <row r="18" spans="2:16">
      <c r="B18" s="7">
        <v>41654061</v>
      </c>
      <c r="C18" s="7">
        <v>6.1</v>
      </c>
      <c r="D18" s="1" t="str">
        <f>[1]!b_info_name(B18)</f>
        <v>16大全CP001</v>
      </c>
      <c r="E18" s="1" t="str">
        <f>[1]!b_info_latestissurercreditrating(B18)</f>
        <v>AA</v>
      </c>
      <c r="F18" s="8">
        <f ca="1">[1]!b_anal_day(B18,$A$5)/365</f>
        <v>3.0136986301369864E-2</v>
      </c>
      <c r="G18" s="9">
        <f ca="1">[1]!b_anal_yield_cnbd(B18,$A$5)</f>
        <v>0</v>
      </c>
      <c r="H18" s="9">
        <f t="shared" ca="1" si="0"/>
        <v>610</v>
      </c>
      <c r="I18" s="9">
        <f ca="1">[1]!b_anal_yield_cnbd(B18,$A$7)</f>
        <v>0</v>
      </c>
      <c r="J18" s="9">
        <f t="shared" ca="1" si="1"/>
        <v>0</v>
      </c>
      <c r="K18" s="1" t="str">
        <f>[1]!s_info_Nature(B18)</f>
        <v>民营企业</v>
      </c>
      <c r="L18" s="1" t="str">
        <f>[1]!b_info_windl1type(B18)</f>
        <v>短期融资券</v>
      </c>
      <c r="M18" s="3">
        <f>[1]!b_info_couponrate(B18)</f>
        <v>4.8899999999999997</v>
      </c>
      <c r="N18" s="2" t="str">
        <f>[1]!B_Info_ListedDate(B18)</f>
        <v>2016-09-22</v>
      </c>
      <c r="O18" s="2" t="str">
        <f>[1]!b_issue_firstissue(B18)</f>
        <v>2016-09-20</v>
      </c>
      <c r="P18" s="4">
        <f t="shared" ca="1" si="2"/>
        <v>42989</v>
      </c>
    </row>
    <row r="19" spans="2:16">
      <c r="B19" s="7">
        <v>41669003</v>
      </c>
      <c r="C19" s="7">
        <v>6.08</v>
      </c>
      <c r="D19" s="1" t="str">
        <f>[1]!b_info_name(B19)</f>
        <v>16垦利石化CP001</v>
      </c>
      <c r="E19" s="1" t="str">
        <f>[1]!b_info_latestissurercreditrating(B19)</f>
        <v>AA</v>
      </c>
      <c r="F19" s="8">
        <f ca="1">[1]!b_anal_day(B19,$A$5)/365</f>
        <v>0</v>
      </c>
      <c r="G19" s="9">
        <f ca="1">[1]!b_anal_yield_cnbd(B19,$A$5)</f>
        <v>0</v>
      </c>
      <c r="H19" s="9">
        <f t="shared" ca="1" si="0"/>
        <v>608</v>
      </c>
      <c r="I19" s="9">
        <f ca="1">[1]!b_anal_yield_cnbd(B19,$A$7)</f>
        <v>0</v>
      </c>
      <c r="J19" s="9">
        <f t="shared" ca="1" si="1"/>
        <v>0</v>
      </c>
      <c r="K19" s="1" t="str">
        <f>[1]!s_info_Nature(B19)</f>
        <v>集体企业</v>
      </c>
      <c r="L19" s="1" t="str">
        <f>[1]!b_info_windl1type(B19)</f>
        <v>短期融资券</v>
      </c>
      <c r="M19" s="3">
        <f>[1]!b_info_couponrate(B19)</f>
        <v>5.68</v>
      </c>
      <c r="N19" s="2" t="str">
        <f>[1]!B_Info_ListedDate(B19)</f>
        <v>2016-06-12</v>
      </c>
      <c r="O19" s="2" t="str">
        <f>[1]!b_issue_firstissue(B19)</f>
        <v>2016-06-06</v>
      </c>
      <c r="P19" s="4">
        <f t="shared" ca="1" si="2"/>
        <v>42989</v>
      </c>
    </row>
    <row r="20" spans="2:16">
      <c r="B20" s="7">
        <v>101560061</v>
      </c>
      <c r="C20" s="7">
        <v>6</v>
      </c>
      <c r="D20" s="1" t="str">
        <f>[1]!b_info_name(B20)</f>
        <v>15陕煤化MTN003</v>
      </c>
      <c r="E20" s="1" t="str">
        <f>[1]!b_info_latestissurercreditrating(B20)</f>
        <v>AAA</v>
      </c>
      <c r="F20" s="8">
        <f ca="1">[1]!b_anal_day(B20,$A$5)/365</f>
        <v>3.1205479452054794</v>
      </c>
      <c r="G20" s="9">
        <f ca="1">[1]!b_anal_yield_cnbd(B20,$A$5)</f>
        <v>0</v>
      </c>
      <c r="H20" s="9">
        <f t="shared" ca="1" si="0"/>
        <v>600</v>
      </c>
      <c r="I20" s="9">
        <f ca="1">[1]!b_anal_yield_cnbd(B20,$A$7)</f>
        <v>0</v>
      </c>
      <c r="J20" s="9">
        <f t="shared" ca="1" si="1"/>
        <v>0</v>
      </c>
      <c r="K20" s="1" t="str">
        <f>[1]!s_info_Nature(B20)</f>
        <v>地方国有企业</v>
      </c>
      <c r="L20" s="1" t="str">
        <f>[1]!b_info_windl1type(B20)</f>
        <v>中期票据</v>
      </c>
      <c r="M20" s="3">
        <f>[1]!b_info_couponrate(B20)</f>
        <v>4.95</v>
      </c>
      <c r="N20" s="2" t="str">
        <f>[1]!B_Info_ListedDate(B20)</f>
        <v>2015-10-26</v>
      </c>
      <c r="O20" s="2" t="str">
        <f>[1]!b_issue_firstissue(B20)</f>
        <v>2015-10-22</v>
      </c>
      <c r="P20" s="4">
        <f t="shared" ca="1" si="2"/>
        <v>42989</v>
      </c>
    </row>
    <row r="21" spans="2:16">
      <c r="B21" s="7">
        <v>101560061</v>
      </c>
      <c r="C21" s="7">
        <v>5.97</v>
      </c>
      <c r="D21" s="1" t="str">
        <f>[1]!b_info_name(B21)</f>
        <v>15陕煤化MTN003</v>
      </c>
      <c r="E21" s="1" t="str">
        <f>[1]!b_info_latestissurercreditrating(B21)</f>
        <v>AAA</v>
      </c>
      <c r="F21" s="8">
        <f ca="1">[1]!b_anal_day(B21,$A$5)/365</f>
        <v>3.1205479452054794</v>
      </c>
      <c r="G21" s="9">
        <f ca="1">[1]!b_anal_yield_cnbd(B21,$A$5)</f>
        <v>0</v>
      </c>
      <c r="H21" s="9">
        <f t="shared" ca="1" si="0"/>
        <v>597</v>
      </c>
      <c r="I21" s="9">
        <f ca="1">[1]!b_anal_yield_cnbd(B21,$A$7)</f>
        <v>0</v>
      </c>
      <c r="J21" s="9">
        <f t="shared" ca="1" si="1"/>
        <v>0</v>
      </c>
      <c r="K21" s="1" t="str">
        <f>[1]!s_info_Nature(B21)</f>
        <v>地方国有企业</v>
      </c>
      <c r="L21" s="1" t="str">
        <f>[1]!b_info_windl1type(B21)</f>
        <v>中期票据</v>
      </c>
      <c r="M21" s="3">
        <f>[1]!b_info_couponrate(B21)</f>
        <v>4.95</v>
      </c>
      <c r="N21" s="2" t="str">
        <f>[1]!B_Info_ListedDate(B21)</f>
        <v>2015-10-26</v>
      </c>
      <c r="O21" s="2" t="str">
        <f>[1]!b_issue_firstissue(B21)</f>
        <v>2015-10-22</v>
      </c>
      <c r="P21" s="4">
        <f t="shared" ca="1" si="2"/>
        <v>42989</v>
      </c>
    </row>
    <row r="22" spans="2:16">
      <c r="B22" s="7">
        <v>101759020</v>
      </c>
      <c r="C22" s="7">
        <v>5.85</v>
      </c>
      <c r="D22" s="1" t="str">
        <f>[1]!b_info_name(B22)</f>
        <v>17陕西能源MTN001</v>
      </c>
      <c r="E22" s="1" t="str">
        <f>[1]!b_info_latestissurercreditrating(B22)</f>
        <v>AAA</v>
      </c>
      <c r="F22" s="8">
        <f ca="1">[1]!b_anal_day(B22,$A$5)/365</f>
        <v>2.5890410958904111</v>
      </c>
      <c r="G22" s="9">
        <f ca="1">[1]!b_anal_yield_cnbd(B22,$A$5)</f>
        <v>0</v>
      </c>
      <c r="H22" s="9">
        <f t="shared" ca="1" si="0"/>
        <v>585</v>
      </c>
      <c r="I22" s="9">
        <f ca="1">[1]!b_anal_yield_cnbd(B22,$A$7)</f>
        <v>0</v>
      </c>
      <c r="J22" s="9">
        <f t="shared" ca="1" si="1"/>
        <v>0</v>
      </c>
      <c r="K22" s="1" t="str">
        <f>[1]!s_info_Nature(B22)</f>
        <v>地方国有企业</v>
      </c>
      <c r="L22" s="1" t="str">
        <f>[1]!b_info_windl1type(B22)</f>
        <v>中期票据</v>
      </c>
      <c r="M22" s="3">
        <f>[1]!b_info_couponrate(B22)</f>
        <v>5.34</v>
      </c>
      <c r="N22" s="2" t="str">
        <f>[1]!B_Info_ListedDate(B22)</f>
        <v>2017-04-13</v>
      </c>
      <c r="O22" s="2" t="str">
        <f>[1]!b_issue_firstissue(B22)</f>
        <v>2017-04-10</v>
      </c>
      <c r="P22" s="4">
        <f t="shared" ca="1" si="2"/>
        <v>42989</v>
      </c>
    </row>
    <row r="23" spans="2:16">
      <c r="B23" s="7">
        <v>101759020</v>
      </c>
      <c r="C23" s="7">
        <v>5.85</v>
      </c>
      <c r="D23" s="1" t="str">
        <f>[1]!b_info_name(B23)</f>
        <v>17陕西能源MTN001</v>
      </c>
      <c r="E23" s="1" t="str">
        <f>[1]!b_info_latestissurercreditrating(B23)</f>
        <v>AAA</v>
      </c>
      <c r="F23" s="8">
        <f ca="1">[1]!b_anal_day(B23,$A$5)/365</f>
        <v>2.5890410958904111</v>
      </c>
      <c r="G23" s="9">
        <f ca="1">[1]!b_anal_yield_cnbd(B23,$A$5)</f>
        <v>0</v>
      </c>
      <c r="H23" s="9">
        <f t="shared" ca="1" si="0"/>
        <v>585</v>
      </c>
      <c r="I23" s="9">
        <f ca="1">[1]!b_anal_yield_cnbd(B23,$A$7)</f>
        <v>0</v>
      </c>
      <c r="J23" s="9">
        <f t="shared" ca="1" si="1"/>
        <v>0</v>
      </c>
      <c r="K23" s="1" t="str">
        <f>[1]!s_info_Nature(B23)</f>
        <v>地方国有企业</v>
      </c>
      <c r="L23" s="1" t="str">
        <f>[1]!b_info_windl1type(B23)</f>
        <v>中期票据</v>
      </c>
      <c r="M23" s="3">
        <f>[1]!b_info_couponrate(B23)</f>
        <v>5.34</v>
      </c>
      <c r="N23" s="2" t="str">
        <f>[1]!B_Info_ListedDate(B23)</f>
        <v>2017-04-13</v>
      </c>
      <c r="O23" s="2" t="str">
        <f>[1]!b_issue_firstissue(B23)</f>
        <v>2017-04-10</v>
      </c>
      <c r="P23" s="4">
        <f t="shared" ca="1" si="2"/>
        <v>42989</v>
      </c>
    </row>
    <row r="24" spans="2:16">
      <c r="B24" s="7">
        <v>1480550</v>
      </c>
      <c r="C24" s="7">
        <v>5.81</v>
      </c>
      <c r="D24" s="1" t="str">
        <f>[1]!b_info_name(B24)</f>
        <v>14玉环交投债01</v>
      </c>
      <c r="E24" s="1" t="str">
        <f>[1]!b_info_latestissurercreditrating(B24)</f>
        <v>AA</v>
      </c>
      <c r="F24" s="8">
        <f ca="1">[1]!b_anal_day(B24,$A$5)/365</f>
        <v>4.1506849315068495</v>
      </c>
      <c r="G24" s="9">
        <f ca="1">[1]!b_anal_yield_cnbd(B24,$A$5)</f>
        <v>0</v>
      </c>
      <c r="H24" s="9">
        <f t="shared" ca="1" si="0"/>
        <v>581</v>
      </c>
      <c r="I24" s="9">
        <f ca="1">[1]!b_anal_yield_cnbd(B24,$A$7)</f>
        <v>0</v>
      </c>
      <c r="J24" s="9">
        <f t="shared" ca="1" si="1"/>
        <v>0</v>
      </c>
      <c r="K24" s="1" t="str">
        <f>[1]!s_info_Nature(B24)</f>
        <v>地方国有企业</v>
      </c>
      <c r="L24" s="1" t="str">
        <f>[1]!b_info_windl1type(B24)</f>
        <v>企业债</v>
      </c>
      <c r="M24" s="3">
        <f>[1]!b_info_couponrate(B24)</f>
        <v>5.65</v>
      </c>
      <c r="N24" s="2" t="str">
        <f>[1]!B_Info_ListedDate(B24)</f>
        <v>2014-11-12</v>
      </c>
      <c r="O24" s="2" t="str">
        <f>[1]!b_issue_firstissue(B24)</f>
        <v>2014-10-31</v>
      </c>
      <c r="P24" s="4">
        <f t="shared" ca="1" si="2"/>
        <v>42989</v>
      </c>
    </row>
    <row r="25" spans="2:16">
      <c r="B25" s="7">
        <v>1480550</v>
      </c>
      <c r="C25" s="7">
        <v>5.81</v>
      </c>
      <c r="D25" s="1" t="str">
        <f>[1]!b_info_name(B25)</f>
        <v>14玉环交投债01</v>
      </c>
      <c r="E25" s="1" t="str">
        <f>[1]!b_info_latestissurercreditrating(B25)</f>
        <v>AA</v>
      </c>
      <c r="F25" s="8">
        <f ca="1">[1]!b_anal_day(B25,$A$5)/365</f>
        <v>4.1506849315068495</v>
      </c>
      <c r="G25" s="9">
        <f ca="1">[1]!b_anal_yield_cnbd(B25,$A$5)</f>
        <v>0</v>
      </c>
      <c r="H25" s="9">
        <f t="shared" ca="1" si="0"/>
        <v>581</v>
      </c>
      <c r="I25" s="9">
        <f ca="1">[1]!b_anal_yield_cnbd(B25,$A$7)</f>
        <v>0</v>
      </c>
      <c r="J25" s="9">
        <f t="shared" ca="1" si="1"/>
        <v>0</v>
      </c>
      <c r="K25" s="1" t="str">
        <f>[1]!s_info_Nature(B25)</f>
        <v>地方国有企业</v>
      </c>
      <c r="L25" s="1" t="str">
        <f>[1]!b_info_windl1type(B25)</f>
        <v>企业债</v>
      </c>
      <c r="M25" s="3">
        <f>[1]!b_info_couponrate(B25)</f>
        <v>5.65</v>
      </c>
      <c r="N25" s="2" t="str">
        <f>[1]!B_Info_ListedDate(B25)</f>
        <v>2014-11-12</v>
      </c>
      <c r="O25" s="2" t="str">
        <f>[1]!b_issue_firstissue(B25)</f>
        <v>2014-10-31</v>
      </c>
      <c r="P25" s="4">
        <f t="shared" ca="1" si="2"/>
        <v>42989</v>
      </c>
    </row>
    <row r="26" spans="2:16">
      <c r="B26" s="7">
        <v>31687003</v>
      </c>
      <c r="C26" s="7">
        <v>5.8</v>
      </c>
      <c r="D26" s="1" t="str">
        <f>[1]!b_info_name(B26)</f>
        <v>16兖矿PPN001A</v>
      </c>
      <c r="E26" s="1" t="str">
        <f>[1]!b_info_latestissurercreditrating(B26)</f>
        <v>AAA</v>
      </c>
      <c r="F26" s="8">
        <f ca="1">[1]!b_anal_day(B26,$A$5)/365</f>
        <v>2.2027397260273971</v>
      </c>
      <c r="G26" s="9">
        <f ca="1">[1]!b_anal_yield_cnbd(B26,$A$5)</f>
        <v>0</v>
      </c>
      <c r="H26" s="9">
        <f t="shared" ca="1" si="0"/>
        <v>580</v>
      </c>
      <c r="I26" s="9">
        <f ca="1">[1]!b_anal_yield_cnbd(B26,$A$7)</f>
        <v>0</v>
      </c>
      <c r="J26" s="9">
        <f t="shared" ca="1" si="1"/>
        <v>0</v>
      </c>
      <c r="K26" s="1" t="str">
        <f>[1]!s_info_Nature(B26)</f>
        <v>地方国有企业</v>
      </c>
      <c r="L26" s="1" t="str">
        <f>[1]!b_info_windl1type(B26)</f>
        <v>定向工具</v>
      </c>
      <c r="M26" s="3">
        <f>[1]!b_info_couponrate(B26)</f>
        <v>5.62</v>
      </c>
      <c r="N26" s="2">
        <f>[1]!B_Info_ListedDate(B26)</f>
        <v>0</v>
      </c>
      <c r="O26" s="2" t="str">
        <f>[1]!b_issue_firstissue(B26)</f>
        <v>2016-11-18</v>
      </c>
      <c r="P26" s="4">
        <f t="shared" ca="1" si="2"/>
        <v>42989</v>
      </c>
    </row>
    <row r="27" spans="2:16">
      <c r="B27" s="7">
        <v>101662006</v>
      </c>
      <c r="C27" s="7">
        <v>5.66</v>
      </c>
      <c r="D27" s="1" t="str">
        <f>[1]!b_info_name(B27)</f>
        <v>16中油金鸿MTN001</v>
      </c>
      <c r="E27" s="1" t="str">
        <f>[1]!b_info_latestissurercreditrating(B27)</f>
        <v>AA</v>
      </c>
      <c r="F27" s="8">
        <f ca="1">[1]!b_anal_day(B27,$A$5)/365</f>
        <v>1.3479452054794521</v>
      </c>
      <c r="G27" s="9">
        <f ca="1">[1]!b_anal_yield_cnbd(B27,$A$5)</f>
        <v>0</v>
      </c>
      <c r="H27" s="9">
        <f t="shared" ca="1" si="0"/>
        <v>566</v>
      </c>
      <c r="I27" s="9">
        <f ca="1">[1]!b_anal_yield_cnbd(B27,$A$7)</f>
        <v>0</v>
      </c>
      <c r="J27" s="9">
        <f t="shared" ca="1" si="1"/>
        <v>0</v>
      </c>
      <c r="K27" s="1" t="str">
        <f>[1]!s_info_Nature(B27)</f>
        <v>民营企业</v>
      </c>
      <c r="L27" s="1" t="str">
        <f>[1]!b_info_windl1type(B27)</f>
        <v>中期票据</v>
      </c>
      <c r="M27" s="3">
        <f>[1]!b_info_couponrate(B27)</f>
        <v>5</v>
      </c>
      <c r="N27" s="2" t="str">
        <f>[1]!B_Info_ListedDate(B27)</f>
        <v>2016-01-18</v>
      </c>
      <c r="O27" s="2" t="str">
        <f>[1]!b_issue_firstissue(B27)</f>
        <v>2016-01-14</v>
      </c>
      <c r="P27" s="4">
        <f t="shared" ca="1" si="2"/>
        <v>42989</v>
      </c>
    </row>
    <row r="28" spans="2:16">
      <c r="B28" s="7">
        <v>136009</v>
      </c>
      <c r="C28" s="7">
        <v>5.6</v>
      </c>
      <c r="D28" s="1" t="str">
        <f>[1]!b_info_name(B28)</f>
        <v>15红星01</v>
      </c>
      <c r="E28" s="1" t="str">
        <f>[1]!b_info_latestissurercreditrating(B28)</f>
        <v>AA+</v>
      </c>
      <c r="F28" s="8">
        <f ca="1">[1]!b_anal_day(B28,$A$5)/365</f>
        <v>3.1342465753424658</v>
      </c>
      <c r="G28" s="9">
        <f ca="1">[1]!b_anal_yield_cnbd(B28,$A$5)</f>
        <v>0</v>
      </c>
      <c r="H28" s="9">
        <f t="shared" ca="1" si="0"/>
        <v>560</v>
      </c>
      <c r="I28" s="9">
        <f ca="1">[1]!b_anal_yield_cnbd(B28,$A$7)</f>
        <v>0</v>
      </c>
      <c r="J28" s="9">
        <f t="shared" ca="1" si="1"/>
        <v>0</v>
      </c>
      <c r="K28" s="1" t="str">
        <f>[1]!s_info_Nature(B28)</f>
        <v>民营企业</v>
      </c>
      <c r="L28" s="1" t="str">
        <f>[1]!b_info_windl1type(B28)</f>
        <v>公司债</v>
      </c>
      <c r="M28" s="3">
        <f>[1]!b_info_couponrate(B28)</f>
        <v>4.37</v>
      </c>
      <c r="N28" s="2" t="str">
        <f>[1]!B_Info_ListedDate(B28)</f>
        <v>2015-12-30</v>
      </c>
      <c r="O28" s="2" t="str">
        <f>[1]!b_issue_firstissue(B28)</f>
        <v>2015-10-27</v>
      </c>
      <c r="P28" s="4">
        <f t="shared" ca="1" si="2"/>
        <v>42989</v>
      </c>
    </row>
    <row r="29" spans="2:16">
      <c r="B29" s="7">
        <v>136009</v>
      </c>
      <c r="C29" s="7">
        <v>5.6</v>
      </c>
      <c r="D29" s="1" t="str">
        <f>[1]!b_info_name(B29)</f>
        <v>15红星01</v>
      </c>
      <c r="E29" s="1" t="str">
        <f>[1]!b_info_latestissurercreditrating(B29)</f>
        <v>AA+</v>
      </c>
      <c r="F29" s="8">
        <f ca="1">[1]!b_anal_day(B29,$A$5)/365</f>
        <v>3.1342465753424658</v>
      </c>
      <c r="G29" s="9">
        <f ca="1">[1]!b_anal_yield_cnbd(B29,$A$5)</f>
        <v>0</v>
      </c>
      <c r="H29" s="9">
        <f t="shared" ca="1" si="0"/>
        <v>560</v>
      </c>
      <c r="I29" s="9">
        <f ca="1">[1]!b_anal_yield_cnbd(B29,$A$7)</f>
        <v>0</v>
      </c>
      <c r="J29" s="9">
        <f t="shared" ca="1" si="1"/>
        <v>0</v>
      </c>
      <c r="K29" s="1" t="str">
        <f>[1]!s_info_Nature(B29)</f>
        <v>民营企业</v>
      </c>
      <c r="L29" s="1" t="str">
        <f>[1]!b_info_windl1type(B29)</f>
        <v>公司债</v>
      </c>
      <c r="M29" s="3">
        <f>[1]!b_info_couponrate(B29)</f>
        <v>4.37</v>
      </c>
      <c r="N29" s="2" t="str">
        <f>[1]!B_Info_ListedDate(B29)</f>
        <v>2015-12-30</v>
      </c>
      <c r="O29" s="2" t="str">
        <f>[1]!b_issue_firstissue(B29)</f>
        <v>2015-10-27</v>
      </c>
      <c r="P29" s="4">
        <f t="shared" ca="1" si="2"/>
        <v>42989</v>
      </c>
    </row>
    <row r="30" spans="2:16">
      <c r="B30" s="7">
        <v>101658038</v>
      </c>
      <c r="C30" s="7">
        <v>5.6</v>
      </c>
      <c r="D30" s="1" t="str">
        <f>[1]!b_info_name(B30)</f>
        <v>16连云港MTN002</v>
      </c>
      <c r="E30" s="1" t="str">
        <f>[1]!b_info_latestissurercreditrating(B30)</f>
        <v>AA+</v>
      </c>
      <c r="F30" s="8">
        <f ca="1">[1]!b_anal_day(B30,$A$5)/365</f>
        <v>1.9013698630136986</v>
      </c>
      <c r="G30" s="9">
        <f ca="1">[1]!b_anal_yield_cnbd(B30,$A$5)</f>
        <v>0</v>
      </c>
      <c r="H30" s="9">
        <f t="shared" ca="1" si="0"/>
        <v>560</v>
      </c>
      <c r="I30" s="9">
        <f ca="1">[1]!b_anal_yield_cnbd(B30,$A$7)</f>
        <v>0</v>
      </c>
      <c r="J30" s="9">
        <f t="shared" ca="1" si="1"/>
        <v>0</v>
      </c>
      <c r="K30" s="1" t="str">
        <f>[1]!s_info_Nature(B30)</f>
        <v>地方国有企业</v>
      </c>
      <c r="L30" s="1" t="str">
        <f>[1]!b_info_windl1type(B30)</f>
        <v>中期票据</v>
      </c>
      <c r="M30" s="3">
        <f>[1]!b_info_couponrate(B30)</f>
        <v>3.99</v>
      </c>
      <c r="N30" s="2" t="str">
        <f>[1]!B_Info_ListedDate(B30)</f>
        <v>2016-08-08</v>
      </c>
      <c r="O30" s="2" t="str">
        <f>[1]!b_issue_firstissue(B30)</f>
        <v>2016-08-03</v>
      </c>
      <c r="P30" s="4">
        <f t="shared" ca="1" si="2"/>
        <v>42989</v>
      </c>
    </row>
    <row r="31" spans="2:16">
      <c r="B31" s="7" t="s">
        <v>496</v>
      </c>
      <c r="C31" s="7">
        <v>5.6</v>
      </c>
      <c r="D31" s="1" t="str">
        <f>[1]!b_info_name(B31)</f>
        <v>15淮水01</v>
      </c>
      <c r="E31" s="1" t="str">
        <f>[1]!b_info_latestissurercreditrating(B31)</f>
        <v>AA+</v>
      </c>
      <c r="F31" s="8">
        <f ca="1">[1]!b_anal_day(B31,$A$5)/365</f>
        <v>3.2657534246575342</v>
      </c>
      <c r="G31" s="9">
        <f ca="1">[1]!b_anal_yield_cnbd(B31,$A$5)</f>
        <v>0</v>
      </c>
      <c r="H31" s="9">
        <f t="shared" ca="1" si="0"/>
        <v>560</v>
      </c>
      <c r="I31" s="9">
        <f ca="1">[1]!b_anal_yield_cnbd(B31,$A$7)</f>
        <v>0</v>
      </c>
      <c r="J31" s="9">
        <f t="shared" ca="1" si="1"/>
        <v>0</v>
      </c>
      <c r="K31" s="1" t="str">
        <f>[1]!s_info_Nature(B31)</f>
        <v>地方国有企业</v>
      </c>
      <c r="L31" s="1" t="str">
        <f>[1]!b_info_windl1type(B31)</f>
        <v>公司债</v>
      </c>
      <c r="M31" s="3">
        <f>[1]!b_info_couponrate(B31)</f>
        <v>5.5</v>
      </c>
      <c r="N31" s="2" t="str">
        <f>[1]!B_Info_ListedDate(B31)</f>
        <v>2016-01-04</v>
      </c>
      <c r="O31" s="2" t="str">
        <f>[1]!b_issue_firstissue(B31)</f>
        <v>2015-12-14</v>
      </c>
      <c r="P31" s="4">
        <f t="shared" ca="1" si="2"/>
        <v>42989</v>
      </c>
    </row>
    <row r="32" spans="2:16">
      <c r="B32" s="7" t="s">
        <v>891</v>
      </c>
      <c r="C32" s="7">
        <v>5.6</v>
      </c>
      <c r="D32" s="1" t="str">
        <f>[1]!b_info_name(B32)</f>
        <v>16新业01</v>
      </c>
      <c r="E32" s="1" t="str">
        <f>[1]!b_info_latestissurercreditrating(B32)</f>
        <v>AA+</v>
      </c>
      <c r="F32" s="8">
        <f ca="1">[1]!b_anal_day(B32,$A$5)/365</f>
        <v>5.3808219178082188</v>
      </c>
      <c r="G32" s="9">
        <f ca="1">[1]!b_anal_yield_cnbd(B32,$A$5)</f>
        <v>0</v>
      </c>
      <c r="H32" s="9">
        <f t="shared" ca="1" si="0"/>
        <v>560</v>
      </c>
      <c r="I32" s="9">
        <f ca="1">[1]!b_anal_yield_cnbd(B32,$A$7)</f>
        <v>0</v>
      </c>
      <c r="J32" s="9">
        <f t="shared" ca="1" si="1"/>
        <v>0</v>
      </c>
      <c r="K32" s="1" t="str">
        <f>[1]!s_info_Nature(B32)</f>
        <v>地方国有企业</v>
      </c>
      <c r="L32" s="1" t="str">
        <f>[1]!b_info_windl1type(B32)</f>
        <v>公司债</v>
      </c>
      <c r="M32" s="3">
        <f>[1]!b_info_couponrate(B32)</f>
        <v>4.38</v>
      </c>
      <c r="N32" s="2" t="str">
        <f>[1]!B_Info_ListedDate(B32)</f>
        <v>2016-02-26</v>
      </c>
      <c r="O32" s="2" t="str">
        <f>[1]!b_issue_firstissue(B32)</f>
        <v>2016-01-25</v>
      </c>
      <c r="P32" s="4">
        <f t="shared" ca="1" si="2"/>
        <v>42989</v>
      </c>
    </row>
    <row r="33" spans="2:16">
      <c r="B33" s="7">
        <v>101671006</v>
      </c>
      <c r="C33" s="7">
        <v>5.6</v>
      </c>
      <c r="D33" s="1" t="str">
        <f>[1]!b_info_name(B33)</f>
        <v>16南通经开MTN001</v>
      </c>
      <c r="E33" s="1" t="str">
        <f>[1]!b_info_latestissurercreditrating(B33)</f>
        <v>AA+</v>
      </c>
      <c r="F33" s="8">
        <f ca="1">[1]!b_anal_day(B33,$A$5)/365</f>
        <v>3.5123287671232877</v>
      </c>
      <c r="G33" s="9">
        <f ca="1">[1]!b_anal_yield_cnbd(B33,$A$5)</f>
        <v>0</v>
      </c>
      <c r="H33" s="9">
        <f t="shared" ca="1" si="0"/>
        <v>560</v>
      </c>
      <c r="I33" s="9">
        <f ca="1">[1]!b_anal_yield_cnbd(B33,$A$7)</f>
        <v>0</v>
      </c>
      <c r="J33" s="9">
        <f t="shared" ca="1" si="1"/>
        <v>0</v>
      </c>
      <c r="K33" s="1" t="str">
        <f>[1]!s_info_Nature(B33)</f>
        <v>地方国有企业</v>
      </c>
      <c r="L33" s="1" t="str">
        <f>[1]!b_info_windl1type(B33)</f>
        <v>中期票据</v>
      </c>
      <c r="M33" s="3">
        <f>[1]!b_info_couponrate(B33)</f>
        <v>3.9</v>
      </c>
      <c r="N33" s="2" t="str">
        <f>[1]!B_Info_ListedDate(B33)</f>
        <v>2016-03-16</v>
      </c>
      <c r="O33" s="2" t="str">
        <f>[1]!b_issue_firstissue(B33)</f>
        <v>2016-03-14</v>
      </c>
      <c r="P33" s="4">
        <f t="shared" ca="1" si="2"/>
        <v>42989</v>
      </c>
    </row>
    <row r="34" spans="2:16">
      <c r="B34" s="7" t="s">
        <v>722</v>
      </c>
      <c r="C34" s="7">
        <v>5.6</v>
      </c>
      <c r="D34" s="1" t="str">
        <f>[1]!b_info_name(B34)</f>
        <v>15本钢01</v>
      </c>
      <c r="E34" s="1" t="str">
        <f>[1]!b_info_latestissurercreditrating(B34)</f>
        <v>AA+</v>
      </c>
      <c r="F34" s="8">
        <f ca="1">[1]!b_anal_day(B34,$A$5)/365</f>
        <v>0.40547945205479452</v>
      </c>
      <c r="G34" s="9">
        <f ca="1">[1]!b_anal_yield_cnbd(B34,$A$5)</f>
        <v>0</v>
      </c>
      <c r="H34" s="9">
        <f t="shared" ca="1" si="0"/>
        <v>560</v>
      </c>
      <c r="I34" s="9">
        <f ca="1">[1]!b_anal_yield_cnbd(B34,$A$7)</f>
        <v>0</v>
      </c>
      <c r="J34" s="9">
        <f t="shared" ca="1" si="1"/>
        <v>0</v>
      </c>
      <c r="K34" s="1" t="str">
        <f>[1]!s_info_Nature(B34)</f>
        <v>地方国有企业</v>
      </c>
      <c r="L34" s="1" t="str">
        <f>[1]!b_info_windl1type(B34)</f>
        <v>公司债</v>
      </c>
      <c r="M34" s="3">
        <f>[1]!b_info_couponrate(B34)</f>
        <v>5.17</v>
      </c>
      <c r="N34" s="2" t="str">
        <f>[1]!B_Info_ListedDate(B34)</f>
        <v>2015-05-26</v>
      </c>
      <c r="O34" s="2" t="str">
        <f>[1]!b_issue_firstissue(B34)</f>
        <v>2015-02-05</v>
      </c>
      <c r="P34" s="4">
        <f t="shared" ca="1" si="2"/>
        <v>42989</v>
      </c>
    </row>
    <row r="35" spans="2:16">
      <c r="B35" s="7">
        <v>101658034</v>
      </c>
      <c r="C35" s="7">
        <v>5.59</v>
      </c>
      <c r="D35" s="1" t="str">
        <f>[1]!b_info_name(B35)</f>
        <v>16华强MTN002</v>
      </c>
      <c r="E35" s="1" t="str">
        <f>[1]!b_info_latestissurercreditrating(B35)</f>
        <v>AA+</v>
      </c>
      <c r="F35" s="8">
        <f ca="1">[1]!b_anal_day(B35,$A$5)/365</f>
        <v>3.8657534246575342</v>
      </c>
      <c r="G35" s="9">
        <f ca="1">[1]!b_anal_yield_cnbd(B35,$A$5)</f>
        <v>0</v>
      </c>
      <c r="H35" s="9">
        <f t="shared" ca="1" si="0"/>
        <v>559</v>
      </c>
      <c r="I35" s="9">
        <f ca="1">[1]!b_anal_yield_cnbd(B35,$A$7)</f>
        <v>0</v>
      </c>
      <c r="J35" s="9">
        <f t="shared" ca="1" si="1"/>
        <v>0</v>
      </c>
      <c r="K35" s="1" t="str">
        <f>[1]!s_info_Nature(B35)</f>
        <v>民营企业</v>
      </c>
      <c r="L35" s="1" t="str">
        <f>[1]!b_info_windl1type(B35)</f>
        <v>中期票据</v>
      </c>
      <c r="M35" s="3">
        <f>[1]!b_info_couponrate(B35)</f>
        <v>4.4000000000000004</v>
      </c>
      <c r="N35" s="2" t="str">
        <f>[1]!B_Info_ListedDate(B35)</f>
        <v>2016-07-25</v>
      </c>
      <c r="O35" s="2" t="str">
        <f>[1]!b_issue_firstissue(B35)</f>
        <v>2016-07-20</v>
      </c>
      <c r="P35" s="4">
        <f t="shared" ca="1" si="2"/>
        <v>42989</v>
      </c>
    </row>
    <row r="36" spans="2:16">
      <c r="B36" s="7">
        <v>122494</v>
      </c>
      <c r="C36" s="7">
        <v>5.57</v>
      </c>
      <c r="D36" s="1" t="str">
        <f>[1]!b_info_name(B36)</f>
        <v>15华夏05</v>
      </c>
      <c r="E36" s="1" t="str">
        <f>[1]!b_info_latestissurercreditrating(B36)</f>
        <v>AAA</v>
      </c>
      <c r="F36" s="8">
        <f ca="1">[1]!b_anal_day(B36,$A$5)/365</f>
        <v>5.117808219178082</v>
      </c>
      <c r="G36" s="9">
        <f ca="1">[1]!b_anal_yield_cnbd(B36,$A$5)</f>
        <v>0</v>
      </c>
      <c r="H36" s="9">
        <f t="shared" ca="1" si="0"/>
        <v>557</v>
      </c>
      <c r="I36" s="9">
        <f ca="1">[1]!b_anal_yield_cnbd(B36,$A$7)</f>
        <v>0</v>
      </c>
      <c r="J36" s="9">
        <f t="shared" ca="1" si="1"/>
        <v>0</v>
      </c>
      <c r="K36" s="1" t="str">
        <f>[1]!s_info_Nature(B36)</f>
        <v>民营企业</v>
      </c>
      <c r="L36" s="1" t="str">
        <f>[1]!b_info_windl1type(B36)</f>
        <v>公司债</v>
      </c>
      <c r="M36" s="3">
        <f>[1]!b_info_couponrate(B36)</f>
        <v>5.0999999999999996</v>
      </c>
      <c r="N36" s="2" t="str">
        <f>[1]!B_Info_ListedDate(B36)</f>
        <v>2015-12-02</v>
      </c>
      <c r="O36" s="2" t="str">
        <f>[1]!b_issue_firstissue(B36)</f>
        <v>2015-10-21</v>
      </c>
      <c r="P36" s="4">
        <f t="shared" ca="1" si="2"/>
        <v>42989</v>
      </c>
    </row>
    <row r="37" spans="2:16">
      <c r="B37" s="7">
        <v>101764012</v>
      </c>
      <c r="C37" s="7">
        <v>5.55</v>
      </c>
      <c r="D37" s="1" t="str">
        <f>[1]!b_info_name(B37)</f>
        <v>17淮安城资MTN001</v>
      </c>
      <c r="E37" s="1" t="str">
        <f>[1]!b_info_latestissurercreditrating(B37)</f>
        <v>AA+</v>
      </c>
      <c r="F37" s="8">
        <f ca="1">[1]!b_anal_day(B37,$A$5)/365</f>
        <v>4.5342465753424657</v>
      </c>
      <c r="G37" s="9">
        <f ca="1">[1]!b_anal_yield_cnbd(B37,$A$5)</f>
        <v>0</v>
      </c>
      <c r="H37" s="9">
        <f t="shared" ca="1" si="0"/>
        <v>555</v>
      </c>
      <c r="I37" s="9">
        <f ca="1">[1]!b_anal_yield_cnbd(B37,$A$7)</f>
        <v>0</v>
      </c>
      <c r="J37" s="9">
        <f t="shared" ca="1" si="1"/>
        <v>0</v>
      </c>
      <c r="K37" s="1" t="str">
        <f>[1]!s_info_Nature(B37)</f>
        <v>地方国有企业</v>
      </c>
      <c r="L37" s="1" t="str">
        <f>[1]!b_info_windl1type(B37)</f>
        <v>中期票据</v>
      </c>
      <c r="M37" s="3">
        <f>[1]!b_info_couponrate(B37)</f>
        <v>5.4</v>
      </c>
      <c r="N37" s="2" t="str">
        <f>[1]!B_Info_ListedDate(B37)</f>
        <v>2017-03-24</v>
      </c>
      <c r="O37" s="2" t="str">
        <f>[1]!b_issue_firstissue(B37)</f>
        <v>2017-03-21</v>
      </c>
      <c r="P37" s="4">
        <f t="shared" ca="1" si="2"/>
        <v>42989</v>
      </c>
    </row>
    <row r="38" spans="2:16">
      <c r="B38" s="7">
        <v>11698873</v>
      </c>
      <c r="C38" s="7">
        <v>5.54</v>
      </c>
      <c r="D38" s="1" t="str">
        <f>[1]!b_info_name(B38)</f>
        <v>16鲁钢铁SCP011</v>
      </c>
      <c r="E38" s="1" t="str">
        <f>[1]!b_info_latestissurercreditrating(B38)</f>
        <v>AAA</v>
      </c>
      <c r="F38" s="8">
        <f ca="1">[1]!b_anal_day(B38,$A$5)/365</f>
        <v>0</v>
      </c>
      <c r="G38" s="9">
        <f ca="1">[1]!b_anal_yield_cnbd(B38,$A$5)</f>
        <v>0</v>
      </c>
      <c r="H38" s="9">
        <f t="shared" ca="1" si="0"/>
        <v>554</v>
      </c>
      <c r="I38" s="9">
        <f ca="1">[1]!b_anal_yield_cnbd(B38,$A$7)</f>
        <v>0</v>
      </c>
      <c r="J38" s="9">
        <f t="shared" ca="1" si="1"/>
        <v>0</v>
      </c>
      <c r="K38" s="1" t="str">
        <f>[1]!s_info_Nature(B38)</f>
        <v>地方国有企业</v>
      </c>
      <c r="L38" s="1" t="str">
        <f>[1]!b_info_windl1type(B38)</f>
        <v>短期融资券</v>
      </c>
      <c r="M38" s="3">
        <f>[1]!b_info_couponrate(B38)</f>
        <v>4.92</v>
      </c>
      <c r="N38" s="2" t="str">
        <f>[1]!B_Info_ListedDate(B38)</f>
        <v>2016-11-24</v>
      </c>
      <c r="O38" s="2" t="str">
        <f>[1]!b_issue_firstissue(B38)</f>
        <v>2016-11-21</v>
      </c>
      <c r="P38" s="4">
        <f t="shared" ca="1" si="2"/>
        <v>42989</v>
      </c>
    </row>
    <row r="39" spans="2:16">
      <c r="B39" s="7">
        <v>31390039</v>
      </c>
      <c r="C39" s="7">
        <v>5.5</v>
      </c>
      <c r="D39" s="1" t="str">
        <f>[1]!b_info_name(B39)</f>
        <v>13晋焦煤PPN001</v>
      </c>
      <c r="E39" s="1" t="str">
        <f>[1]!b_info_latestissurercreditrating(B39)</f>
        <v>AAA</v>
      </c>
      <c r="F39" s="8">
        <f ca="1">[1]!b_anal_day(B39,$A$5)/365</f>
        <v>0.45205479452054792</v>
      </c>
      <c r="G39" s="9">
        <f ca="1">[1]!b_anal_yield_cnbd(B39,$A$5)</f>
        <v>0</v>
      </c>
      <c r="H39" s="9">
        <f t="shared" ca="1" si="0"/>
        <v>550</v>
      </c>
      <c r="I39" s="9">
        <f ca="1">[1]!b_anal_yield_cnbd(B39,$A$7)</f>
        <v>0</v>
      </c>
      <c r="J39" s="9">
        <f t="shared" ca="1" si="1"/>
        <v>0</v>
      </c>
      <c r="K39" s="1" t="str">
        <f>[1]!s_info_Nature(B39)</f>
        <v>地方国有企业</v>
      </c>
      <c r="L39" s="1" t="str">
        <f>[1]!b_info_windl1type(B39)</f>
        <v>定向工具</v>
      </c>
      <c r="M39" s="3">
        <f>[1]!b_info_couponrate(B39)</f>
        <v>5.55</v>
      </c>
      <c r="N39" s="2">
        <f>[1]!B_Info_ListedDate(B39)</f>
        <v>0</v>
      </c>
      <c r="O39" s="2" t="str">
        <f>[1]!b_issue_firstissue(B39)</f>
        <v>2013-02-21</v>
      </c>
      <c r="P39" s="4">
        <f t="shared" ca="1" si="2"/>
        <v>42989</v>
      </c>
    </row>
    <row r="40" spans="2:16">
      <c r="B40" s="7">
        <v>31390039</v>
      </c>
      <c r="C40" s="7">
        <v>5.5</v>
      </c>
      <c r="D40" s="1" t="str">
        <f>[1]!b_info_name(B40)</f>
        <v>13晋焦煤PPN001</v>
      </c>
      <c r="E40" s="1" t="str">
        <f>[1]!b_info_latestissurercreditrating(B40)</f>
        <v>AAA</v>
      </c>
      <c r="F40" s="8">
        <f ca="1">[1]!b_anal_day(B40,$A$5)/365</f>
        <v>0.45205479452054792</v>
      </c>
      <c r="G40" s="9">
        <f ca="1">[1]!b_anal_yield_cnbd(B40,$A$5)</f>
        <v>0</v>
      </c>
      <c r="H40" s="9">
        <f t="shared" ca="1" si="0"/>
        <v>550</v>
      </c>
      <c r="I40" s="9">
        <f ca="1">[1]!b_anal_yield_cnbd(B40,$A$7)</f>
        <v>0</v>
      </c>
      <c r="J40" s="9">
        <f t="shared" ca="1" si="1"/>
        <v>0</v>
      </c>
      <c r="K40" s="1" t="str">
        <f>[1]!s_info_Nature(B40)</f>
        <v>地方国有企业</v>
      </c>
      <c r="L40" s="1" t="str">
        <f>[1]!b_info_windl1type(B40)</f>
        <v>定向工具</v>
      </c>
      <c r="M40" s="3">
        <f>[1]!b_info_couponrate(B40)</f>
        <v>5.55</v>
      </c>
      <c r="N40" s="2">
        <f>[1]!B_Info_ListedDate(B40)</f>
        <v>0</v>
      </c>
      <c r="O40" s="2" t="str">
        <f>[1]!b_issue_firstissue(B40)</f>
        <v>2013-02-21</v>
      </c>
      <c r="P40" s="4">
        <f t="shared" ca="1" si="2"/>
        <v>42989</v>
      </c>
    </row>
    <row r="41" spans="2:16">
      <c r="B41" s="7">
        <v>31390091</v>
      </c>
      <c r="C41" s="7">
        <v>5.5</v>
      </c>
      <c r="D41" s="1" t="str">
        <f>[1]!b_info_name(B41)</f>
        <v>13晋焦煤PPN002</v>
      </c>
      <c r="E41" s="1" t="str">
        <f>[1]!b_info_latestissurercreditrating(B41)</f>
        <v>AAA</v>
      </c>
      <c r="F41" s="8">
        <f ca="1">[1]!b_anal_day(B41,$A$5)/365</f>
        <v>0.52876712328767128</v>
      </c>
      <c r="G41" s="9">
        <f ca="1">[1]!b_anal_yield_cnbd(B41,$A$5)</f>
        <v>0</v>
      </c>
      <c r="H41" s="9">
        <f t="shared" ca="1" si="0"/>
        <v>550</v>
      </c>
      <c r="I41" s="9">
        <f ca="1">[1]!b_anal_yield_cnbd(B41,$A$7)</f>
        <v>0</v>
      </c>
      <c r="J41" s="9">
        <f t="shared" ca="1" si="1"/>
        <v>0</v>
      </c>
      <c r="K41" s="1" t="str">
        <f>[1]!s_info_Nature(B41)</f>
        <v>地方国有企业</v>
      </c>
      <c r="L41" s="1" t="str">
        <f>[1]!b_info_windl1type(B41)</f>
        <v>定向工具</v>
      </c>
      <c r="M41" s="3">
        <f>[1]!b_info_couponrate(B41)</f>
        <v>5.64</v>
      </c>
      <c r="N41" s="2">
        <f>[1]!B_Info_ListedDate(B41)</f>
        <v>0</v>
      </c>
      <c r="O41" s="2" t="str">
        <f>[1]!b_issue_firstissue(B41)</f>
        <v>2013-03-21</v>
      </c>
      <c r="P41" s="4">
        <f t="shared" ca="1" si="2"/>
        <v>42989</v>
      </c>
    </row>
    <row r="42" spans="2:16">
      <c r="B42" s="7">
        <v>31390091</v>
      </c>
      <c r="C42" s="7">
        <v>5.5</v>
      </c>
      <c r="D42" s="1" t="str">
        <f>[1]!b_info_name(B42)</f>
        <v>13晋焦煤PPN002</v>
      </c>
      <c r="E42" s="1" t="str">
        <f>[1]!b_info_latestissurercreditrating(B42)</f>
        <v>AAA</v>
      </c>
      <c r="F42" s="8">
        <f ca="1">[1]!b_anal_day(B42,$A$5)/365</f>
        <v>0.52876712328767128</v>
      </c>
      <c r="G42" s="9">
        <f ca="1">[1]!b_anal_yield_cnbd(B42,$A$5)</f>
        <v>0</v>
      </c>
      <c r="H42" s="9">
        <f t="shared" ca="1" si="0"/>
        <v>550</v>
      </c>
      <c r="I42" s="9">
        <f ca="1">[1]!b_anal_yield_cnbd(B42,$A$7)</f>
        <v>0</v>
      </c>
      <c r="J42" s="9">
        <f t="shared" ca="1" si="1"/>
        <v>0</v>
      </c>
      <c r="K42" s="1" t="str">
        <f>[1]!s_info_Nature(B42)</f>
        <v>地方国有企业</v>
      </c>
      <c r="L42" s="1" t="str">
        <f>[1]!b_info_windl1type(B42)</f>
        <v>定向工具</v>
      </c>
      <c r="M42" s="3">
        <f>[1]!b_info_couponrate(B42)</f>
        <v>5.64</v>
      </c>
      <c r="N42" s="2">
        <f>[1]!B_Info_ListedDate(B42)</f>
        <v>0</v>
      </c>
      <c r="O42" s="2" t="str">
        <f>[1]!b_issue_firstissue(B42)</f>
        <v>2013-03-21</v>
      </c>
      <c r="P42" s="4">
        <f t="shared" ca="1" si="2"/>
        <v>42989</v>
      </c>
    </row>
    <row r="43" spans="2:16">
      <c r="B43" s="7">
        <v>31390091</v>
      </c>
      <c r="C43" s="7">
        <v>5.5</v>
      </c>
      <c r="D43" s="1" t="str">
        <f>[1]!b_info_name(B43)</f>
        <v>13晋焦煤PPN002</v>
      </c>
      <c r="E43" s="1" t="str">
        <f>[1]!b_info_latestissurercreditrating(B43)</f>
        <v>AAA</v>
      </c>
      <c r="F43" s="8">
        <f ca="1">[1]!b_anal_day(B43,$A$5)/365</f>
        <v>0.52876712328767128</v>
      </c>
      <c r="G43" s="9">
        <f ca="1">[1]!b_anal_yield_cnbd(B43,$A$5)</f>
        <v>0</v>
      </c>
      <c r="H43" s="9">
        <f t="shared" ca="1" si="0"/>
        <v>550</v>
      </c>
      <c r="I43" s="9">
        <f ca="1">[1]!b_anal_yield_cnbd(B43,$A$7)</f>
        <v>0</v>
      </c>
      <c r="J43" s="9">
        <f t="shared" ca="1" si="1"/>
        <v>0</v>
      </c>
      <c r="K43" s="1" t="str">
        <f>[1]!s_info_Nature(B43)</f>
        <v>地方国有企业</v>
      </c>
      <c r="L43" s="1" t="str">
        <f>[1]!b_info_windl1type(B43)</f>
        <v>定向工具</v>
      </c>
      <c r="M43" s="3">
        <f>[1]!b_info_couponrate(B43)</f>
        <v>5.64</v>
      </c>
      <c r="N43" s="2">
        <f>[1]!B_Info_ListedDate(B43)</f>
        <v>0</v>
      </c>
      <c r="O43" s="2" t="str">
        <f>[1]!b_issue_firstissue(B43)</f>
        <v>2013-03-21</v>
      </c>
      <c r="P43" s="4">
        <f t="shared" ca="1" si="2"/>
        <v>42989</v>
      </c>
    </row>
    <row r="44" spans="2:16">
      <c r="B44" s="7">
        <v>31390091</v>
      </c>
      <c r="C44" s="7">
        <v>5.5</v>
      </c>
      <c r="D44" s="1" t="str">
        <f>[1]!b_info_name(B44)</f>
        <v>13晋焦煤PPN002</v>
      </c>
      <c r="E44" s="1" t="str">
        <f>[1]!b_info_latestissurercreditrating(B44)</f>
        <v>AAA</v>
      </c>
      <c r="F44" s="8">
        <f ca="1">[1]!b_anal_day(B44,$A$5)/365</f>
        <v>0.52876712328767128</v>
      </c>
      <c r="G44" s="9">
        <f ca="1">[1]!b_anal_yield_cnbd(B44,$A$5)</f>
        <v>0</v>
      </c>
      <c r="H44" s="9">
        <f t="shared" ca="1" si="0"/>
        <v>550</v>
      </c>
      <c r="I44" s="9">
        <f ca="1">[1]!b_anal_yield_cnbd(B44,$A$7)</f>
        <v>0</v>
      </c>
      <c r="J44" s="9">
        <f t="shared" ca="1" si="1"/>
        <v>0</v>
      </c>
      <c r="K44" s="1" t="str">
        <f>[1]!s_info_Nature(B44)</f>
        <v>地方国有企业</v>
      </c>
      <c r="L44" s="1" t="str">
        <f>[1]!b_info_windl1type(B44)</f>
        <v>定向工具</v>
      </c>
      <c r="M44" s="3">
        <f>[1]!b_info_couponrate(B44)</f>
        <v>5.64</v>
      </c>
      <c r="N44" s="2">
        <f>[1]!B_Info_ListedDate(B44)</f>
        <v>0</v>
      </c>
      <c r="O44" s="2" t="str">
        <f>[1]!b_issue_firstissue(B44)</f>
        <v>2013-03-21</v>
      </c>
      <c r="P44" s="4">
        <f t="shared" ca="1" si="2"/>
        <v>42989</v>
      </c>
    </row>
    <row r="45" spans="2:16">
      <c r="B45" s="7">
        <v>31390091</v>
      </c>
      <c r="C45" s="7">
        <v>5.5</v>
      </c>
      <c r="D45" s="1" t="str">
        <f>[1]!b_info_name(B45)</f>
        <v>13晋焦煤PPN002</v>
      </c>
      <c r="E45" s="1" t="str">
        <f>[1]!b_info_latestissurercreditrating(B45)</f>
        <v>AAA</v>
      </c>
      <c r="F45" s="8">
        <f ca="1">[1]!b_anal_day(B45,$A$5)/365</f>
        <v>0.52876712328767128</v>
      </c>
      <c r="G45" s="9">
        <f ca="1">[1]!b_anal_yield_cnbd(B45,$A$5)</f>
        <v>0</v>
      </c>
      <c r="H45" s="9">
        <f t="shared" ca="1" si="0"/>
        <v>550</v>
      </c>
      <c r="I45" s="9">
        <f ca="1">[1]!b_anal_yield_cnbd(B45,$A$7)</f>
        <v>0</v>
      </c>
      <c r="J45" s="9">
        <f t="shared" ca="1" si="1"/>
        <v>0</v>
      </c>
      <c r="K45" s="1" t="str">
        <f>[1]!s_info_Nature(B45)</f>
        <v>地方国有企业</v>
      </c>
      <c r="L45" s="1" t="str">
        <f>[1]!b_info_windl1type(B45)</f>
        <v>定向工具</v>
      </c>
      <c r="M45" s="3">
        <f>[1]!b_info_couponrate(B45)</f>
        <v>5.64</v>
      </c>
      <c r="N45" s="2">
        <f>[1]!B_Info_ListedDate(B45)</f>
        <v>0</v>
      </c>
      <c r="O45" s="2" t="str">
        <f>[1]!b_issue_firstissue(B45)</f>
        <v>2013-03-21</v>
      </c>
      <c r="P45" s="4">
        <f t="shared" ca="1" si="2"/>
        <v>42989</v>
      </c>
    </row>
    <row r="46" spans="2:16">
      <c r="B46" s="7">
        <v>31390091</v>
      </c>
      <c r="C46" s="7">
        <v>5.5</v>
      </c>
      <c r="D46" s="1" t="str">
        <f>[1]!b_info_name(B46)</f>
        <v>13晋焦煤PPN002</v>
      </c>
      <c r="E46" s="1" t="str">
        <f>[1]!b_info_latestissurercreditrating(B46)</f>
        <v>AAA</v>
      </c>
      <c r="F46" s="8">
        <f ca="1">[1]!b_anal_day(B46,$A$5)/365</f>
        <v>0.52876712328767128</v>
      </c>
      <c r="G46" s="9">
        <f ca="1">[1]!b_anal_yield_cnbd(B46,$A$5)</f>
        <v>0</v>
      </c>
      <c r="H46" s="9">
        <f t="shared" ca="1" si="0"/>
        <v>550</v>
      </c>
      <c r="I46" s="9">
        <f ca="1">[1]!b_anal_yield_cnbd(B46,$A$7)</f>
        <v>0</v>
      </c>
      <c r="J46" s="9">
        <f t="shared" ca="1" si="1"/>
        <v>0</v>
      </c>
      <c r="K46" s="1" t="str">
        <f>[1]!s_info_Nature(B46)</f>
        <v>地方国有企业</v>
      </c>
      <c r="L46" s="1" t="str">
        <f>[1]!b_info_windl1type(B46)</f>
        <v>定向工具</v>
      </c>
      <c r="M46" s="3">
        <f>[1]!b_info_couponrate(B46)</f>
        <v>5.64</v>
      </c>
      <c r="N46" s="2">
        <f>[1]!B_Info_ListedDate(B46)</f>
        <v>0</v>
      </c>
      <c r="O46" s="2" t="str">
        <f>[1]!b_issue_firstissue(B46)</f>
        <v>2013-03-21</v>
      </c>
      <c r="P46" s="4">
        <f t="shared" ca="1" si="2"/>
        <v>42989</v>
      </c>
    </row>
    <row r="47" spans="2:16">
      <c r="B47" s="7" t="s">
        <v>820</v>
      </c>
      <c r="C47" s="7">
        <v>5.5</v>
      </c>
      <c r="D47" s="1" t="str">
        <f>[1]!b_info_name(B47)</f>
        <v>12扬子江</v>
      </c>
      <c r="E47" s="1" t="str">
        <f>[1]!b_info_latestissurercreditrating(B47)</f>
        <v>AA</v>
      </c>
      <c r="F47" s="8">
        <f ca="1">[1]!b_anal_day(B47,$A$5)/365</f>
        <v>1.6931506849315068</v>
      </c>
      <c r="G47" s="9">
        <f ca="1">[1]!b_anal_yield_cnbd(B47,$A$5)</f>
        <v>0</v>
      </c>
      <c r="H47" s="9">
        <f t="shared" ca="1" si="0"/>
        <v>550</v>
      </c>
      <c r="I47" s="9">
        <f ca="1">[1]!b_anal_yield_cnbd(B47,$A$7)</f>
        <v>0</v>
      </c>
      <c r="J47" s="9">
        <f t="shared" ca="1" si="1"/>
        <v>0</v>
      </c>
      <c r="K47" s="1" t="str">
        <f>[1]!s_info_Nature(B47)</f>
        <v>地方国有企业</v>
      </c>
      <c r="L47" s="1" t="str">
        <f>[1]!b_info_windl1type(B47)</f>
        <v>企业债</v>
      </c>
      <c r="M47" s="3">
        <f>[1]!b_info_couponrate(B47)</f>
        <v>7.65</v>
      </c>
      <c r="N47" s="2" t="str">
        <f>[1]!B_Info_ListedDate(B47)</f>
        <v>2012-07-10</v>
      </c>
      <c r="O47" s="2" t="str">
        <f>[1]!b_issue_firstissue(B47)</f>
        <v>2012-05-21</v>
      </c>
      <c r="P47" s="4">
        <f t="shared" ca="1" si="2"/>
        <v>42989</v>
      </c>
    </row>
    <row r="48" spans="2:16">
      <c r="B48" s="7">
        <v>11698660</v>
      </c>
      <c r="C48" s="7">
        <v>5.49</v>
      </c>
      <c r="D48" s="1" t="str">
        <f>[1]!b_info_name(B48)</f>
        <v>16鲁钢铁SCP007</v>
      </c>
      <c r="E48" s="1" t="str">
        <f>[1]!b_info_latestissurercreditrating(B48)</f>
        <v>AAA</v>
      </c>
      <c r="F48" s="8">
        <f ca="1">[1]!b_anal_day(B48,$A$5)/365</f>
        <v>0</v>
      </c>
      <c r="G48" s="9">
        <f ca="1">[1]!b_anal_yield_cnbd(B48,$A$5)</f>
        <v>0</v>
      </c>
      <c r="H48" s="9">
        <f t="shared" ca="1" si="0"/>
        <v>549</v>
      </c>
      <c r="I48" s="9">
        <f ca="1">[1]!b_anal_yield_cnbd(B48,$A$7)</f>
        <v>0</v>
      </c>
      <c r="J48" s="9">
        <f t="shared" ca="1" si="1"/>
        <v>0</v>
      </c>
      <c r="K48" s="1" t="str">
        <f>[1]!s_info_Nature(B48)</f>
        <v>地方国有企业</v>
      </c>
      <c r="L48" s="1" t="str">
        <f>[1]!b_info_windl1type(B48)</f>
        <v>短期融资券</v>
      </c>
      <c r="M48" s="3">
        <f>[1]!b_info_couponrate(B48)</f>
        <v>4</v>
      </c>
      <c r="N48" s="2" t="str">
        <f>[1]!B_Info_ListedDate(B48)</f>
        <v>2016-10-26</v>
      </c>
      <c r="O48" s="2" t="str">
        <f>[1]!b_issue_firstissue(B48)</f>
        <v>2016-10-24</v>
      </c>
      <c r="P48" s="4">
        <f t="shared" ca="1" si="2"/>
        <v>42989</v>
      </c>
    </row>
    <row r="49" spans="2:16">
      <c r="B49" s="7">
        <v>1480121</v>
      </c>
      <c r="C49" s="7">
        <v>5.48</v>
      </c>
      <c r="D49" s="1" t="str">
        <f>[1]!b_info_name(B49)</f>
        <v>14甬广聚债</v>
      </c>
      <c r="E49" s="1" t="str">
        <f>[1]!b_info_latestissurercreditrating(B49)</f>
        <v>AA</v>
      </c>
      <c r="F49" s="8">
        <f ca="1">[1]!b_anal_day(B49,$A$5)/365</f>
        <v>3.4876712328767123</v>
      </c>
      <c r="G49" s="9">
        <f ca="1">[1]!b_anal_yield_cnbd(B49,$A$5)</f>
        <v>0</v>
      </c>
      <c r="H49" s="9">
        <f t="shared" ca="1" si="0"/>
        <v>548</v>
      </c>
      <c r="I49" s="9">
        <f ca="1">[1]!b_anal_yield_cnbd(B49,$A$7)</f>
        <v>0</v>
      </c>
      <c r="J49" s="9">
        <f t="shared" ca="1" si="1"/>
        <v>0</v>
      </c>
      <c r="K49" s="1" t="str">
        <f>[1]!s_info_Nature(B49)</f>
        <v>地方国有企业</v>
      </c>
      <c r="L49" s="1" t="str">
        <f>[1]!b_info_windl1type(B49)</f>
        <v>企业债</v>
      </c>
      <c r="M49" s="3">
        <f>[1]!b_info_couponrate(B49)</f>
        <v>7.75</v>
      </c>
      <c r="N49" s="2" t="str">
        <f>[1]!B_Info_ListedDate(B49)</f>
        <v>2014-03-13</v>
      </c>
      <c r="O49" s="2" t="str">
        <f>[1]!b_issue_firstissue(B49)</f>
        <v>2014-03-06</v>
      </c>
      <c r="P49" s="4">
        <f t="shared" ca="1" si="2"/>
        <v>42989</v>
      </c>
    </row>
    <row r="50" spans="2:16">
      <c r="B50" s="7">
        <v>101573008</v>
      </c>
      <c r="C50" s="7">
        <v>5.47</v>
      </c>
      <c r="D50" s="1" t="str">
        <f>[1]!b_info_name(B50)</f>
        <v>15中金集MTN002</v>
      </c>
      <c r="E50" s="1" t="str">
        <f>[1]!b_info_latestissurercreditrating(B50)</f>
        <v>AAA</v>
      </c>
      <c r="F50" s="8">
        <f ca="1">[1]!b_anal_day(B50,$A$5)/365</f>
        <v>2.7753424657534245</v>
      </c>
      <c r="G50" s="9">
        <f ca="1">[1]!b_anal_yield_cnbd(B50,$A$5)</f>
        <v>0</v>
      </c>
      <c r="H50" s="9">
        <f t="shared" ca="1" si="0"/>
        <v>547</v>
      </c>
      <c r="I50" s="9">
        <f ca="1">[1]!b_anal_yield_cnbd(B50,$A$7)</f>
        <v>0</v>
      </c>
      <c r="J50" s="9">
        <f t="shared" ca="1" si="1"/>
        <v>0</v>
      </c>
      <c r="K50" s="1" t="str">
        <f>[1]!s_info_Nature(B50)</f>
        <v>中央国有企业</v>
      </c>
      <c r="L50" s="1" t="str">
        <f>[1]!b_info_windl1type(B50)</f>
        <v>中期票据</v>
      </c>
      <c r="M50" s="3">
        <f>[1]!b_info_couponrate(B50)</f>
        <v>5.29</v>
      </c>
      <c r="N50" s="2" t="str">
        <f>[1]!B_Info_ListedDate(B50)</f>
        <v>2015-06-23</v>
      </c>
      <c r="O50" s="2" t="str">
        <f>[1]!b_issue_firstissue(B50)</f>
        <v>2015-06-18</v>
      </c>
      <c r="P50" s="4">
        <f t="shared" ca="1" si="2"/>
        <v>42989</v>
      </c>
    </row>
    <row r="51" spans="2:16">
      <c r="B51" s="7">
        <v>101573008</v>
      </c>
      <c r="C51" s="7">
        <v>5.47</v>
      </c>
      <c r="D51" s="1" t="str">
        <f>[1]!b_info_name(B51)</f>
        <v>15中金集MTN002</v>
      </c>
      <c r="E51" s="1" t="str">
        <f>[1]!b_info_latestissurercreditrating(B51)</f>
        <v>AAA</v>
      </c>
      <c r="F51" s="8">
        <f ca="1">[1]!b_anal_day(B51,$A$5)/365</f>
        <v>2.7753424657534245</v>
      </c>
      <c r="G51" s="9">
        <f ca="1">[1]!b_anal_yield_cnbd(B51,$A$5)</f>
        <v>0</v>
      </c>
      <c r="H51" s="9">
        <f t="shared" ca="1" si="0"/>
        <v>547</v>
      </c>
      <c r="I51" s="9">
        <f ca="1">[1]!b_anal_yield_cnbd(B51,$A$7)</f>
        <v>0</v>
      </c>
      <c r="J51" s="9">
        <f t="shared" ca="1" si="1"/>
        <v>0</v>
      </c>
      <c r="K51" s="1" t="str">
        <f>[1]!s_info_Nature(B51)</f>
        <v>中央国有企业</v>
      </c>
      <c r="L51" s="1" t="str">
        <f>[1]!b_info_windl1type(B51)</f>
        <v>中期票据</v>
      </c>
      <c r="M51" s="3">
        <f>[1]!b_info_couponrate(B51)</f>
        <v>5.29</v>
      </c>
      <c r="N51" s="2" t="str">
        <f>[1]!B_Info_ListedDate(B51)</f>
        <v>2015-06-23</v>
      </c>
      <c r="O51" s="2" t="str">
        <f>[1]!b_issue_firstissue(B51)</f>
        <v>2015-06-18</v>
      </c>
      <c r="P51" s="4">
        <f t="shared" ca="1" si="2"/>
        <v>42989</v>
      </c>
    </row>
    <row r="52" spans="2:16">
      <c r="B52" s="7" t="s">
        <v>829</v>
      </c>
      <c r="C52" s="7">
        <v>5.46</v>
      </c>
      <c r="D52" s="1" t="str">
        <f>[1]!b_info_name(B52)</f>
        <v>15国海债</v>
      </c>
      <c r="E52" s="1" t="str">
        <f>[1]!b_info_latestissurercreditrating(B52)</f>
        <v>AA+</v>
      </c>
      <c r="F52" s="8">
        <f ca="1">[1]!b_anal_day(B52,$A$5)/365</f>
        <v>2.6602739726027398</v>
      </c>
      <c r="G52" s="9">
        <f ca="1">[1]!b_anal_yield_cnbd(B52,$A$5)</f>
        <v>0</v>
      </c>
      <c r="H52" s="9">
        <f t="shared" ca="1" si="0"/>
        <v>546</v>
      </c>
      <c r="I52" s="9">
        <f ca="1">[1]!b_anal_yield_cnbd(B52,$A$7)</f>
        <v>0</v>
      </c>
      <c r="J52" s="9">
        <f t="shared" ca="1" si="1"/>
        <v>0</v>
      </c>
      <c r="K52" s="1" t="str">
        <f>[1]!s_info_Nature(B52)</f>
        <v>公众企业</v>
      </c>
      <c r="L52" s="1" t="str">
        <f>[1]!b_info_windl1type(B52)</f>
        <v>金融债</v>
      </c>
      <c r="M52" s="3">
        <f>[1]!b_info_couponrate(B52)</f>
        <v>4.78</v>
      </c>
      <c r="N52" s="2" t="str">
        <f>[1]!B_Info_ListedDate(B52)</f>
        <v>2015-05-29</v>
      </c>
      <c r="O52" s="2" t="str">
        <f>[1]!b_issue_firstissue(B52)</f>
        <v>2015-05-08</v>
      </c>
      <c r="P52" s="4">
        <f t="shared" ca="1" si="2"/>
        <v>42989</v>
      </c>
    </row>
    <row r="53" spans="2:16">
      <c r="B53" s="7">
        <v>101658026</v>
      </c>
      <c r="C53" s="7">
        <v>5.45</v>
      </c>
      <c r="D53" s="1" t="str">
        <f>[1]!b_info_name(B53)</f>
        <v>16华强MTN001</v>
      </c>
      <c r="E53" s="1" t="str">
        <f>[1]!b_info_latestissurercreditrating(B53)</f>
        <v>AA+</v>
      </c>
      <c r="F53" s="8">
        <f ca="1">[1]!b_anal_day(B53,$A$5)/365</f>
        <v>1.8191780821917809</v>
      </c>
      <c r="G53" s="9">
        <f ca="1">[1]!b_anal_yield_cnbd(B53,$A$5)</f>
        <v>0</v>
      </c>
      <c r="H53" s="9">
        <f t="shared" ca="1" si="0"/>
        <v>545</v>
      </c>
      <c r="I53" s="9">
        <f ca="1">[1]!b_anal_yield_cnbd(B53,$A$7)</f>
        <v>0</v>
      </c>
      <c r="J53" s="9">
        <f t="shared" ca="1" si="1"/>
        <v>0</v>
      </c>
      <c r="K53" s="1" t="str">
        <f>[1]!s_info_Nature(B53)</f>
        <v>民营企业</v>
      </c>
      <c r="L53" s="1" t="str">
        <f>[1]!b_info_windl1type(B53)</f>
        <v>中期票据</v>
      </c>
      <c r="M53" s="3">
        <f>[1]!b_info_couponrate(B53)</f>
        <v>3.98</v>
      </c>
      <c r="N53" s="2" t="str">
        <f>[1]!B_Info_ListedDate(B53)</f>
        <v>2016-07-07</v>
      </c>
      <c r="O53" s="2" t="str">
        <f>[1]!b_issue_firstissue(B53)</f>
        <v>2016-07-04</v>
      </c>
      <c r="P53" s="4">
        <f t="shared" ca="1" si="2"/>
        <v>42989</v>
      </c>
    </row>
    <row r="54" spans="2:16">
      <c r="B54" s="7">
        <v>101658026</v>
      </c>
      <c r="C54" s="7">
        <v>5.45</v>
      </c>
      <c r="D54" s="1" t="str">
        <f>[1]!b_info_name(B54)</f>
        <v>16华强MTN001</v>
      </c>
      <c r="E54" s="1" t="str">
        <f>[1]!b_info_latestissurercreditrating(B54)</f>
        <v>AA+</v>
      </c>
      <c r="F54" s="8">
        <f ca="1">[1]!b_anal_day(B54,$A$5)/365</f>
        <v>1.8191780821917809</v>
      </c>
      <c r="G54" s="9">
        <f ca="1">[1]!b_anal_yield_cnbd(B54,$A$5)</f>
        <v>0</v>
      </c>
      <c r="H54" s="9">
        <f t="shared" ca="1" si="0"/>
        <v>545</v>
      </c>
      <c r="I54" s="9">
        <f ca="1">[1]!b_anal_yield_cnbd(B54,$A$7)</f>
        <v>0</v>
      </c>
      <c r="J54" s="9">
        <f t="shared" ca="1" si="1"/>
        <v>0</v>
      </c>
      <c r="K54" s="1" t="str">
        <f>[1]!s_info_Nature(B54)</f>
        <v>民营企业</v>
      </c>
      <c r="L54" s="1" t="str">
        <f>[1]!b_info_windl1type(B54)</f>
        <v>中期票据</v>
      </c>
      <c r="M54" s="3">
        <f>[1]!b_info_couponrate(B54)</f>
        <v>3.98</v>
      </c>
      <c r="N54" s="2" t="str">
        <f>[1]!B_Info_ListedDate(B54)</f>
        <v>2016-07-07</v>
      </c>
      <c r="O54" s="2" t="str">
        <f>[1]!b_issue_firstissue(B54)</f>
        <v>2016-07-04</v>
      </c>
      <c r="P54" s="4">
        <f t="shared" ca="1" si="2"/>
        <v>42989</v>
      </c>
    </row>
    <row r="55" spans="2:16">
      <c r="B55" s="7">
        <v>101656060</v>
      </c>
      <c r="C55" s="7">
        <v>5.45</v>
      </c>
      <c r="D55" s="1" t="str">
        <f>[1]!b_info_name(B55)</f>
        <v>16桂铁投MTN003</v>
      </c>
      <c r="E55" s="1" t="str">
        <f>[1]!b_info_latestissurercreditrating(B55)</f>
        <v>AAA</v>
      </c>
      <c r="F55" s="8">
        <f ca="1">[1]!b_anal_day(B55,$A$5)/365</f>
        <v>6.2109589041095887</v>
      </c>
      <c r="G55" s="9">
        <f ca="1">[1]!b_anal_yield_cnbd(B55,$A$5)</f>
        <v>0</v>
      </c>
      <c r="H55" s="9">
        <f t="shared" ca="1" si="0"/>
        <v>545</v>
      </c>
      <c r="I55" s="9">
        <f ca="1">[1]!b_anal_yield_cnbd(B55,$A$7)</f>
        <v>0</v>
      </c>
      <c r="J55" s="9">
        <f t="shared" ca="1" si="1"/>
        <v>0</v>
      </c>
      <c r="K55" s="1" t="str">
        <f>[1]!s_info_Nature(B55)</f>
        <v>地方国有企业</v>
      </c>
      <c r="L55" s="1" t="str">
        <f>[1]!b_info_windl1type(B55)</f>
        <v>中期票据</v>
      </c>
      <c r="M55" s="3">
        <f>[1]!b_info_couponrate(B55)</f>
        <v>4.0999999999999996</v>
      </c>
      <c r="N55" s="2" t="str">
        <f>[1]!B_Info_ListedDate(B55)</f>
        <v>2016-11-28</v>
      </c>
      <c r="O55" s="2" t="str">
        <f>[1]!b_issue_firstissue(B55)</f>
        <v>2016-11-24</v>
      </c>
      <c r="P55" s="4">
        <f t="shared" ca="1" si="2"/>
        <v>42989</v>
      </c>
    </row>
    <row r="56" spans="2:16">
      <c r="B56" s="7">
        <v>101658026</v>
      </c>
      <c r="C56" s="7">
        <v>5.45</v>
      </c>
      <c r="D56" s="1" t="str">
        <f>[1]!b_info_name(B56)</f>
        <v>16华强MTN001</v>
      </c>
      <c r="E56" s="1" t="str">
        <f>[1]!b_info_latestissurercreditrating(B56)</f>
        <v>AA+</v>
      </c>
      <c r="F56" s="8">
        <f ca="1">[1]!b_anal_day(B56,$A$5)/365</f>
        <v>1.8191780821917809</v>
      </c>
      <c r="G56" s="9">
        <f ca="1">[1]!b_anal_yield_cnbd(B56,$A$5)</f>
        <v>0</v>
      </c>
      <c r="H56" s="9">
        <f t="shared" ca="1" si="0"/>
        <v>545</v>
      </c>
      <c r="I56" s="9">
        <f ca="1">[1]!b_anal_yield_cnbd(B56,$A$7)</f>
        <v>0</v>
      </c>
      <c r="J56" s="9">
        <f t="shared" ca="1" si="1"/>
        <v>0</v>
      </c>
      <c r="K56" s="1" t="str">
        <f>[1]!s_info_Nature(B56)</f>
        <v>民营企业</v>
      </c>
      <c r="L56" s="1" t="str">
        <f>[1]!b_info_windl1type(B56)</f>
        <v>中期票据</v>
      </c>
      <c r="M56" s="3">
        <f>[1]!b_info_couponrate(B56)</f>
        <v>3.98</v>
      </c>
      <c r="N56" s="2" t="str">
        <f>[1]!B_Info_ListedDate(B56)</f>
        <v>2016-07-07</v>
      </c>
      <c r="O56" s="2" t="str">
        <f>[1]!b_issue_firstissue(B56)</f>
        <v>2016-07-04</v>
      </c>
      <c r="P56" s="4">
        <f t="shared" ca="1" si="2"/>
        <v>42989</v>
      </c>
    </row>
    <row r="57" spans="2:16">
      <c r="B57" s="7">
        <v>41656028</v>
      </c>
      <c r="C57" s="7">
        <v>5.45</v>
      </c>
      <c r="D57" s="1" t="str">
        <f>[1]!b_info_name(B57)</f>
        <v>16奇瑞CP002</v>
      </c>
      <c r="E57" s="1" t="str">
        <f>[1]!b_info_latestissurercreditrating(B57)</f>
        <v>AA</v>
      </c>
      <c r="F57" s="8">
        <f ca="1">[1]!b_anal_day(B57,$A$5)/365</f>
        <v>5.2054794520547946E-2</v>
      </c>
      <c r="G57" s="9">
        <f ca="1">[1]!b_anal_yield_cnbd(B57,$A$5)</f>
        <v>0</v>
      </c>
      <c r="H57" s="9">
        <f t="shared" ca="1" si="0"/>
        <v>545</v>
      </c>
      <c r="I57" s="9">
        <f ca="1">[1]!b_anal_yield_cnbd(B57,$A$7)</f>
        <v>0</v>
      </c>
      <c r="J57" s="9">
        <f t="shared" ca="1" si="1"/>
        <v>0</v>
      </c>
      <c r="K57" s="1" t="str">
        <f>[1]!s_info_Nature(B57)</f>
        <v>地方国有企业</v>
      </c>
      <c r="L57" s="1" t="str">
        <f>[1]!b_info_windl1type(B57)</f>
        <v>短期融资券</v>
      </c>
      <c r="M57" s="3">
        <f>[1]!b_info_couponrate(B57)</f>
        <v>4.0199999999999996</v>
      </c>
      <c r="N57" s="2" t="str">
        <f>[1]!B_Info_ListedDate(B57)</f>
        <v>2016-09-30</v>
      </c>
      <c r="O57" s="2" t="str">
        <f>[1]!b_issue_firstissue(B57)</f>
        <v>2016-09-28</v>
      </c>
      <c r="P57" s="4">
        <f t="shared" ca="1" si="2"/>
        <v>42989</v>
      </c>
    </row>
    <row r="58" spans="2:16">
      <c r="B58" s="7">
        <v>101660038</v>
      </c>
      <c r="C58" s="7">
        <v>5.43</v>
      </c>
      <c r="D58" s="1" t="str">
        <f>[1]!b_info_name(B58)</f>
        <v>16华虹集团MTN001</v>
      </c>
      <c r="E58" s="1" t="str">
        <f>[1]!b_info_latestissurercreditrating(B58)</f>
        <v>AA+</v>
      </c>
      <c r="F58" s="8">
        <f ca="1">[1]!b_anal_day(B58,$A$5)/365</f>
        <v>3.6136986301369864</v>
      </c>
      <c r="G58" s="9">
        <f ca="1">[1]!b_anal_yield_cnbd(B58,$A$5)</f>
        <v>0</v>
      </c>
      <c r="H58" s="9">
        <f t="shared" ca="1" si="0"/>
        <v>543</v>
      </c>
      <c r="I58" s="9">
        <f ca="1">[1]!b_anal_yield_cnbd(B58,$A$7)</f>
        <v>0</v>
      </c>
      <c r="J58" s="9">
        <f t="shared" ca="1" si="1"/>
        <v>0</v>
      </c>
      <c r="K58" s="1" t="str">
        <f>[1]!s_info_Nature(B58)</f>
        <v>地方国有企业</v>
      </c>
      <c r="L58" s="1" t="str">
        <f>[1]!b_info_windl1type(B58)</f>
        <v>中期票据</v>
      </c>
      <c r="M58" s="3">
        <f>[1]!b_info_couponrate(B58)</f>
        <v>4.5</v>
      </c>
      <c r="N58" s="2" t="str">
        <f>[1]!B_Info_ListedDate(B58)</f>
        <v>2016-04-22</v>
      </c>
      <c r="O58" s="2" t="str">
        <f>[1]!b_issue_firstissue(B58)</f>
        <v>2016-04-20</v>
      </c>
      <c r="P58" s="4">
        <f t="shared" ca="1" si="2"/>
        <v>42989</v>
      </c>
    </row>
    <row r="59" spans="2:16">
      <c r="B59" s="7">
        <v>101351014</v>
      </c>
      <c r="C59" s="7">
        <v>5.4</v>
      </c>
      <c r="D59" s="1" t="str">
        <f>[1]!b_info_name(B59)</f>
        <v>13美凯龙MTN001</v>
      </c>
      <c r="E59" s="1" t="str">
        <f>[1]!b_info_latestissurercreditrating(B59)</f>
        <v>AA+</v>
      </c>
      <c r="F59" s="8">
        <f ca="1">[1]!b_anal_day(B59,$A$5)/365</f>
        <v>1.0027397260273974</v>
      </c>
      <c r="G59" s="9">
        <f ca="1">[1]!b_anal_yield_cnbd(B59,$A$5)</f>
        <v>0</v>
      </c>
      <c r="H59" s="9">
        <f t="shared" ca="1" si="0"/>
        <v>540</v>
      </c>
      <c r="I59" s="9">
        <f ca="1">[1]!b_anal_yield_cnbd(B59,$A$7)</f>
        <v>0</v>
      </c>
      <c r="J59" s="9">
        <f t="shared" ca="1" si="1"/>
        <v>0</v>
      </c>
      <c r="K59" s="1" t="str">
        <f>[1]!s_info_Nature(B59)</f>
        <v>民营企业</v>
      </c>
      <c r="L59" s="1" t="str">
        <f>[1]!b_info_windl1type(B59)</f>
        <v>中期票据</v>
      </c>
      <c r="M59" s="3">
        <f>[1]!b_info_couponrate(B59)</f>
        <v>7.5</v>
      </c>
      <c r="N59" s="2" t="str">
        <f>[1]!B_Info_ListedDate(B59)</f>
        <v>2013-09-12</v>
      </c>
      <c r="O59" s="2" t="str">
        <f>[1]!b_issue_firstissue(B59)</f>
        <v>2013-09-10</v>
      </c>
      <c r="P59" s="4">
        <f t="shared" ca="1" si="2"/>
        <v>42989</v>
      </c>
    </row>
    <row r="60" spans="2:16">
      <c r="B60" s="7">
        <v>101654099</v>
      </c>
      <c r="C60" s="7">
        <v>5.4</v>
      </c>
      <c r="D60" s="1" t="str">
        <f>[1]!b_info_name(B60)</f>
        <v>16苏沙钢MTN004</v>
      </c>
      <c r="E60" s="1" t="str">
        <f>[1]!b_info_latestissurercreditrating(B60)</f>
        <v>AAA</v>
      </c>
      <c r="F60" s="8">
        <f ca="1">[1]!b_anal_day(B60,$A$5)/365</f>
        <v>4.1479452054794521</v>
      </c>
      <c r="G60" s="9">
        <f ca="1">[1]!b_anal_yield_cnbd(B60,$A$5)</f>
        <v>0</v>
      </c>
      <c r="H60" s="9">
        <f t="shared" ca="1" si="0"/>
        <v>540</v>
      </c>
      <c r="I60" s="9">
        <f ca="1">[1]!b_anal_yield_cnbd(B60,$A$7)</f>
        <v>0</v>
      </c>
      <c r="J60" s="9">
        <f t="shared" ca="1" si="1"/>
        <v>0</v>
      </c>
      <c r="K60" s="1" t="str">
        <f>[1]!s_info_Nature(B60)</f>
        <v>民营企业</v>
      </c>
      <c r="L60" s="1" t="str">
        <f>[1]!b_info_windl1type(B60)</f>
        <v>中期票据</v>
      </c>
      <c r="M60" s="3">
        <f>[1]!b_info_couponrate(B60)</f>
        <v>3.98</v>
      </c>
      <c r="N60" s="2" t="str">
        <f>[1]!B_Info_ListedDate(B60)</f>
        <v>2016-11-03</v>
      </c>
      <c r="O60" s="2" t="str">
        <f>[1]!b_issue_firstissue(B60)</f>
        <v>2016-11-01</v>
      </c>
      <c r="P60" s="4">
        <f t="shared" ca="1" si="2"/>
        <v>42989</v>
      </c>
    </row>
    <row r="61" spans="2:16">
      <c r="B61" s="7">
        <v>101654099</v>
      </c>
      <c r="C61" s="7">
        <v>5.4</v>
      </c>
      <c r="D61" s="1" t="str">
        <f>[1]!b_info_name(B61)</f>
        <v>16苏沙钢MTN004</v>
      </c>
      <c r="E61" s="1" t="str">
        <f>[1]!b_info_latestissurercreditrating(B61)</f>
        <v>AAA</v>
      </c>
      <c r="F61" s="8">
        <f ca="1">[1]!b_anal_day(B61,$A$5)/365</f>
        <v>4.1479452054794521</v>
      </c>
      <c r="G61" s="9">
        <f ca="1">[1]!b_anal_yield_cnbd(B61,$A$5)</f>
        <v>0</v>
      </c>
      <c r="H61" s="9">
        <f t="shared" ca="1" si="0"/>
        <v>540</v>
      </c>
      <c r="I61" s="9">
        <f ca="1">[1]!b_anal_yield_cnbd(B61,$A$7)</f>
        <v>0</v>
      </c>
      <c r="J61" s="9">
        <f t="shared" ca="1" si="1"/>
        <v>0</v>
      </c>
      <c r="K61" s="1" t="str">
        <f>[1]!s_info_Nature(B61)</f>
        <v>民营企业</v>
      </c>
      <c r="L61" s="1" t="str">
        <f>[1]!b_info_windl1type(B61)</f>
        <v>中期票据</v>
      </c>
      <c r="M61" s="3">
        <f>[1]!b_info_couponrate(B61)</f>
        <v>3.98</v>
      </c>
      <c r="N61" s="2" t="str">
        <f>[1]!B_Info_ListedDate(B61)</f>
        <v>2016-11-03</v>
      </c>
      <c r="O61" s="2" t="str">
        <f>[1]!b_issue_firstissue(B61)</f>
        <v>2016-11-01</v>
      </c>
      <c r="P61" s="4">
        <f t="shared" ca="1" si="2"/>
        <v>42989</v>
      </c>
    </row>
    <row r="62" spans="2:16">
      <c r="B62" s="7">
        <v>101660050</v>
      </c>
      <c r="C62" s="7">
        <v>5.37</v>
      </c>
      <c r="D62" s="1" t="str">
        <f>[1]!b_info_name(B62)</f>
        <v>16武汉地产MTN001</v>
      </c>
      <c r="E62" s="1" t="str">
        <f>[1]!b_info_latestissurercreditrating(B62)</f>
        <v>AAA</v>
      </c>
      <c r="F62" s="8">
        <f ca="1">[1]!b_anal_day(B62,$A$5)/365</f>
        <v>3.7780821917808218</v>
      </c>
      <c r="G62" s="9">
        <f ca="1">[1]!b_anal_yield_cnbd(B62,$A$5)</f>
        <v>0</v>
      </c>
      <c r="H62" s="9">
        <f t="shared" ref="H62:H122" ca="1" si="3">(IF(C62&lt;0.1,C62*100,C62)-G62)*100</f>
        <v>537</v>
      </c>
      <c r="I62" s="9">
        <f ca="1">[1]!b_anal_yield_cnbd(B62,$A$7)</f>
        <v>0</v>
      </c>
      <c r="J62" s="9">
        <f t="shared" ca="1" si="1"/>
        <v>0</v>
      </c>
      <c r="K62" s="1" t="str">
        <f>[1]!s_info_Nature(B62)</f>
        <v>地方国有企业</v>
      </c>
      <c r="L62" s="1" t="str">
        <f>[1]!b_info_windl1type(B62)</f>
        <v>中期票据</v>
      </c>
      <c r="M62" s="3">
        <f>[1]!b_info_couponrate(B62)</f>
        <v>4</v>
      </c>
      <c r="N62" s="2" t="str">
        <f>[1]!B_Info_ListedDate(B62)</f>
        <v>2016-06-21</v>
      </c>
      <c r="O62" s="2" t="str">
        <f>[1]!b_issue_firstissue(B62)</f>
        <v>2016-06-16</v>
      </c>
      <c r="P62" s="4">
        <f t="shared" ref="P62:P122" ca="1" si="4">$A$2</f>
        <v>42989</v>
      </c>
    </row>
    <row r="63" spans="2:16">
      <c r="B63" s="7">
        <v>101660050</v>
      </c>
      <c r="C63" s="7">
        <v>5.37</v>
      </c>
      <c r="D63" s="1" t="str">
        <f>[1]!b_info_name(B63)</f>
        <v>16武汉地产MTN001</v>
      </c>
      <c r="E63" s="1" t="str">
        <f>[1]!b_info_latestissurercreditrating(B63)</f>
        <v>AAA</v>
      </c>
      <c r="F63" s="8">
        <f ca="1">[1]!b_anal_day(B63,$A$5)/365</f>
        <v>3.7780821917808218</v>
      </c>
      <c r="G63" s="9">
        <f ca="1">[1]!b_anal_yield_cnbd(B63,$A$5)</f>
        <v>0</v>
      </c>
      <c r="H63" s="9">
        <f t="shared" ca="1" si="3"/>
        <v>537</v>
      </c>
      <c r="I63" s="9">
        <f ca="1">[1]!b_anal_yield_cnbd(B63,$A$7)</f>
        <v>0</v>
      </c>
      <c r="J63" s="9">
        <f t="shared" ref="J63:J123" ca="1" si="5">(G63-I63)*100</f>
        <v>0</v>
      </c>
      <c r="K63" s="1" t="str">
        <f>[1]!s_info_Nature(B63)</f>
        <v>地方国有企业</v>
      </c>
      <c r="L63" s="1" t="str">
        <f>[1]!b_info_windl1type(B63)</f>
        <v>中期票据</v>
      </c>
      <c r="M63" s="3">
        <f>[1]!b_info_couponrate(B63)</f>
        <v>4</v>
      </c>
      <c r="N63" s="2" t="str">
        <f>[1]!B_Info_ListedDate(B63)</f>
        <v>2016-06-21</v>
      </c>
      <c r="O63" s="2" t="str">
        <f>[1]!b_issue_firstissue(B63)</f>
        <v>2016-06-16</v>
      </c>
      <c r="P63" s="4">
        <f t="shared" ca="1" si="4"/>
        <v>42989</v>
      </c>
    </row>
    <row r="64" spans="2:16">
      <c r="B64" s="7">
        <v>101660050</v>
      </c>
      <c r="C64" s="7">
        <v>5.37</v>
      </c>
      <c r="D64" s="1" t="str">
        <f>[1]!b_info_name(B64)</f>
        <v>16武汉地产MTN001</v>
      </c>
      <c r="E64" s="1" t="str">
        <f>[1]!b_info_latestissurercreditrating(B64)</f>
        <v>AAA</v>
      </c>
      <c r="F64" s="8">
        <f ca="1">[1]!b_anal_day(B64,$A$5)/365</f>
        <v>3.7780821917808218</v>
      </c>
      <c r="G64" s="9">
        <f ca="1">[1]!b_anal_yield_cnbd(B64,$A$5)</f>
        <v>0</v>
      </c>
      <c r="H64" s="9">
        <f t="shared" ca="1" si="3"/>
        <v>537</v>
      </c>
      <c r="I64" s="9">
        <f ca="1">[1]!b_anal_yield_cnbd(B64,$A$7)</f>
        <v>0</v>
      </c>
      <c r="J64" s="9">
        <f t="shared" ca="1" si="5"/>
        <v>0</v>
      </c>
      <c r="K64" s="1" t="str">
        <f>[1]!s_info_Nature(B64)</f>
        <v>地方国有企业</v>
      </c>
      <c r="L64" s="1" t="str">
        <f>[1]!b_info_windl1type(B64)</f>
        <v>中期票据</v>
      </c>
      <c r="M64" s="3">
        <f>[1]!b_info_couponrate(B64)</f>
        <v>4</v>
      </c>
      <c r="N64" s="2" t="str">
        <f>[1]!B_Info_ListedDate(B64)</f>
        <v>2016-06-21</v>
      </c>
      <c r="O64" s="2" t="str">
        <f>[1]!b_issue_firstissue(B64)</f>
        <v>2016-06-16</v>
      </c>
      <c r="P64" s="4">
        <f t="shared" ca="1" si="4"/>
        <v>42989</v>
      </c>
    </row>
    <row r="65" spans="2:16">
      <c r="B65" s="7">
        <v>11754061</v>
      </c>
      <c r="C65" s="7">
        <v>5.37</v>
      </c>
      <c r="D65" s="1" t="str">
        <f>[1]!b_info_name(B65)</f>
        <v>17康富租赁SCP001</v>
      </c>
      <c r="E65" s="1" t="str">
        <f>[1]!b_info_latestissurercreditrating(B65)</f>
        <v>AA+</v>
      </c>
      <c r="F65" s="8">
        <f ca="1">[1]!b_anal_day(B65,$A$5)/365</f>
        <v>0.16438356164383561</v>
      </c>
      <c r="G65" s="9">
        <f ca="1">[1]!b_anal_yield_cnbd(B65,$A$5)</f>
        <v>0</v>
      </c>
      <c r="H65" s="9">
        <f t="shared" ca="1" si="3"/>
        <v>537</v>
      </c>
      <c r="I65" s="9">
        <f ca="1">[1]!b_anal_yield_cnbd(B65,$A$7)</f>
        <v>0</v>
      </c>
      <c r="J65" s="9">
        <f t="shared" ca="1" si="5"/>
        <v>0</v>
      </c>
      <c r="K65" s="1" t="str">
        <f>[1]!s_info_Nature(B65)</f>
        <v>中央国有企业</v>
      </c>
      <c r="L65" s="1" t="str">
        <f>[1]!b_info_windl1type(B65)</f>
        <v>短期融资券</v>
      </c>
      <c r="M65" s="3">
        <f>[1]!b_info_couponrate(B65)</f>
        <v>5.38</v>
      </c>
      <c r="N65" s="2" t="str">
        <f>[1]!B_Info_ListedDate(B65)</f>
        <v>2017-04-27</v>
      </c>
      <c r="O65" s="2" t="str">
        <f>[1]!b_issue_firstissue(B65)</f>
        <v>2017-04-25</v>
      </c>
      <c r="P65" s="4">
        <f t="shared" ca="1" si="4"/>
        <v>42989</v>
      </c>
    </row>
    <row r="66" spans="2:16">
      <c r="B66" s="7" t="s">
        <v>720</v>
      </c>
      <c r="C66" s="7">
        <v>5.35</v>
      </c>
      <c r="D66" s="1" t="str">
        <f>[1]!b_info_name(B66)</f>
        <v>16象屿债</v>
      </c>
      <c r="E66" s="1" t="str">
        <f>[1]!b_info_latestissurercreditrating(B66)</f>
        <v>AAA</v>
      </c>
      <c r="F66" s="8">
        <f ca="1">[1]!b_anal_day(B66,$A$5)/365</f>
        <v>5.5890410958904111</v>
      </c>
      <c r="G66" s="9">
        <f ca="1">[1]!b_anal_yield_cnbd(B66,$A$5)</f>
        <v>0</v>
      </c>
      <c r="H66" s="9">
        <f t="shared" ca="1" si="3"/>
        <v>535</v>
      </c>
      <c r="I66" s="9">
        <f ca="1">[1]!b_anal_yield_cnbd(B66,$A$7)</f>
        <v>0</v>
      </c>
      <c r="J66" s="9">
        <f t="shared" ca="1" si="5"/>
        <v>0</v>
      </c>
      <c r="K66" s="1" t="str">
        <f>[1]!s_info_Nature(B66)</f>
        <v>地方国有企业</v>
      </c>
      <c r="L66" s="1" t="str">
        <f>[1]!b_info_windl1type(B66)</f>
        <v>公司债</v>
      </c>
      <c r="M66" s="3">
        <f>[1]!b_info_couponrate(B66)</f>
        <v>3.8</v>
      </c>
      <c r="N66" s="2" t="str">
        <f>[1]!B_Info_ListedDate(B66)</f>
        <v>2016-05-05</v>
      </c>
      <c r="O66" s="2" t="str">
        <f>[1]!b_issue_firstissue(B66)</f>
        <v>2016-04-07</v>
      </c>
      <c r="P66" s="4">
        <f t="shared" ca="1" si="4"/>
        <v>42989</v>
      </c>
    </row>
    <row r="67" spans="2:16">
      <c r="B67" s="7">
        <v>1282318</v>
      </c>
      <c r="C67" s="7">
        <v>5.32</v>
      </c>
      <c r="D67" s="1" t="str">
        <f>[1]!b_info_name(B67)</f>
        <v>12滨化股MTN1</v>
      </c>
      <c r="E67" s="1" t="str">
        <f>[1]!b_info_latestissurercreditrating(B67)</f>
        <v>AA</v>
      </c>
      <c r="F67" s="8">
        <f ca="1">[1]!b_anal_day(B67,$A$5)/365</f>
        <v>0</v>
      </c>
      <c r="G67" s="9">
        <f ca="1">[1]!b_anal_yield_cnbd(B67,$A$5)</f>
        <v>0</v>
      </c>
      <c r="H67" s="9">
        <f t="shared" ca="1" si="3"/>
        <v>532</v>
      </c>
      <c r="I67" s="9">
        <f ca="1">[1]!b_anal_yield_cnbd(B67,$A$7)</f>
        <v>0</v>
      </c>
      <c r="J67" s="9">
        <f t="shared" ca="1" si="5"/>
        <v>0</v>
      </c>
      <c r="K67" s="1" t="str">
        <f>[1]!s_info_Nature(B67)</f>
        <v>民营企业</v>
      </c>
      <c r="L67" s="1" t="str">
        <f>[1]!b_info_windl1type(B67)</f>
        <v>中期票据</v>
      </c>
      <c r="M67" s="3">
        <f>[1]!b_info_couponrate(B67)</f>
        <v>6.19</v>
      </c>
      <c r="N67" s="2" t="str">
        <f>[1]!B_Info_ListedDate(B67)</f>
        <v>2012-09-06</v>
      </c>
      <c r="O67" s="2" t="str">
        <f>[1]!b_issue_firstissue(B67)</f>
        <v>2012-09-04</v>
      </c>
      <c r="P67" s="4">
        <f t="shared" ca="1" si="4"/>
        <v>42989</v>
      </c>
    </row>
    <row r="68" spans="2:16">
      <c r="B68" s="7">
        <v>11698904</v>
      </c>
      <c r="C68" s="7">
        <v>5.3</v>
      </c>
      <c r="D68" s="1" t="str">
        <f>[1]!b_info_name(B68)</f>
        <v>16鲁钢铁SCP012</v>
      </c>
      <c r="E68" s="1" t="str">
        <f>[1]!b_info_latestissurercreditrating(B68)</f>
        <v>AAA</v>
      </c>
      <c r="F68" s="8">
        <f ca="1">[1]!b_anal_day(B68,$A$5)/365</f>
        <v>0</v>
      </c>
      <c r="G68" s="9">
        <f ca="1">[1]!b_anal_yield_cnbd(B68,$A$5)</f>
        <v>0</v>
      </c>
      <c r="H68" s="9">
        <f t="shared" ca="1" si="3"/>
        <v>530</v>
      </c>
      <c r="I68" s="9">
        <f ca="1">[1]!b_anal_yield_cnbd(B68,$A$7)</f>
        <v>0</v>
      </c>
      <c r="J68" s="9">
        <f t="shared" ca="1" si="5"/>
        <v>0</v>
      </c>
      <c r="K68" s="1" t="str">
        <f>[1]!s_info_Nature(B68)</f>
        <v>地方国有企业</v>
      </c>
      <c r="L68" s="1" t="str">
        <f>[1]!b_info_windl1type(B68)</f>
        <v>短期融资券</v>
      </c>
      <c r="M68" s="3">
        <f>[1]!b_info_couponrate(B68)</f>
        <v>4.8600000000000003</v>
      </c>
      <c r="N68" s="2" t="str">
        <f>[1]!B_Info_ListedDate(B68)</f>
        <v>2016-11-29</v>
      </c>
      <c r="O68" s="2" t="str">
        <f>[1]!b_issue_firstissue(B68)</f>
        <v>2016-11-24</v>
      </c>
      <c r="P68" s="4">
        <f t="shared" ca="1" si="4"/>
        <v>42989</v>
      </c>
    </row>
    <row r="69" spans="2:16">
      <c r="B69" s="7">
        <v>136490</v>
      </c>
      <c r="C69" s="7">
        <v>5.3</v>
      </c>
      <c r="D69" s="1" t="str">
        <f>[1]!b_info_name(B69)</f>
        <v>16红美01</v>
      </c>
      <c r="E69" s="1" t="str">
        <f>[1]!b_info_latestissurercreditrating(B69)</f>
        <v>AA+</v>
      </c>
      <c r="F69" s="8">
        <f ca="1">[1]!b_anal_day(B69,$A$5)/365</f>
        <v>3.8410958904109589</v>
      </c>
      <c r="G69" s="9">
        <f ca="1">[1]!b_anal_yield_cnbd(B69,$A$5)</f>
        <v>0</v>
      </c>
      <c r="H69" s="9">
        <f t="shared" ca="1" si="3"/>
        <v>530</v>
      </c>
      <c r="I69" s="9">
        <f ca="1">[1]!b_anal_yield_cnbd(B69,$A$7)</f>
        <v>0</v>
      </c>
      <c r="J69" s="9">
        <f t="shared" ca="1" si="5"/>
        <v>0</v>
      </c>
      <c r="K69" s="1">
        <f>[1]!s_info_Nature(B69)</f>
        <v>0</v>
      </c>
      <c r="L69" s="1" t="str">
        <f>[1]!b_info_windl1type(B69)</f>
        <v>公司债</v>
      </c>
      <c r="M69" s="3">
        <f>[1]!b_info_couponrate(B69)</f>
        <v>3.5</v>
      </c>
      <c r="N69" s="2" t="str">
        <f>[1]!B_Info_ListedDate(B69)</f>
        <v>2016-08-11</v>
      </c>
      <c r="O69" s="2" t="str">
        <f>[1]!b_issue_firstissue(B69)</f>
        <v>2016-07-12</v>
      </c>
      <c r="P69" s="4">
        <f t="shared" ca="1" si="4"/>
        <v>42989</v>
      </c>
    </row>
    <row r="70" spans="2:16">
      <c r="B70" s="7" t="s">
        <v>727</v>
      </c>
      <c r="C70" s="7">
        <v>5.3</v>
      </c>
      <c r="D70" s="1" t="str">
        <f>[1]!b_info_name(B70)</f>
        <v>15当代债</v>
      </c>
      <c r="E70" s="1" t="str">
        <f>[1]!b_info_latestissurercreditrating(B70)</f>
        <v>AA+</v>
      </c>
      <c r="F70" s="8">
        <f ca="1">[1]!b_anal_day(B70,$A$5)/365</f>
        <v>3.1671232876712327</v>
      </c>
      <c r="G70" s="9">
        <f ca="1">[1]!b_anal_yield_cnbd(B70,$A$5)</f>
        <v>0</v>
      </c>
      <c r="H70" s="9">
        <f t="shared" ca="1" si="3"/>
        <v>530</v>
      </c>
      <c r="I70" s="9">
        <f ca="1">[1]!b_anal_yield_cnbd(B70,$A$7)</f>
        <v>0</v>
      </c>
      <c r="J70" s="9">
        <f t="shared" ca="1" si="5"/>
        <v>0</v>
      </c>
      <c r="K70" s="1" t="str">
        <f>[1]!s_info_Nature(B70)</f>
        <v>民营企业</v>
      </c>
      <c r="L70" s="1" t="str">
        <f>[1]!b_info_windl1type(B70)</f>
        <v>公司债</v>
      </c>
      <c r="M70" s="3">
        <f>[1]!b_info_couponrate(B70)</f>
        <v>5.0999999999999996</v>
      </c>
      <c r="N70" s="2" t="str">
        <f>[1]!B_Info_ListedDate(B70)</f>
        <v>2015-12-09</v>
      </c>
      <c r="O70" s="2" t="str">
        <f>[1]!b_issue_firstissue(B70)</f>
        <v>2015-11-06</v>
      </c>
      <c r="P70" s="4">
        <f t="shared" ca="1" si="4"/>
        <v>42989</v>
      </c>
    </row>
    <row r="71" spans="2:16">
      <c r="B71" s="7" t="s">
        <v>727</v>
      </c>
      <c r="C71" s="7">
        <v>5.3</v>
      </c>
      <c r="D71" s="1" t="str">
        <f>[1]!b_info_name(B71)</f>
        <v>15当代债</v>
      </c>
      <c r="E71" s="1" t="str">
        <f>[1]!b_info_latestissurercreditrating(B71)</f>
        <v>AA+</v>
      </c>
      <c r="F71" s="8">
        <f ca="1">[1]!b_anal_day(B71,$A$5)/365</f>
        <v>3.1671232876712327</v>
      </c>
      <c r="G71" s="9">
        <f ca="1">[1]!b_anal_yield_cnbd(B71,$A$5)</f>
        <v>0</v>
      </c>
      <c r="H71" s="9">
        <f t="shared" ca="1" si="3"/>
        <v>530</v>
      </c>
      <c r="I71" s="9">
        <f ca="1">[1]!b_anal_yield_cnbd(B71,$A$7)</f>
        <v>0</v>
      </c>
      <c r="J71" s="9">
        <f t="shared" ca="1" si="5"/>
        <v>0</v>
      </c>
      <c r="K71" s="1" t="str">
        <f>[1]!s_info_Nature(B71)</f>
        <v>民营企业</v>
      </c>
      <c r="L71" s="1" t="str">
        <f>[1]!b_info_windl1type(B71)</f>
        <v>公司债</v>
      </c>
      <c r="M71" s="3">
        <f>[1]!b_info_couponrate(B71)</f>
        <v>5.0999999999999996</v>
      </c>
      <c r="N71" s="2" t="str">
        <f>[1]!B_Info_ListedDate(B71)</f>
        <v>2015-12-09</v>
      </c>
      <c r="O71" s="2" t="str">
        <f>[1]!b_issue_firstissue(B71)</f>
        <v>2015-11-06</v>
      </c>
      <c r="P71" s="4">
        <f t="shared" ca="1" si="4"/>
        <v>42989</v>
      </c>
    </row>
    <row r="72" spans="2:16">
      <c r="B72" s="7">
        <v>101454041</v>
      </c>
      <c r="C72" s="7">
        <v>5.3</v>
      </c>
      <c r="D72" s="1" t="str">
        <f>[1]!b_info_name(B72)</f>
        <v>14南汇MTN001</v>
      </c>
      <c r="E72" s="1" t="str">
        <f>[1]!b_info_latestissurercreditrating(B72)</f>
        <v>AAA</v>
      </c>
      <c r="F72" s="8">
        <f ca="1">[1]!b_anal_day(B72,$A$5)/365</f>
        <v>6.8767123287671232</v>
      </c>
      <c r="G72" s="9">
        <f ca="1">[1]!b_anal_yield_cnbd(B72,$A$5)</f>
        <v>0</v>
      </c>
      <c r="H72" s="9">
        <f t="shared" ca="1" si="3"/>
        <v>530</v>
      </c>
      <c r="I72" s="9">
        <f ca="1">[1]!b_anal_yield_cnbd(B72,$A$7)</f>
        <v>0</v>
      </c>
      <c r="J72" s="9">
        <f t="shared" ca="1" si="5"/>
        <v>0</v>
      </c>
      <c r="K72" s="1" t="str">
        <f>[1]!s_info_Nature(B72)</f>
        <v>地方国有企业</v>
      </c>
      <c r="L72" s="1" t="str">
        <f>[1]!b_info_windl1type(B72)</f>
        <v>中期票据</v>
      </c>
      <c r="M72" s="3">
        <f>[1]!b_info_couponrate(B72)</f>
        <v>6.89</v>
      </c>
      <c r="N72" s="2" t="str">
        <f>[1]!B_Info_ListedDate(B72)</f>
        <v>2014-07-28</v>
      </c>
      <c r="O72" s="2" t="str">
        <f>[1]!b_issue_firstissue(B72)</f>
        <v>2014-07-24</v>
      </c>
      <c r="P72" s="4">
        <f t="shared" ca="1" si="4"/>
        <v>42989</v>
      </c>
    </row>
    <row r="73" spans="2:16">
      <c r="B73" s="7">
        <v>1080107</v>
      </c>
      <c r="C73" s="7">
        <v>5.3</v>
      </c>
      <c r="D73" s="1" t="str">
        <f>[1]!b_info_name(B73)</f>
        <v>10并高铁债</v>
      </c>
      <c r="E73" s="1" t="str">
        <f>[1]!b_info_latestissurercreditrating(B73)</f>
        <v>AA+</v>
      </c>
      <c r="F73" s="8">
        <f ca="1">[1]!b_anal_day(B73,$A$5)/365</f>
        <v>2.9917808219178084</v>
      </c>
      <c r="G73" s="9">
        <f ca="1">[1]!b_anal_yield_cnbd(B73,$A$5)</f>
        <v>0</v>
      </c>
      <c r="H73" s="9">
        <f t="shared" ca="1" si="3"/>
        <v>530</v>
      </c>
      <c r="I73" s="9">
        <f ca="1">[1]!b_anal_yield_cnbd(B73,$A$7)</f>
        <v>0</v>
      </c>
      <c r="J73" s="9">
        <f t="shared" ca="1" si="5"/>
        <v>0</v>
      </c>
      <c r="K73" s="1" t="str">
        <f>[1]!s_info_Nature(B73)</f>
        <v>地方国有企业</v>
      </c>
      <c r="L73" s="1" t="str">
        <f>[1]!b_info_windl1type(B73)</f>
        <v>企业债</v>
      </c>
      <c r="M73" s="3">
        <f>[1]!b_info_couponrate(B73)</f>
        <v>5.18</v>
      </c>
      <c r="N73" s="2" t="str">
        <f>[1]!B_Info_ListedDate(B73)</f>
        <v>2010-10-12</v>
      </c>
      <c r="O73" s="2" t="str">
        <f>[1]!b_issue_firstissue(B73)</f>
        <v>2010-09-06</v>
      </c>
      <c r="P73" s="4">
        <f t="shared" ca="1" si="4"/>
        <v>42989</v>
      </c>
    </row>
    <row r="74" spans="2:16">
      <c r="B74" s="7">
        <v>101659001</v>
      </c>
      <c r="C74" s="7">
        <v>5.26</v>
      </c>
      <c r="D74" s="1" t="str">
        <f>[1]!b_info_name(B74)</f>
        <v>16株洲城建MTN001</v>
      </c>
      <c r="E74" s="1" t="str">
        <f>[1]!b_info_latestissurercreditrating(B74)</f>
        <v>AA+</v>
      </c>
      <c r="F74" s="8">
        <f ca="1">[1]!b_anal_day(B74,$A$5)/365</f>
        <v>3.3315068493150686</v>
      </c>
      <c r="G74" s="9">
        <f ca="1">[1]!b_anal_yield_cnbd(B74,$A$5)</f>
        <v>0</v>
      </c>
      <c r="H74" s="9">
        <f t="shared" ca="1" si="3"/>
        <v>526</v>
      </c>
      <c r="I74" s="9">
        <f ca="1">[1]!b_anal_yield_cnbd(B74,$A$7)</f>
        <v>0</v>
      </c>
      <c r="J74" s="9">
        <f t="shared" ca="1" si="5"/>
        <v>0</v>
      </c>
      <c r="K74" s="1" t="str">
        <f>[1]!s_info_Nature(B74)</f>
        <v>地方国有企业</v>
      </c>
      <c r="L74" s="1" t="str">
        <f>[1]!b_info_windl1type(B74)</f>
        <v>中期票据</v>
      </c>
      <c r="M74" s="3">
        <f>[1]!b_info_couponrate(B74)</f>
        <v>3.8</v>
      </c>
      <c r="N74" s="2" t="str">
        <f>[1]!B_Info_ListedDate(B74)</f>
        <v>2016-01-11</v>
      </c>
      <c r="O74" s="2" t="str">
        <f>[1]!b_issue_firstissue(B74)</f>
        <v>2016-01-06</v>
      </c>
      <c r="P74" s="4">
        <f t="shared" ca="1" si="4"/>
        <v>42989</v>
      </c>
    </row>
    <row r="75" spans="2:16">
      <c r="B75" s="7">
        <v>101651007</v>
      </c>
      <c r="C75" s="7">
        <v>5.26</v>
      </c>
      <c r="D75" s="1" t="str">
        <f>[1]!b_info_name(B75)</f>
        <v>16陕延油MTN001</v>
      </c>
      <c r="E75" s="1" t="str">
        <f>[1]!b_info_latestissurercreditrating(B75)</f>
        <v>AAA</v>
      </c>
      <c r="F75" s="8">
        <f ca="1">[1]!b_anal_day(B75,$A$5)/365</f>
        <v>3.4657534246575343</v>
      </c>
      <c r="G75" s="9">
        <f ca="1">[1]!b_anal_yield_cnbd(B75,$A$5)</f>
        <v>0</v>
      </c>
      <c r="H75" s="9">
        <f t="shared" ca="1" si="3"/>
        <v>526</v>
      </c>
      <c r="I75" s="9">
        <f ca="1">[1]!b_anal_yield_cnbd(B75,$A$7)</f>
        <v>0</v>
      </c>
      <c r="J75" s="9">
        <f t="shared" ca="1" si="5"/>
        <v>0</v>
      </c>
      <c r="K75" s="1" t="str">
        <f>[1]!s_info_Nature(B75)</f>
        <v>地方国有企业</v>
      </c>
      <c r="L75" s="1" t="str">
        <f>[1]!b_info_windl1type(B75)</f>
        <v>中期票据</v>
      </c>
      <c r="M75" s="3">
        <f>[1]!b_info_couponrate(B75)</f>
        <v>3.5</v>
      </c>
      <c r="N75" s="2" t="str">
        <f>[1]!B_Info_ListedDate(B75)</f>
        <v>2016-02-29</v>
      </c>
      <c r="O75" s="2" t="str">
        <f>[1]!b_issue_firstissue(B75)</f>
        <v>2016-02-24</v>
      </c>
      <c r="P75" s="4">
        <f t="shared" ca="1" si="4"/>
        <v>42989</v>
      </c>
    </row>
    <row r="76" spans="2:16">
      <c r="B76" s="7">
        <v>11698766</v>
      </c>
      <c r="C76" s="7">
        <v>5.25</v>
      </c>
      <c r="D76" s="1" t="str">
        <f>[1]!b_info_name(B76)</f>
        <v>16鲁钢铁SCP008</v>
      </c>
      <c r="E76" s="1" t="str">
        <f>[1]!b_info_latestissurercreditrating(B76)</f>
        <v>AAA</v>
      </c>
      <c r="F76" s="8">
        <f ca="1">[1]!b_anal_day(B76,$A$5)/365</f>
        <v>0</v>
      </c>
      <c r="G76" s="9">
        <f ca="1">[1]!b_anal_yield_cnbd(B76,$A$5)</f>
        <v>0</v>
      </c>
      <c r="H76" s="9">
        <f t="shared" ca="1" si="3"/>
        <v>525</v>
      </c>
      <c r="I76" s="9">
        <f ca="1">[1]!b_anal_yield_cnbd(B76,$A$7)</f>
        <v>0</v>
      </c>
      <c r="J76" s="9">
        <f t="shared" ca="1" si="5"/>
        <v>0</v>
      </c>
      <c r="K76" s="1" t="str">
        <f>[1]!s_info_Nature(B76)</f>
        <v>地方国有企业</v>
      </c>
      <c r="L76" s="1" t="str">
        <f>[1]!b_info_windl1type(B76)</f>
        <v>短期融资券</v>
      </c>
      <c r="M76" s="3">
        <f>[1]!b_info_couponrate(B76)</f>
        <v>4</v>
      </c>
      <c r="N76" s="2" t="str">
        <f>[1]!B_Info_ListedDate(B76)</f>
        <v>2016-11-10</v>
      </c>
      <c r="O76" s="2" t="str">
        <f>[1]!b_issue_firstissue(B76)</f>
        <v>2016-11-08</v>
      </c>
      <c r="P76" s="4">
        <f t="shared" ca="1" si="4"/>
        <v>42989</v>
      </c>
    </row>
    <row r="77" spans="2:16">
      <c r="B77" s="7">
        <v>101658011</v>
      </c>
      <c r="C77" s="7">
        <v>5.25</v>
      </c>
      <c r="D77" s="1" t="str">
        <f>[1]!b_info_name(B77)</f>
        <v>16扬州城建MTN001</v>
      </c>
      <c r="E77" s="1" t="str">
        <f>[1]!b_info_latestissurercreditrating(B77)</f>
        <v>AA+</v>
      </c>
      <c r="F77" s="8">
        <f ca="1">[1]!b_anal_day(B77,$A$5)/365</f>
        <v>3.5287671232876714</v>
      </c>
      <c r="G77" s="9">
        <f ca="1">[1]!b_anal_yield_cnbd(B77,$A$5)</f>
        <v>0</v>
      </c>
      <c r="H77" s="9">
        <f t="shared" ca="1" si="3"/>
        <v>525</v>
      </c>
      <c r="I77" s="9">
        <f ca="1">[1]!b_anal_yield_cnbd(B77,$A$7)</f>
        <v>0</v>
      </c>
      <c r="J77" s="9">
        <f t="shared" ca="1" si="5"/>
        <v>0</v>
      </c>
      <c r="K77" s="1" t="str">
        <f>[1]!s_info_Nature(B77)</f>
        <v>地方国有企业</v>
      </c>
      <c r="L77" s="1" t="str">
        <f>[1]!b_info_windl1type(B77)</f>
        <v>中期票据</v>
      </c>
      <c r="M77" s="3">
        <f>[1]!b_info_couponrate(B77)</f>
        <v>3.4</v>
      </c>
      <c r="N77" s="2" t="str">
        <f>[1]!B_Info_ListedDate(B77)</f>
        <v>2016-03-22</v>
      </c>
      <c r="O77" s="2" t="str">
        <f>[1]!b_issue_firstissue(B77)</f>
        <v>2016-03-17</v>
      </c>
      <c r="P77" s="4">
        <f t="shared" ca="1" si="4"/>
        <v>42989</v>
      </c>
    </row>
    <row r="78" spans="2:16">
      <c r="B78" s="7">
        <v>101558018</v>
      </c>
      <c r="C78" s="7">
        <v>5.25</v>
      </c>
      <c r="D78" s="1" t="str">
        <f>[1]!b_info_name(B78)</f>
        <v>15陕延油MTN002</v>
      </c>
      <c r="E78" s="1" t="str">
        <f>[1]!b_info_latestissurercreditrating(B78)</f>
        <v>AAA</v>
      </c>
      <c r="F78" s="8">
        <f ca="1">[1]!b_anal_day(B78,$A$5)/365</f>
        <v>2.6904109589041094</v>
      </c>
      <c r="G78" s="9">
        <f ca="1">[1]!b_anal_yield_cnbd(B78,$A$5)</f>
        <v>0</v>
      </c>
      <c r="H78" s="9">
        <f t="shared" ca="1" si="3"/>
        <v>525</v>
      </c>
      <c r="I78" s="9">
        <f ca="1">[1]!b_anal_yield_cnbd(B78,$A$7)</f>
        <v>0</v>
      </c>
      <c r="J78" s="9">
        <f t="shared" ca="1" si="5"/>
        <v>0</v>
      </c>
      <c r="K78" s="1" t="str">
        <f>[1]!s_info_Nature(B78)</f>
        <v>地方国有企业</v>
      </c>
      <c r="L78" s="1" t="str">
        <f>[1]!b_info_windl1type(B78)</f>
        <v>中期票据</v>
      </c>
      <c r="M78" s="3">
        <f>[1]!b_info_couponrate(B78)</f>
        <v>4.3</v>
      </c>
      <c r="N78" s="2" t="str">
        <f>[1]!B_Info_ListedDate(B78)</f>
        <v>2015-05-20</v>
      </c>
      <c r="O78" s="2" t="str">
        <f>[1]!b_issue_firstissue(B78)</f>
        <v>2015-05-15</v>
      </c>
      <c r="P78" s="4">
        <f t="shared" ca="1" si="4"/>
        <v>42989</v>
      </c>
    </row>
    <row r="79" spans="2:16">
      <c r="B79" s="7">
        <v>1480199</v>
      </c>
      <c r="C79" s="7">
        <v>5.25</v>
      </c>
      <c r="D79" s="1" t="str">
        <f>[1]!b_info_name(B79)</f>
        <v>14金城债</v>
      </c>
      <c r="E79" s="1" t="str">
        <f>[1]!b_info_latestissurercreditrating(B79)</f>
        <v>AA+</v>
      </c>
      <c r="F79" s="8">
        <f ca="1">[1]!b_anal_day(B79,$A$5)/365</f>
        <v>3.6328767123287671</v>
      </c>
      <c r="G79" s="9">
        <f ca="1">[1]!b_anal_yield_cnbd(B79,$A$5)</f>
        <v>0</v>
      </c>
      <c r="H79" s="9">
        <f t="shared" ca="1" si="3"/>
        <v>525</v>
      </c>
      <c r="I79" s="9">
        <f ca="1">[1]!b_anal_yield_cnbd(B79,$A$7)</f>
        <v>0</v>
      </c>
      <c r="J79" s="9">
        <f t="shared" ca="1" si="5"/>
        <v>0</v>
      </c>
      <c r="K79" s="1" t="str">
        <f>[1]!s_info_Nature(B79)</f>
        <v>地方国有企业</v>
      </c>
      <c r="L79" s="1" t="str">
        <f>[1]!b_info_windl1type(B79)</f>
        <v>企业债</v>
      </c>
      <c r="M79" s="3">
        <f>[1]!b_info_couponrate(B79)</f>
        <v>6.88</v>
      </c>
      <c r="N79" s="2" t="str">
        <f>[1]!B_Info_ListedDate(B79)</f>
        <v>2014-05-27</v>
      </c>
      <c r="O79" s="2" t="str">
        <f>[1]!b_issue_firstissue(B79)</f>
        <v>2014-04-28</v>
      </c>
      <c r="P79" s="4">
        <f t="shared" ca="1" si="4"/>
        <v>42989</v>
      </c>
    </row>
    <row r="80" spans="2:16">
      <c r="B80" s="7" t="s">
        <v>892</v>
      </c>
      <c r="C80" s="7">
        <v>5.25</v>
      </c>
      <c r="D80" s="1" t="str">
        <f>[1]!b_info_name(B80)</f>
        <v>PR金城债</v>
      </c>
      <c r="E80" s="1" t="str">
        <f>[1]!b_info_latestissurercreditrating(B80)</f>
        <v>AA+</v>
      </c>
      <c r="F80" s="8">
        <f ca="1">[1]!b_anal_day(B80,$A$5)/365</f>
        <v>3.6328767123287671</v>
      </c>
      <c r="G80" s="9">
        <f ca="1">[1]!b_anal_yield_cnbd(B80,$A$5)</f>
        <v>0</v>
      </c>
      <c r="H80" s="9">
        <f t="shared" ca="1" si="3"/>
        <v>525</v>
      </c>
      <c r="I80" s="9">
        <f ca="1">[1]!b_anal_yield_cnbd(B80,$A$7)</f>
        <v>0</v>
      </c>
      <c r="J80" s="9">
        <f t="shared" ca="1" si="5"/>
        <v>0</v>
      </c>
      <c r="K80" s="1" t="str">
        <f>[1]!s_info_Nature(B80)</f>
        <v>地方国有企业</v>
      </c>
      <c r="L80" s="1" t="str">
        <f>[1]!b_info_windl1type(B80)</f>
        <v>企业债</v>
      </c>
      <c r="M80" s="3">
        <f>[1]!b_info_couponrate(B80)</f>
        <v>6.88</v>
      </c>
      <c r="N80" s="2" t="str">
        <f>[1]!B_Info_ListedDate(B80)</f>
        <v>2014-06-30</v>
      </c>
      <c r="O80" s="2" t="str">
        <f>[1]!b_issue_firstissue(B80)</f>
        <v>2014-04-28</v>
      </c>
      <c r="P80" s="4">
        <f t="shared" ca="1" si="4"/>
        <v>42989</v>
      </c>
    </row>
    <row r="81" spans="2:16">
      <c r="B81" s="7" t="s">
        <v>892</v>
      </c>
      <c r="C81" s="7">
        <v>5.25</v>
      </c>
      <c r="D81" s="1" t="str">
        <f>[1]!b_info_name(B81)</f>
        <v>PR金城债</v>
      </c>
      <c r="E81" s="1" t="str">
        <f>[1]!b_info_latestissurercreditrating(B81)</f>
        <v>AA+</v>
      </c>
      <c r="F81" s="8">
        <f ca="1">[1]!b_anal_day(B81,$A$5)/365</f>
        <v>3.6328767123287671</v>
      </c>
      <c r="G81" s="9">
        <f ca="1">[1]!b_anal_yield_cnbd(B81,$A$5)</f>
        <v>0</v>
      </c>
      <c r="H81" s="9">
        <f t="shared" ca="1" si="3"/>
        <v>525</v>
      </c>
      <c r="I81" s="9">
        <f ca="1">[1]!b_anal_yield_cnbd(B81,$A$7)</f>
        <v>0</v>
      </c>
      <c r="J81" s="9">
        <f t="shared" ca="1" si="5"/>
        <v>0</v>
      </c>
      <c r="K81" s="1" t="str">
        <f>[1]!s_info_Nature(B81)</f>
        <v>地方国有企业</v>
      </c>
      <c r="L81" s="1" t="str">
        <f>[1]!b_info_windl1type(B81)</f>
        <v>企业债</v>
      </c>
      <c r="M81" s="3">
        <f>[1]!b_info_couponrate(B81)</f>
        <v>6.88</v>
      </c>
      <c r="N81" s="2" t="str">
        <f>[1]!B_Info_ListedDate(B81)</f>
        <v>2014-06-30</v>
      </c>
      <c r="O81" s="2" t="str">
        <f>[1]!b_issue_firstissue(B81)</f>
        <v>2014-04-28</v>
      </c>
      <c r="P81" s="4">
        <f t="shared" ca="1" si="4"/>
        <v>42989</v>
      </c>
    </row>
    <row r="82" spans="2:16">
      <c r="B82" s="7">
        <v>101652038</v>
      </c>
      <c r="C82" s="7">
        <v>5.2</v>
      </c>
      <c r="D82" s="1" t="str">
        <f>[1]!b_info_name(B82)</f>
        <v>16希望六和MTN001</v>
      </c>
      <c r="E82" s="1" t="str">
        <f>[1]!b_info_latestissurercreditrating(B82)</f>
        <v>AAA</v>
      </c>
      <c r="F82" s="8">
        <f ca="1">[1]!b_anal_day(B82,$A$5)/365</f>
        <v>2.0465753424657533</v>
      </c>
      <c r="G82" s="9">
        <f ca="1">[1]!b_anal_yield_cnbd(B82,$A$5)</f>
        <v>0</v>
      </c>
      <c r="H82" s="9">
        <f t="shared" ca="1" si="3"/>
        <v>520</v>
      </c>
      <c r="I82" s="9">
        <f ca="1">[1]!b_anal_yield_cnbd(B82,$A$7)</f>
        <v>0</v>
      </c>
      <c r="J82" s="9">
        <f t="shared" ca="1" si="5"/>
        <v>0</v>
      </c>
      <c r="K82" s="1" t="str">
        <f>[1]!s_info_Nature(B82)</f>
        <v>民营企业</v>
      </c>
      <c r="L82" s="1" t="str">
        <f>[1]!b_info_windl1type(B82)</f>
        <v>中期票据</v>
      </c>
      <c r="M82" s="3">
        <f>[1]!b_info_couponrate(B82)</f>
        <v>3.13</v>
      </c>
      <c r="N82" s="2" t="str">
        <f>[1]!B_Info_ListedDate(B82)</f>
        <v>2016-09-28</v>
      </c>
      <c r="O82" s="2" t="str">
        <f>[1]!b_issue_firstissue(B82)</f>
        <v>2016-09-23</v>
      </c>
      <c r="P82" s="4">
        <f t="shared" ca="1" si="4"/>
        <v>42989</v>
      </c>
    </row>
    <row r="83" spans="2:16">
      <c r="B83" s="7" t="s">
        <v>704</v>
      </c>
      <c r="C83" s="7">
        <v>5.2</v>
      </c>
      <c r="D83" s="1" t="str">
        <f>[1]!b_info_name(B83)</f>
        <v>15红美01</v>
      </c>
      <c r="E83" s="1" t="str">
        <f>[1]!b_info_latestissurercreditrating(B83)</f>
        <v>AA+</v>
      </c>
      <c r="F83" s="8">
        <f ca="1">[1]!b_anal_day(B83,$A$5)/365</f>
        <v>3.1698630136986301</v>
      </c>
      <c r="G83" s="9">
        <f ca="1">[1]!b_anal_yield_cnbd(B83,$A$5)</f>
        <v>0</v>
      </c>
      <c r="H83" s="9">
        <f t="shared" ca="1" si="3"/>
        <v>520</v>
      </c>
      <c r="I83" s="9">
        <f ca="1">[1]!b_anal_yield_cnbd(B83,$A$7)</f>
        <v>0</v>
      </c>
      <c r="J83" s="9">
        <f t="shared" ca="1" si="5"/>
        <v>0</v>
      </c>
      <c r="K83" s="1" t="str">
        <f>[1]!s_info_Nature(B83)</f>
        <v>民营企业</v>
      </c>
      <c r="L83" s="1" t="str">
        <f>[1]!b_info_windl1type(B83)</f>
        <v>公司债</v>
      </c>
      <c r="M83" s="3">
        <f>[1]!b_info_couponrate(B83)</f>
        <v>4.5</v>
      </c>
      <c r="N83" s="2" t="str">
        <f>[1]!B_Info_ListedDate(B83)</f>
        <v>2015-12-10</v>
      </c>
      <c r="O83" s="2" t="str">
        <f>[1]!b_issue_firstissue(B83)</f>
        <v>2015-11-09</v>
      </c>
      <c r="P83" s="4">
        <f t="shared" ca="1" si="4"/>
        <v>42989</v>
      </c>
    </row>
    <row r="84" spans="2:16">
      <c r="B84" s="7" t="s">
        <v>626</v>
      </c>
      <c r="C84" s="7">
        <v>5.2</v>
      </c>
      <c r="D84" s="1" t="str">
        <f>[1]!b_info_name(B84)</f>
        <v>15梅花02</v>
      </c>
      <c r="E84" s="1" t="str">
        <f>[1]!b_info_latestissurercreditrating(B84)</f>
        <v>AA+</v>
      </c>
      <c r="F84" s="8">
        <f ca="1">[1]!b_anal_day(B84,$A$5)/365</f>
        <v>2.1369863013698631</v>
      </c>
      <c r="G84" s="9">
        <f ca="1">[1]!b_anal_yield_cnbd(B84,$A$5)</f>
        <v>0</v>
      </c>
      <c r="H84" s="9">
        <f t="shared" ca="1" si="3"/>
        <v>520</v>
      </c>
      <c r="I84" s="9">
        <f ca="1">[1]!b_anal_yield_cnbd(B84,$A$7)</f>
        <v>0</v>
      </c>
      <c r="J84" s="9">
        <f t="shared" ca="1" si="5"/>
        <v>0</v>
      </c>
      <c r="K84" s="1" t="str">
        <f>[1]!s_info_Nature(B84)</f>
        <v>民营企业</v>
      </c>
      <c r="L84" s="1" t="str">
        <f>[1]!b_info_windl1type(B84)</f>
        <v>公司债</v>
      </c>
      <c r="M84" s="3">
        <f>[1]!b_info_couponrate(B84)</f>
        <v>4.2699999999999996</v>
      </c>
      <c r="N84" s="2" t="str">
        <f>[1]!B_Info_ListedDate(B84)</f>
        <v>2015-12-07</v>
      </c>
      <c r="O84" s="2" t="str">
        <f>[1]!b_issue_firstissue(B84)</f>
        <v>2015-10-29</v>
      </c>
      <c r="P84" s="4">
        <f t="shared" ca="1" si="4"/>
        <v>42989</v>
      </c>
    </row>
    <row r="85" spans="2:16">
      <c r="B85" s="7">
        <v>1280396</v>
      </c>
      <c r="C85" s="7">
        <v>5.2</v>
      </c>
      <c r="D85" s="1" t="str">
        <f>[1]!b_info_name(B85)</f>
        <v>12张经开发债</v>
      </c>
      <c r="E85" s="1" t="str">
        <f>[1]!b_info_latestissurercreditrating(B85)</f>
        <v>AA+</v>
      </c>
      <c r="F85" s="8">
        <f ca="1">[1]!b_anal_day(B85,$A$5)/365</f>
        <v>2.1835616438356165</v>
      </c>
      <c r="G85" s="9">
        <f ca="1">[1]!b_anal_yield_cnbd(B85,$A$5)</f>
        <v>0</v>
      </c>
      <c r="H85" s="9">
        <f t="shared" ca="1" si="3"/>
        <v>520</v>
      </c>
      <c r="I85" s="9">
        <f ca="1">[1]!b_anal_yield_cnbd(B85,$A$7)</f>
        <v>0</v>
      </c>
      <c r="J85" s="9">
        <f t="shared" ca="1" si="5"/>
        <v>0</v>
      </c>
      <c r="K85" s="1" t="str">
        <f>[1]!s_info_Nature(B85)</f>
        <v>地方国有企业</v>
      </c>
      <c r="L85" s="1" t="str">
        <f>[1]!b_info_windl1type(B85)</f>
        <v>企业债</v>
      </c>
      <c r="M85" s="3">
        <f>[1]!b_info_couponrate(B85)</f>
        <v>6.98</v>
      </c>
      <c r="N85" s="2" t="str">
        <f>[1]!B_Info_ListedDate(B85)</f>
        <v>2012-11-28</v>
      </c>
      <c r="O85" s="2" t="str">
        <f>[1]!b_issue_firstissue(B85)</f>
        <v>2012-11-16</v>
      </c>
      <c r="P85" s="4">
        <f t="shared" ca="1" si="4"/>
        <v>42989</v>
      </c>
    </row>
    <row r="86" spans="2:16">
      <c r="B86" s="7">
        <v>1480086</v>
      </c>
      <c r="C86" s="7">
        <v>5.2</v>
      </c>
      <c r="D86" s="1" t="str">
        <f>[1]!b_info_name(B86)</f>
        <v>14汉车都债</v>
      </c>
      <c r="E86" s="1" t="str">
        <f>[1]!b_info_latestissurercreditrating(B86)</f>
        <v>AA+</v>
      </c>
      <c r="F86" s="8">
        <f ca="1">[1]!b_anal_day(B86,$A$5)/365</f>
        <v>3.4684931506849317</v>
      </c>
      <c r="G86" s="9">
        <f ca="1">[1]!b_anal_yield_cnbd(B86,$A$5)</f>
        <v>0</v>
      </c>
      <c r="H86" s="9">
        <f t="shared" ca="1" si="3"/>
        <v>520</v>
      </c>
      <c r="I86" s="9">
        <f ca="1">[1]!b_anal_yield_cnbd(B86,$A$7)</f>
        <v>0</v>
      </c>
      <c r="J86" s="9">
        <f t="shared" ca="1" si="5"/>
        <v>0</v>
      </c>
      <c r="K86" s="1" t="str">
        <f>[1]!s_info_Nature(B86)</f>
        <v>地方国有企业</v>
      </c>
      <c r="L86" s="1" t="str">
        <f>[1]!b_info_windl1type(B86)</f>
        <v>企业债</v>
      </c>
      <c r="M86" s="3">
        <f>[1]!b_info_couponrate(B86)</f>
        <v>7.18</v>
      </c>
      <c r="N86" s="2" t="str">
        <f>[1]!B_Info_ListedDate(B86)</f>
        <v>2014-03-18</v>
      </c>
      <c r="O86" s="2" t="str">
        <f>[1]!b_issue_firstissue(B86)</f>
        <v>2014-02-27</v>
      </c>
      <c r="P86" s="4">
        <f t="shared" ca="1" si="4"/>
        <v>42989</v>
      </c>
    </row>
    <row r="87" spans="2:16">
      <c r="B87" s="7">
        <v>1480139</v>
      </c>
      <c r="C87" s="7">
        <v>5.2</v>
      </c>
      <c r="D87" s="1" t="str">
        <f>[1]!b_info_name(B87)</f>
        <v>14济宁债</v>
      </c>
      <c r="E87" s="1" t="str">
        <f>[1]!b_info_latestissurercreditrating(B87)</f>
        <v>AA+</v>
      </c>
      <c r="F87" s="8">
        <f ca="1">[1]!b_anal_day(B87,$A$5)/365</f>
        <v>3.5178082191780824</v>
      </c>
      <c r="G87" s="9">
        <f ca="1">[1]!b_anal_yield_cnbd(B87,$A$5)</f>
        <v>0</v>
      </c>
      <c r="H87" s="9">
        <f t="shared" ca="1" si="3"/>
        <v>520</v>
      </c>
      <c r="I87" s="9">
        <f ca="1">[1]!b_anal_yield_cnbd(B87,$A$7)</f>
        <v>0</v>
      </c>
      <c r="J87" s="9">
        <f t="shared" ca="1" si="5"/>
        <v>0</v>
      </c>
      <c r="K87" s="1" t="str">
        <f>[1]!s_info_Nature(B87)</f>
        <v>地方国有企业</v>
      </c>
      <c r="L87" s="1" t="str">
        <f>[1]!b_info_windl1type(B87)</f>
        <v>企业债</v>
      </c>
      <c r="M87" s="3">
        <f>[1]!b_info_couponrate(B87)</f>
        <v>7.05</v>
      </c>
      <c r="N87" s="2" t="str">
        <f>[1]!B_Info_ListedDate(B87)</f>
        <v>2014-04-01</v>
      </c>
      <c r="O87" s="2" t="str">
        <f>[1]!b_issue_firstissue(B87)</f>
        <v>2014-03-17</v>
      </c>
      <c r="P87" s="4">
        <f t="shared" ca="1" si="4"/>
        <v>42989</v>
      </c>
    </row>
    <row r="88" spans="2:16">
      <c r="B88" s="7" t="s">
        <v>615</v>
      </c>
      <c r="C88" s="7">
        <v>5.2</v>
      </c>
      <c r="D88" s="1" t="str">
        <f>[1]!b_info_name(B88)</f>
        <v>PR汉车都</v>
      </c>
      <c r="E88" s="1" t="str">
        <f>[1]!b_info_latestissurercreditrating(B88)</f>
        <v>AA+</v>
      </c>
      <c r="F88" s="8">
        <f ca="1">[1]!b_anal_day(B88,$A$5)/365</f>
        <v>3.4684931506849317</v>
      </c>
      <c r="G88" s="9">
        <f ca="1">[1]!b_anal_yield_cnbd(B88,$A$5)</f>
        <v>0</v>
      </c>
      <c r="H88" s="9">
        <f t="shared" ca="1" si="3"/>
        <v>520</v>
      </c>
      <c r="I88" s="9">
        <f ca="1">[1]!b_anal_yield_cnbd(B88,$A$7)</f>
        <v>0</v>
      </c>
      <c r="J88" s="9">
        <f t="shared" ca="1" si="5"/>
        <v>0</v>
      </c>
      <c r="K88" s="1" t="str">
        <f>[1]!s_info_Nature(B88)</f>
        <v>地方国有企业</v>
      </c>
      <c r="L88" s="1" t="str">
        <f>[1]!b_info_windl1type(B88)</f>
        <v>企业债</v>
      </c>
      <c r="M88" s="3">
        <f>[1]!b_info_couponrate(B88)</f>
        <v>7.18</v>
      </c>
      <c r="N88" s="2" t="str">
        <f>[1]!B_Info_ListedDate(B88)</f>
        <v>2014-03-28</v>
      </c>
      <c r="O88" s="2" t="str">
        <f>[1]!b_issue_firstissue(B88)</f>
        <v>2014-02-27</v>
      </c>
      <c r="P88" s="4">
        <f t="shared" ca="1" si="4"/>
        <v>42989</v>
      </c>
    </row>
    <row r="89" spans="2:16">
      <c r="B89" s="7">
        <v>11698843</v>
      </c>
      <c r="C89" s="7">
        <v>5.18</v>
      </c>
      <c r="D89" s="1" t="str">
        <f>[1]!b_info_name(B89)</f>
        <v>16铜陵有色SCP002</v>
      </c>
      <c r="E89" s="1" t="str">
        <f>[1]!b_info_latestissurercreditrating(B89)</f>
        <v>AA+</v>
      </c>
      <c r="F89" s="8">
        <f ca="1">[1]!b_anal_day(B89,$A$5)/365</f>
        <v>0</v>
      </c>
      <c r="G89" s="9">
        <f ca="1">[1]!b_anal_yield_cnbd(B89,$A$5)</f>
        <v>0</v>
      </c>
      <c r="H89" s="9">
        <f t="shared" ca="1" si="3"/>
        <v>518</v>
      </c>
      <c r="I89" s="9">
        <f ca="1">[1]!b_anal_yield_cnbd(B89,$A$7)</f>
        <v>0</v>
      </c>
      <c r="J89" s="9">
        <f t="shared" ca="1" si="5"/>
        <v>0</v>
      </c>
      <c r="K89" s="1" t="str">
        <f>[1]!s_info_Nature(B89)</f>
        <v>地方国有企业</v>
      </c>
      <c r="L89" s="1" t="str">
        <f>[1]!b_info_windl1type(B89)</f>
        <v>短期融资券</v>
      </c>
      <c r="M89" s="3">
        <f>[1]!b_info_couponrate(B89)</f>
        <v>3.91</v>
      </c>
      <c r="N89" s="2" t="str">
        <f>[1]!B_Info_ListedDate(B89)</f>
        <v>2016-11-21</v>
      </c>
      <c r="O89" s="2" t="str">
        <f>[1]!b_issue_firstissue(B89)</f>
        <v>2016-11-16</v>
      </c>
      <c r="P89" s="4">
        <f t="shared" ca="1" si="4"/>
        <v>42989</v>
      </c>
    </row>
    <row r="90" spans="2:16">
      <c r="B90" s="7">
        <v>11759008</v>
      </c>
      <c r="C90" s="7">
        <v>5.18</v>
      </c>
      <c r="D90" s="1" t="str">
        <f>[1]!b_info_name(B90)</f>
        <v>17晋能SCP001</v>
      </c>
      <c r="E90" s="1" t="str">
        <f>[1]!b_info_latestissurercreditrating(B90)</f>
        <v>AAA</v>
      </c>
      <c r="F90" s="8">
        <f ca="1">[1]!b_anal_day(B90,$A$5)/365</f>
        <v>0.17534246575342466</v>
      </c>
      <c r="G90" s="9">
        <f ca="1">[1]!b_anal_yield_cnbd(B90,$A$5)</f>
        <v>0</v>
      </c>
      <c r="H90" s="9">
        <f t="shared" ca="1" si="3"/>
        <v>518</v>
      </c>
      <c r="I90" s="9">
        <f ca="1">[1]!b_anal_yield_cnbd(B90,$A$7)</f>
        <v>0</v>
      </c>
      <c r="J90" s="9">
        <f t="shared" ca="1" si="5"/>
        <v>0</v>
      </c>
      <c r="K90" s="1" t="str">
        <f>[1]!s_info_Nature(B90)</f>
        <v>地方国有企业</v>
      </c>
      <c r="L90" s="1" t="str">
        <f>[1]!b_info_windl1type(B90)</f>
        <v>短期融资券</v>
      </c>
      <c r="M90" s="3">
        <f>[1]!b_info_couponrate(B90)</f>
        <v>4.71</v>
      </c>
      <c r="N90" s="2" t="str">
        <f>[1]!B_Info_ListedDate(B90)</f>
        <v>2017-02-17</v>
      </c>
      <c r="O90" s="2" t="str">
        <f>[1]!b_issue_firstissue(B90)</f>
        <v>2017-02-14</v>
      </c>
      <c r="P90" s="4">
        <f t="shared" ca="1" si="4"/>
        <v>42989</v>
      </c>
    </row>
    <row r="91" spans="2:16">
      <c r="B91" s="7">
        <v>1622013</v>
      </c>
      <c r="C91" s="7">
        <v>5.17</v>
      </c>
      <c r="D91" s="1" t="str">
        <f>[1]!b_info_name(B91)</f>
        <v>16江苏租赁债</v>
      </c>
      <c r="E91" s="1" t="str">
        <f>[1]!b_info_latestissurercreditrating(B91)</f>
        <v>AAA</v>
      </c>
      <c r="F91" s="8">
        <f ca="1">[1]!b_anal_day(B91,$A$5)/365</f>
        <v>1.9561643835616438</v>
      </c>
      <c r="G91" s="9">
        <f ca="1">[1]!b_anal_yield_cnbd(B91,$A$5)</f>
        <v>0</v>
      </c>
      <c r="H91" s="9">
        <f t="shared" ca="1" si="3"/>
        <v>517</v>
      </c>
      <c r="I91" s="9">
        <f ca="1">[1]!b_anal_yield_cnbd(B91,$A$7)</f>
        <v>0</v>
      </c>
      <c r="J91" s="9">
        <f t="shared" ca="1" si="5"/>
        <v>0</v>
      </c>
      <c r="K91" s="1" t="str">
        <f>[1]!s_info_Nature(B91)</f>
        <v>地方国有企业</v>
      </c>
      <c r="L91" s="1" t="str">
        <f>[1]!b_info_windl1type(B91)</f>
        <v>金融债</v>
      </c>
      <c r="M91" s="3">
        <f>[1]!b_info_couponrate(B91)</f>
        <v>3.25</v>
      </c>
      <c r="N91" s="2" t="str">
        <f>[1]!B_Info_ListedDate(B91)</f>
        <v>2016-08-26</v>
      </c>
      <c r="O91" s="2" t="str">
        <f>[1]!b_issue_firstissue(B91)</f>
        <v>2016-08-24</v>
      </c>
      <c r="P91" s="4">
        <f t="shared" ca="1" si="4"/>
        <v>42989</v>
      </c>
    </row>
    <row r="92" spans="2:16">
      <c r="B92" s="7">
        <v>101659006</v>
      </c>
      <c r="C92" s="7">
        <v>5.15</v>
      </c>
      <c r="D92" s="1" t="str">
        <f>[1]!b_info_name(B92)</f>
        <v>16桑德MTN001</v>
      </c>
      <c r="E92" s="1" t="str">
        <f>[1]!b_info_latestissurercreditrating(B92)</f>
        <v>AA+</v>
      </c>
      <c r="F92" s="8">
        <f ca="1">[1]!b_anal_day(B92,$A$5)/365</f>
        <v>1.3808219178082193</v>
      </c>
      <c r="G92" s="9">
        <f ca="1">[1]!b_anal_yield_cnbd(B92,$A$5)</f>
        <v>0</v>
      </c>
      <c r="H92" s="9">
        <f t="shared" ca="1" si="3"/>
        <v>515</v>
      </c>
      <c r="I92" s="9">
        <f ca="1">[1]!b_anal_yield_cnbd(B92,$A$7)</f>
        <v>0</v>
      </c>
      <c r="J92" s="9">
        <f t="shared" ca="1" si="5"/>
        <v>0</v>
      </c>
      <c r="K92" s="1" t="str">
        <f>[1]!s_info_Nature(B92)</f>
        <v>中央国有企业</v>
      </c>
      <c r="L92" s="1" t="str">
        <f>[1]!b_info_windl1type(B92)</f>
        <v>中期票据</v>
      </c>
      <c r="M92" s="3">
        <f>[1]!b_info_couponrate(B92)</f>
        <v>3.63</v>
      </c>
      <c r="N92" s="2" t="str">
        <f>[1]!B_Info_ListedDate(B92)</f>
        <v>2016-01-28</v>
      </c>
      <c r="O92" s="2" t="str">
        <f>[1]!b_issue_firstissue(B92)</f>
        <v>2016-01-25</v>
      </c>
      <c r="P92" s="4">
        <f t="shared" ca="1" si="4"/>
        <v>42989</v>
      </c>
    </row>
    <row r="93" spans="2:16">
      <c r="B93" s="7">
        <v>101659006</v>
      </c>
      <c r="C93" s="7">
        <v>5.15</v>
      </c>
      <c r="D93" s="1" t="str">
        <f>[1]!b_info_name(B93)</f>
        <v>16桑德MTN001</v>
      </c>
      <c r="E93" s="1" t="str">
        <f>[1]!b_info_latestissurercreditrating(B93)</f>
        <v>AA+</v>
      </c>
      <c r="F93" s="8">
        <f ca="1">[1]!b_anal_day(B93,$A$5)/365</f>
        <v>1.3808219178082193</v>
      </c>
      <c r="G93" s="9">
        <f ca="1">[1]!b_anal_yield_cnbd(B93,$A$5)</f>
        <v>0</v>
      </c>
      <c r="H93" s="9">
        <f t="shared" ca="1" si="3"/>
        <v>515</v>
      </c>
      <c r="I93" s="9">
        <f ca="1">[1]!b_anal_yield_cnbd(B93,$A$7)</f>
        <v>0</v>
      </c>
      <c r="J93" s="9">
        <f t="shared" ca="1" si="5"/>
        <v>0</v>
      </c>
      <c r="K93" s="1" t="str">
        <f>[1]!s_info_Nature(B93)</f>
        <v>中央国有企业</v>
      </c>
      <c r="L93" s="1" t="str">
        <f>[1]!b_info_windl1type(B93)</f>
        <v>中期票据</v>
      </c>
      <c r="M93" s="3">
        <f>[1]!b_info_couponrate(B93)</f>
        <v>3.63</v>
      </c>
      <c r="N93" s="2" t="str">
        <f>[1]!B_Info_ListedDate(B93)</f>
        <v>2016-01-28</v>
      </c>
      <c r="O93" s="2" t="str">
        <f>[1]!b_issue_firstissue(B93)</f>
        <v>2016-01-25</v>
      </c>
      <c r="P93" s="4">
        <f t="shared" ca="1" si="4"/>
        <v>42989</v>
      </c>
    </row>
    <row r="94" spans="2:16">
      <c r="B94" s="7">
        <v>1580079</v>
      </c>
      <c r="C94" s="7">
        <v>5.15</v>
      </c>
      <c r="D94" s="1" t="str">
        <f>[1]!b_info_name(B94)</f>
        <v>15沪闵行债</v>
      </c>
      <c r="E94" s="1" t="str">
        <f>[1]!b_info_latestissurercreditrating(B94)</f>
        <v>AA+</v>
      </c>
      <c r="F94" s="8">
        <f ca="1">[1]!b_anal_day(B94,$A$5)/365</f>
        <v>4.6109589041095891</v>
      </c>
      <c r="G94" s="9">
        <f ca="1">[1]!b_anal_yield_cnbd(B94,$A$5)</f>
        <v>0</v>
      </c>
      <c r="H94" s="9">
        <f t="shared" ca="1" si="3"/>
        <v>515</v>
      </c>
      <c r="I94" s="9">
        <f ca="1">[1]!b_anal_yield_cnbd(B94,$A$7)</f>
        <v>0</v>
      </c>
      <c r="J94" s="9">
        <f t="shared" ca="1" si="5"/>
        <v>0</v>
      </c>
      <c r="K94" s="1" t="str">
        <f>[1]!s_info_Nature(B94)</f>
        <v>地方国有企业</v>
      </c>
      <c r="L94" s="1" t="str">
        <f>[1]!b_info_windl1type(B94)</f>
        <v>企业债</v>
      </c>
      <c r="M94" s="3">
        <f>[1]!b_info_couponrate(B94)</f>
        <v>5.63</v>
      </c>
      <c r="N94" s="2" t="str">
        <f>[1]!B_Info_ListedDate(B94)</f>
        <v>2015-04-29</v>
      </c>
      <c r="O94" s="2" t="str">
        <f>[1]!b_issue_firstissue(B94)</f>
        <v>2015-04-17</v>
      </c>
      <c r="P94" s="4">
        <f t="shared" ca="1" si="4"/>
        <v>42989</v>
      </c>
    </row>
    <row r="95" spans="2:16">
      <c r="B95" s="7">
        <v>1580079</v>
      </c>
      <c r="C95" s="7">
        <v>5.15</v>
      </c>
      <c r="D95" s="1" t="str">
        <f>[1]!b_info_name(B95)</f>
        <v>15沪闵行债</v>
      </c>
      <c r="E95" s="1" t="str">
        <f>[1]!b_info_latestissurercreditrating(B95)</f>
        <v>AA+</v>
      </c>
      <c r="F95" s="8">
        <f ca="1">[1]!b_anal_day(B95,$A$5)/365</f>
        <v>4.6109589041095891</v>
      </c>
      <c r="G95" s="9">
        <f ca="1">[1]!b_anal_yield_cnbd(B95,$A$5)</f>
        <v>0</v>
      </c>
      <c r="H95" s="9">
        <f t="shared" ca="1" si="3"/>
        <v>515</v>
      </c>
      <c r="I95" s="9">
        <f ca="1">[1]!b_anal_yield_cnbd(B95,$A$7)</f>
        <v>0</v>
      </c>
      <c r="J95" s="9">
        <f t="shared" ca="1" si="5"/>
        <v>0</v>
      </c>
      <c r="K95" s="1" t="str">
        <f>[1]!s_info_Nature(B95)</f>
        <v>地方国有企业</v>
      </c>
      <c r="L95" s="1" t="str">
        <f>[1]!b_info_windl1type(B95)</f>
        <v>企业债</v>
      </c>
      <c r="M95" s="3">
        <f>[1]!b_info_couponrate(B95)</f>
        <v>5.63</v>
      </c>
      <c r="N95" s="2" t="str">
        <f>[1]!B_Info_ListedDate(B95)</f>
        <v>2015-04-29</v>
      </c>
      <c r="O95" s="2" t="str">
        <f>[1]!b_issue_firstissue(B95)</f>
        <v>2015-04-17</v>
      </c>
      <c r="P95" s="4">
        <f t="shared" ca="1" si="4"/>
        <v>42989</v>
      </c>
    </row>
    <row r="96" spans="2:16">
      <c r="B96" s="7">
        <v>101452019</v>
      </c>
      <c r="C96" s="7">
        <v>5.15</v>
      </c>
      <c r="D96" s="1" t="str">
        <f>[1]!b_info_name(B96)</f>
        <v>14红狮MTN002</v>
      </c>
      <c r="E96" s="1" t="str">
        <f>[1]!b_info_latestissurercreditrating(B96)</f>
        <v>AA+</v>
      </c>
      <c r="F96" s="8">
        <f ca="1">[1]!b_anal_day(B96,$A$5)/365</f>
        <v>0</v>
      </c>
      <c r="G96" s="9">
        <f ca="1">[1]!b_anal_yield_cnbd(B96,$A$5)</f>
        <v>0</v>
      </c>
      <c r="H96" s="9">
        <f t="shared" ca="1" si="3"/>
        <v>515</v>
      </c>
      <c r="I96" s="9">
        <f ca="1">[1]!b_anal_yield_cnbd(B96,$A$7)</f>
        <v>0</v>
      </c>
      <c r="J96" s="9">
        <f t="shared" ca="1" si="5"/>
        <v>0</v>
      </c>
      <c r="K96" s="1" t="str">
        <f>[1]!s_info_Nature(B96)</f>
        <v>民营企业</v>
      </c>
      <c r="L96" s="1" t="str">
        <f>[1]!b_info_windl1type(B96)</f>
        <v>中期票据</v>
      </c>
      <c r="M96" s="3">
        <f>[1]!b_info_couponrate(B96)</f>
        <v>7.8</v>
      </c>
      <c r="N96" s="2" t="str">
        <f>[1]!B_Info_ListedDate(B96)</f>
        <v>2014-08-28</v>
      </c>
      <c r="O96" s="2" t="str">
        <f>[1]!b_issue_firstissue(B96)</f>
        <v>2014-08-25</v>
      </c>
      <c r="P96" s="4">
        <f t="shared" ca="1" si="4"/>
        <v>42989</v>
      </c>
    </row>
    <row r="97" spans="2:16">
      <c r="B97" s="7">
        <v>131751001</v>
      </c>
      <c r="C97" s="7">
        <v>5.15</v>
      </c>
      <c r="D97" s="1" t="str">
        <f>[1]!b_info_name(B97)</f>
        <v>17国网节能GN001</v>
      </c>
      <c r="E97" s="1" t="str">
        <f>[1]!b_info_latestissurercreditrating(B97)</f>
        <v>AA+</v>
      </c>
      <c r="F97" s="8">
        <f ca="1">[1]!b_anal_day(B97,$A$5)/365</f>
        <v>2.6246575342465754</v>
      </c>
      <c r="G97" s="9">
        <f ca="1">[1]!b_anal_yield_cnbd(B97,$A$5)</f>
        <v>0</v>
      </c>
      <c r="H97" s="9">
        <f t="shared" ca="1" si="3"/>
        <v>515</v>
      </c>
      <c r="I97" s="9">
        <f ca="1">[1]!b_anal_yield_cnbd(B97,$A$7)</f>
        <v>0</v>
      </c>
      <c r="J97" s="9">
        <f t="shared" ca="1" si="5"/>
        <v>0</v>
      </c>
      <c r="K97" s="1" t="str">
        <f>[1]!s_info_Nature(B97)</f>
        <v>中外合资企业</v>
      </c>
      <c r="L97" s="1" t="str">
        <f>[1]!b_info_windl1type(B97)</f>
        <v>中期票据</v>
      </c>
      <c r="M97" s="3">
        <f>[1]!b_info_couponrate(B97)</f>
        <v>4.99</v>
      </c>
      <c r="N97" s="2" t="str">
        <f>[1]!B_Info_ListedDate(B97)</f>
        <v>2017-04-26</v>
      </c>
      <c r="O97" s="2" t="str">
        <f>[1]!b_issue_firstissue(B97)</f>
        <v>2017-04-21</v>
      </c>
      <c r="P97" s="4">
        <f t="shared" ca="1" si="4"/>
        <v>42989</v>
      </c>
    </row>
    <row r="98" spans="2:16">
      <c r="B98" s="7" t="s">
        <v>872</v>
      </c>
      <c r="C98" s="7">
        <v>5.15</v>
      </c>
      <c r="D98" s="1" t="str">
        <f>[1]!b_info_name(B98)</f>
        <v>16桐昆01</v>
      </c>
      <c r="E98" s="1" t="str">
        <f>[1]!b_info_latestissurercreditrating(B98)</f>
        <v>AA</v>
      </c>
      <c r="F98" s="8">
        <f ca="1">[1]!b_anal_day(B98,$A$5)/365</f>
        <v>1.3479452054794521</v>
      </c>
      <c r="G98" s="9">
        <f ca="1">[1]!b_anal_yield_cnbd(B98,$A$5)</f>
        <v>0</v>
      </c>
      <c r="H98" s="9">
        <f t="shared" ca="1" si="3"/>
        <v>515</v>
      </c>
      <c r="I98" s="9">
        <f ca="1">[1]!b_anal_yield_cnbd(B98,$A$7)</f>
        <v>0</v>
      </c>
      <c r="J98" s="9">
        <f t="shared" ca="1" si="5"/>
        <v>0</v>
      </c>
      <c r="K98" s="1" t="str">
        <f>[1]!s_info_Nature(B98)</f>
        <v>民营企业</v>
      </c>
      <c r="L98" s="1" t="str">
        <f>[1]!b_info_windl1type(B98)</f>
        <v>公司债</v>
      </c>
      <c r="M98" s="3">
        <f>[1]!b_info_couponrate(B98)</f>
        <v>3.95</v>
      </c>
      <c r="N98" s="2" t="str">
        <f>[1]!B_Info_ListedDate(B98)</f>
        <v>2016-02-04</v>
      </c>
      <c r="O98" s="2" t="str">
        <f>[1]!b_issue_firstissue(B98)</f>
        <v>2016-01-14</v>
      </c>
      <c r="P98" s="4">
        <f t="shared" ca="1" si="4"/>
        <v>42989</v>
      </c>
    </row>
    <row r="99" spans="2:16">
      <c r="B99" s="7">
        <v>41669031</v>
      </c>
      <c r="C99" s="7">
        <v>5.13</v>
      </c>
      <c r="D99" s="1" t="str">
        <f>[1]!b_info_name(B99)</f>
        <v>16有研院CP001</v>
      </c>
      <c r="E99" s="1" t="str">
        <f>[1]!b_info_latestissurercreditrating(B99)</f>
        <v>AA</v>
      </c>
      <c r="F99" s="8">
        <f ca="1">[1]!b_anal_day(B99,$A$5)/365</f>
        <v>0.25753424657534246</v>
      </c>
      <c r="G99" s="9">
        <f ca="1">[1]!b_anal_yield_cnbd(B99,$A$5)</f>
        <v>0</v>
      </c>
      <c r="H99" s="9">
        <f t="shared" ca="1" si="3"/>
        <v>513</v>
      </c>
      <c r="I99" s="9">
        <f ca="1">[1]!b_anal_yield_cnbd(B99,$A$7)</f>
        <v>0</v>
      </c>
      <c r="J99" s="9">
        <f t="shared" ca="1" si="5"/>
        <v>0</v>
      </c>
      <c r="K99" s="1" t="str">
        <f>[1]!s_info_Nature(B99)</f>
        <v>中央国有企业</v>
      </c>
      <c r="L99" s="1" t="str">
        <f>[1]!b_info_windl1type(B99)</f>
        <v>短期融资券</v>
      </c>
      <c r="M99" s="3">
        <f>[1]!b_info_couponrate(B99)</f>
        <v>4.38</v>
      </c>
      <c r="N99" s="2" t="str">
        <f>[1]!B_Info_ListedDate(B99)</f>
        <v>2016-12-14</v>
      </c>
      <c r="O99" s="2" t="str">
        <f>[1]!b_issue_firstissue(B99)</f>
        <v>2016-12-12</v>
      </c>
      <c r="P99" s="4">
        <f t="shared" ca="1" si="4"/>
        <v>42989</v>
      </c>
    </row>
    <row r="100" spans="2:16">
      <c r="B100" s="7">
        <v>1282507</v>
      </c>
      <c r="C100" s="7">
        <v>5.13</v>
      </c>
      <c r="D100" s="1" t="str">
        <f>[1]!b_info_name(B100)</f>
        <v>12兴澄MTN1</v>
      </c>
      <c r="E100" s="1" t="str">
        <f>[1]!b_info_latestissurercreditrating(B100)</f>
        <v>AA+</v>
      </c>
      <c r="F100" s="8">
        <f ca="1">[1]!b_anal_day(B100,$A$5)/365</f>
        <v>0.21643835616438356</v>
      </c>
      <c r="G100" s="9">
        <f ca="1">[1]!b_anal_yield_cnbd(B100,$A$5)</f>
        <v>0</v>
      </c>
      <c r="H100" s="9">
        <f t="shared" ca="1" si="3"/>
        <v>513</v>
      </c>
      <c r="I100" s="9">
        <f ca="1">[1]!b_anal_yield_cnbd(B100,$A$7)</f>
        <v>0</v>
      </c>
      <c r="J100" s="9">
        <f t="shared" ca="1" si="5"/>
        <v>0</v>
      </c>
      <c r="K100" s="1" t="str">
        <f>[1]!s_info_Nature(B100)</f>
        <v>中央国有企业</v>
      </c>
      <c r="L100" s="1" t="str">
        <f>[1]!b_info_windl1type(B100)</f>
        <v>中期票据</v>
      </c>
      <c r="M100" s="3">
        <f>[1]!b_info_couponrate(B100)</f>
        <v>6.06</v>
      </c>
      <c r="N100" s="2" t="str">
        <f>[1]!B_Info_ListedDate(B100)</f>
        <v>2012-11-29</v>
      </c>
      <c r="O100" s="2" t="str">
        <f>[1]!b_issue_firstissue(B100)</f>
        <v>2012-11-27</v>
      </c>
      <c r="P100" s="4">
        <f t="shared" ca="1" si="4"/>
        <v>42989</v>
      </c>
    </row>
    <row r="101" spans="2:16">
      <c r="B101" s="7">
        <v>11698519</v>
      </c>
      <c r="C101" s="7">
        <v>5.12</v>
      </c>
      <c r="D101" s="1" t="str">
        <f>[1]!b_info_name(B101)</f>
        <v>16开滦SCP003</v>
      </c>
      <c r="E101" s="1" t="str">
        <f>[1]!b_info_latestissurercreditrating(B101)</f>
        <v>AA+</v>
      </c>
      <c r="F101" s="8">
        <f ca="1">[1]!b_anal_day(B101,$A$5)/365</f>
        <v>0</v>
      </c>
      <c r="G101" s="9">
        <f ca="1">[1]!b_anal_yield_cnbd(B101,$A$5)</f>
        <v>0</v>
      </c>
      <c r="H101" s="9">
        <f t="shared" ca="1" si="3"/>
        <v>512</v>
      </c>
      <c r="I101" s="9">
        <f ca="1">[1]!b_anal_yield_cnbd(B101,$A$7)</f>
        <v>0</v>
      </c>
      <c r="J101" s="9">
        <f t="shared" ca="1" si="5"/>
        <v>0</v>
      </c>
      <c r="K101" s="1" t="str">
        <f>[1]!s_info_Nature(B101)</f>
        <v>地方国有企业</v>
      </c>
      <c r="L101" s="1" t="str">
        <f>[1]!b_info_windl1type(B101)</f>
        <v>短期融资券</v>
      </c>
      <c r="M101" s="3">
        <f>[1]!b_info_couponrate(B101)</f>
        <v>5.2</v>
      </c>
      <c r="N101" s="2" t="str">
        <f>[1]!B_Info_ListedDate(B101)</f>
        <v>2016-09-30</v>
      </c>
      <c r="O101" s="2" t="str">
        <f>[1]!b_issue_firstissue(B101)</f>
        <v>2016-09-27</v>
      </c>
      <c r="P101" s="4">
        <f t="shared" ca="1" si="4"/>
        <v>42989</v>
      </c>
    </row>
    <row r="102" spans="2:16">
      <c r="B102" s="7">
        <v>11698519</v>
      </c>
      <c r="C102" s="7">
        <v>5.12</v>
      </c>
      <c r="D102" s="1" t="str">
        <f>[1]!b_info_name(B102)</f>
        <v>16开滦SCP003</v>
      </c>
      <c r="E102" s="1" t="str">
        <f>[1]!b_info_latestissurercreditrating(B102)</f>
        <v>AA+</v>
      </c>
      <c r="F102" s="8">
        <f ca="1">[1]!b_anal_day(B102,$A$5)/365</f>
        <v>0</v>
      </c>
      <c r="G102" s="9">
        <f ca="1">[1]!b_anal_yield_cnbd(B102,$A$5)</f>
        <v>0</v>
      </c>
      <c r="H102" s="9">
        <f t="shared" ca="1" si="3"/>
        <v>512</v>
      </c>
      <c r="I102" s="9">
        <f ca="1">[1]!b_anal_yield_cnbd(B102,$A$7)</f>
        <v>0</v>
      </c>
      <c r="J102" s="9">
        <f t="shared" ca="1" si="5"/>
        <v>0</v>
      </c>
      <c r="K102" s="1" t="str">
        <f>[1]!s_info_Nature(B102)</f>
        <v>地方国有企业</v>
      </c>
      <c r="L102" s="1" t="str">
        <f>[1]!b_info_windl1type(B102)</f>
        <v>短期融资券</v>
      </c>
      <c r="M102" s="3">
        <f>[1]!b_info_couponrate(B102)</f>
        <v>5.2</v>
      </c>
      <c r="N102" s="2" t="str">
        <f>[1]!B_Info_ListedDate(B102)</f>
        <v>2016-09-30</v>
      </c>
      <c r="O102" s="2" t="str">
        <f>[1]!b_issue_firstissue(B102)</f>
        <v>2016-09-27</v>
      </c>
      <c r="P102" s="4">
        <f t="shared" ca="1" si="4"/>
        <v>42989</v>
      </c>
    </row>
    <row r="103" spans="2:16">
      <c r="B103" s="7">
        <v>101464041</v>
      </c>
      <c r="C103" s="7">
        <v>5.0999999999999996</v>
      </c>
      <c r="D103" s="1" t="str">
        <f>[1]!b_info_name(B103)</f>
        <v>14复星MTN001</v>
      </c>
      <c r="E103" s="1" t="str">
        <f>[1]!b_info_latestissurercreditrating(B103)</f>
        <v>AAA</v>
      </c>
      <c r="F103" s="8">
        <f ca="1">[1]!b_anal_day(B103,$A$5)/365</f>
        <v>0.12054794520547946</v>
      </c>
      <c r="G103" s="9">
        <f ca="1">[1]!b_anal_yield_cnbd(B103,$A$5)</f>
        <v>0</v>
      </c>
      <c r="H103" s="9">
        <f t="shared" ca="1" si="3"/>
        <v>509.99999999999994</v>
      </c>
      <c r="I103" s="9">
        <f ca="1">[1]!b_anal_yield_cnbd(B103,$A$7)</f>
        <v>0</v>
      </c>
      <c r="J103" s="9">
        <f t="shared" ca="1" si="5"/>
        <v>0</v>
      </c>
      <c r="K103" s="1" t="str">
        <f>[1]!s_info_Nature(B103)</f>
        <v>民营企业</v>
      </c>
      <c r="L103" s="1" t="str">
        <f>[1]!b_info_windl1type(B103)</f>
        <v>中期票据</v>
      </c>
      <c r="M103" s="3">
        <f>[1]!b_info_couponrate(B103)</f>
        <v>5.05</v>
      </c>
      <c r="N103" s="2" t="str">
        <f>[1]!B_Info_ListedDate(B103)</f>
        <v>2014-10-27</v>
      </c>
      <c r="O103" s="2" t="str">
        <f>[1]!b_issue_firstissue(B103)</f>
        <v>2014-10-22</v>
      </c>
      <c r="P103" s="4">
        <f t="shared" ca="1" si="4"/>
        <v>42989</v>
      </c>
    </row>
    <row r="104" spans="2:16">
      <c r="B104" s="7">
        <v>101464041</v>
      </c>
      <c r="C104" s="7">
        <v>5.0999999999999996</v>
      </c>
      <c r="D104" s="1" t="str">
        <f>[1]!b_info_name(B104)</f>
        <v>14复星MTN001</v>
      </c>
      <c r="E104" s="1" t="str">
        <f>[1]!b_info_latestissurercreditrating(B104)</f>
        <v>AAA</v>
      </c>
      <c r="F104" s="8">
        <f ca="1">[1]!b_anal_day(B104,$A$5)/365</f>
        <v>0.12054794520547946</v>
      </c>
      <c r="G104" s="9">
        <f ca="1">[1]!b_anal_yield_cnbd(B104,$A$5)</f>
        <v>0</v>
      </c>
      <c r="H104" s="9">
        <f t="shared" ca="1" si="3"/>
        <v>509.99999999999994</v>
      </c>
      <c r="I104" s="9">
        <f ca="1">[1]!b_anal_yield_cnbd(B104,$A$7)</f>
        <v>0</v>
      </c>
      <c r="J104" s="9">
        <f t="shared" ca="1" si="5"/>
        <v>0</v>
      </c>
      <c r="K104" s="1" t="str">
        <f>[1]!s_info_Nature(B104)</f>
        <v>民营企业</v>
      </c>
      <c r="L104" s="1" t="str">
        <f>[1]!b_info_windl1type(B104)</f>
        <v>中期票据</v>
      </c>
      <c r="M104" s="3">
        <f>[1]!b_info_couponrate(B104)</f>
        <v>5.05</v>
      </c>
      <c r="N104" s="2" t="str">
        <f>[1]!B_Info_ListedDate(B104)</f>
        <v>2014-10-27</v>
      </c>
      <c r="O104" s="2" t="str">
        <f>[1]!b_issue_firstissue(B104)</f>
        <v>2014-10-22</v>
      </c>
      <c r="P104" s="4">
        <f t="shared" ca="1" si="4"/>
        <v>42989</v>
      </c>
    </row>
    <row r="105" spans="2:16">
      <c r="B105" s="7">
        <v>101664036</v>
      </c>
      <c r="C105" s="7">
        <v>5.0999999999999996</v>
      </c>
      <c r="D105" s="1" t="str">
        <f>[1]!b_info_name(B105)</f>
        <v>16同盛投资MTN001</v>
      </c>
      <c r="E105" s="1" t="str">
        <f>[1]!b_info_latestissurercreditrating(B105)</f>
        <v>AAA</v>
      </c>
      <c r="F105" s="8">
        <f ca="1">[1]!b_anal_day(B105,$A$5)/365</f>
        <v>8.8273972602739725</v>
      </c>
      <c r="G105" s="9">
        <f ca="1">[1]!b_anal_yield_cnbd(B105,$A$5)</f>
        <v>0</v>
      </c>
      <c r="H105" s="9">
        <f t="shared" ca="1" si="3"/>
        <v>509.99999999999994</v>
      </c>
      <c r="I105" s="9">
        <f ca="1">[1]!b_anal_yield_cnbd(B105,$A$7)</f>
        <v>0</v>
      </c>
      <c r="J105" s="9">
        <f t="shared" ca="1" si="5"/>
        <v>0</v>
      </c>
      <c r="K105" s="1" t="str">
        <f>[1]!s_info_Nature(B105)</f>
        <v>地方国有企业</v>
      </c>
      <c r="L105" s="1" t="str">
        <f>[1]!b_info_windl1type(B105)</f>
        <v>中期票据</v>
      </c>
      <c r="M105" s="3">
        <f>[1]!b_info_couponrate(B105)</f>
        <v>3.66</v>
      </c>
      <c r="N105" s="2" t="str">
        <f>[1]!B_Info_ListedDate(B105)</f>
        <v>2016-07-08</v>
      </c>
      <c r="O105" s="2" t="str">
        <f>[1]!b_issue_firstissue(B105)</f>
        <v>2016-07-05</v>
      </c>
      <c r="P105" s="4">
        <f t="shared" ca="1" si="4"/>
        <v>42989</v>
      </c>
    </row>
    <row r="106" spans="2:16">
      <c r="B106" s="7">
        <v>101664036</v>
      </c>
      <c r="C106" s="7">
        <v>5.0999999999999996</v>
      </c>
      <c r="D106" s="1" t="str">
        <f>[1]!b_info_name(B106)</f>
        <v>16同盛投资MTN001</v>
      </c>
      <c r="E106" s="1" t="str">
        <f>[1]!b_info_latestissurercreditrating(B106)</f>
        <v>AAA</v>
      </c>
      <c r="F106" s="8">
        <f ca="1">[1]!b_anal_day(B106,$A$5)/365</f>
        <v>8.8273972602739725</v>
      </c>
      <c r="G106" s="9">
        <f ca="1">[1]!b_anal_yield_cnbd(B106,$A$5)</f>
        <v>0</v>
      </c>
      <c r="H106" s="9">
        <f t="shared" ca="1" si="3"/>
        <v>509.99999999999994</v>
      </c>
      <c r="I106" s="9">
        <f ca="1">[1]!b_anal_yield_cnbd(B106,$A$7)</f>
        <v>0</v>
      </c>
      <c r="J106" s="9">
        <f t="shared" ca="1" si="5"/>
        <v>0</v>
      </c>
      <c r="K106" s="1" t="str">
        <f>[1]!s_info_Nature(B106)</f>
        <v>地方国有企业</v>
      </c>
      <c r="L106" s="1" t="str">
        <f>[1]!b_info_windl1type(B106)</f>
        <v>中期票据</v>
      </c>
      <c r="M106" s="3">
        <f>[1]!b_info_couponrate(B106)</f>
        <v>3.66</v>
      </c>
      <c r="N106" s="2" t="str">
        <f>[1]!B_Info_ListedDate(B106)</f>
        <v>2016-07-08</v>
      </c>
      <c r="O106" s="2" t="str">
        <f>[1]!b_issue_firstissue(B106)</f>
        <v>2016-07-05</v>
      </c>
      <c r="P106" s="4">
        <f t="shared" ca="1" si="4"/>
        <v>42989</v>
      </c>
    </row>
    <row r="107" spans="2:16">
      <c r="B107" s="7">
        <v>136281</v>
      </c>
      <c r="C107" s="7">
        <v>5.0999999999999996</v>
      </c>
      <c r="D107" s="1" t="str">
        <f>[1]!b_info_name(B107)</f>
        <v>16华综02</v>
      </c>
      <c r="E107" s="1" t="str">
        <f>[1]!b_info_latestissurercreditrating(B107)</f>
        <v>AA+</v>
      </c>
      <c r="F107" s="8">
        <f ca="1">[1]!b_anal_day(B107,$A$5)/365</f>
        <v>3.5013698630136987</v>
      </c>
      <c r="G107" s="9">
        <f ca="1">[1]!b_anal_yield_cnbd(B107,$A$5)</f>
        <v>0</v>
      </c>
      <c r="H107" s="9">
        <f t="shared" ca="1" si="3"/>
        <v>509.99999999999994</v>
      </c>
      <c r="I107" s="9">
        <f ca="1">[1]!b_anal_yield_cnbd(B107,$A$7)</f>
        <v>0</v>
      </c>
      <c r="J107" s="9">
        <f t="shared" ca="1" si="5"/>
        <v>0</v>
      </c>
      <c r="K107" s="1" t="str">
        <f>[1]!s_info_Nature(B107)</f>
        <v>地方国有企业</v>
      </c>
      <c r="L107" s="1" t="str">
        <f>[1]!b_info_windl1type(B107)</f>
        <v>公司债</v>
      </c>
      <c r="M107" s="3">
        <f>[1]!b_info_couponrate(B107)</f>
        <v>3.57</v>
      </c>
      <c r="N107" s="2" t="str">
        <f>[1]!B_Info_ListedDate(B107)</f>
        <v>2016-04-11</v>
      </c>
      <c r="O107" s="2" t="str">
        <f>[1]!b_issue_firstissue(B107)</f>
        <v>2016-03-10</v>
      </c>
      <c r="P107" s="4">
        <f t="shared" ca="1" si="4"/>
        <v>42989</v>
      </c>
    </row>
    <row r="108" spans="2:16">
      <c r="B108" s="7">
        <v>136281</v>
      </c>
      <c r="C108" s="7">
        <v>5.0999999999999996</v>
      </c>
      <c r="D108" s="1" t="str">
        <f>[1]!b_info_name(B108)</f>
        <v>16华综02</v>
      </c>
      <c r="E108" s="1" t="str">
        <f>[1]!b_info_latestissurercreditrating(B108)</f>
        <v>AA+</v>
      </c>
      <c r="F108" s="8">
        <f ca="1">[1]!b_anal_day(B108,$A$5)/365</f>
        <v>3.5013698630136987</v>
      </c>
      <c r="G108" s="9">
        <f ca="1">[1]!b_anal_yield_cnbd(B108,$A$5)</f>
        <v>0</v>
      </c>
      <c r="H108" s="9">
        <f t="shared" ca="1" si="3"/>
        <v>509.99999999999994</v>
      </c>
      <c r="I108" s="9">
        <f ca="1">[1]!b_anal_yield_cnbd(B108,$A$7)</f>
        <v>0</v>
      </c>
      <c r="J108" s="9">
        <f t="shared" ca="1" si="5"/>
        <v>0</v>
      </c>
      <c r="K108" s="1" t="str">
        <f>[1]!s_info_Nature(B108)</f>
        <v>地方国有企业</v>
      </c>
      <c r="L108" s="1" t="str">
        <f>[1]!b_info_windl1type(B108)</f>
        <v>公司债</v>
      </c>
      <c r="M108" s="3">
        <f>[1]!b_info_couponrate(B108)</f>
        <v>3.57</v>
      </c>
      <c r="N108" s="2" t="str">
        <f>[1]!B_Info_ListedDate(B108)</f>
        <v>2016-04-11</v>
      </c>
      <c r="O108" s="2" t="str">
        <f>[1]!b_issue_firstissue(B108)</f>
        <v>2016-03-10</v>
      </c>
      <c r="P108" s="4">
        <f t="shared" ca="1" si="4"/>
        <v>42989</v>
      </c>
    </row>
    <row r="109" spans="2:16">
      <c r="B109" s="7">
        <v>136281</v>
      </c>
      <c r="C109" s="7">
        <v>5.0999999999999996</v>
      </c>
      <c r="D109" s="1" t="str">
        <f>[1]!b_info_name(B109)</f>
        <v>16华综02</v>
      </c>
      <c r="E109" s="1" t="str">
        <f>[1]!b_info_latestissurercreditrating(B109)</f>
        <v>AA+</v>
      </c>
      <c r="F109" s="8">
        <f ca="1">[1]!b_anal_day(B109,$A$5)/365</f>
        <v>3.5013698630136987</v>
      </c>
      <c r="G109" s="9">
        <f ca="1">[1]!b_anal_yield_cnbd(B109,$A$5)</f>
        <v>0</v>
      </c>
      <c r="H109" s="9">
        <f t="shared" ca="1" si="3"/>
        <v>509.99999999999994</v>
      </c>
      <c r="I109" s="9">
        <f ca="1">[1]!b_anal_yield_cnbd(B109,$A$7)</f>
        <v>0</v>
      </c>
      <c r="J109" s="9">
        <f t="shared" ca="1" si="5"/>
        <v>0</v>
      </c>
      <c r="K109" s="1" t="str">
        <f>[1]!s_info_Nature(B109)</f>
        <v>地方国有企业</v>
      </c>
      <c r="L109" s="1" t="str">
        <f>[1]!b_info_windl1type(B109)</f>
        <v>公司债</v>
      </c>
      <c r="M109" s="3">
        <f>[1]!b_info_couponrate(B109)</f>
        <v>3.57</v>
      </c>
      <c r="N109" s="2" t="str">
        <f>[1]!B_Info_ListedDate(B109)</f>
        <v>2016-04-11</v>
      </c>
      <c r="O109" s="2" t="str">
        <f>[1]!b_issue_firstissue(B109)</f>
        <v>2016-03-10</v>
      </c>
      <c r="P109" s="4">
        <f t="shared" ca="1" si="4"/>
        <v>42989</v>
      </c>
    </row>
    <row r="110" spans="2:16">
      <c r="B110" s="7" t="s">
        <v>893</v>
      </c>
      <c r="C110" s="7">
        <v>5.0999999999999996</v>
      </c>
      <c r="D110" s="1" t="str">
        <f>[1]!b_info_name(B110)</f>
        <v>16峨旅02</v>
      </c>
      <c r="E110" s="1" t="str">
        <f>[1]!b_info_latestissurercreditrating(B110)</f>
        <v>AA+</v>
      </c>
      <c r="F110" s="8">
        <f ca="1">[1]!b_anal_day(B110,$A$5)/365</f>
        <v>4.2438356164383562</v>
      </c>
      <c r="G110" s="9">
        <f ca="1">[1]!b_anal_yield_cnbd(B110,$A$5)</f>
        <v>0</v>
      </c>
      <c r="H110" s="9">
        <f t="shared" ca="1" si="3"/>
        <v>509.99999999999994</v>
      </c>
      <c r="I110" s="9">
        <f ca="1">[1]!b_anal_yield_cnbd(B110,$A$7)</f>
        <v>0</v>
      </c>
      <c r="J110" s="9">
        <f t="shared" ca="1" si="5"/>
        <v>0</v>
      </c>
      <c r="K110" s="1" t="str">
        <f>[1]!s_info_Nature(B110)</f>
        <v>地方国有企业</v>
      </c>
      <c r="L110" s="1" t="str">
        <f>[1]!b_info_windl1type(B110)</f>
        <v>公司债</v>
      </c>
      <c r="M110" s="3">
        <f>[1]!b_info_couponrate(B110)</f>
        <v>3.92</v>
      </c>
      <c r="N110" s="2" t="str">
        <f>[1]!B_Info_ListedDate(B110)</f>
        <v>2017-02-22</v>
      </c>
      <c r="O110" s="2" t="str">
        <f>[1]!b_issue_firstissue(B110)</f>
        <v>2016-12-06</v>
      </c>
      <c r="P110" s="4">
        <f t="shared" ca="1" si="4"/>
        <v>42989</v>
      </c>
    </row>
    <row r="111" spans="2:16">
      <c r="B111" s="7">
        <v>1280383</v>
      </c>
      <c r="C111" s="7">
        <v>5.0999999999999996</v>
      </c>
      <c r="D111" s="1" t="str">
        <f>[1]!b_info_name(B111)</f>
        <v>12宜昌城投债</v>
      </c>
      <c r="E111" s="1" t="str">
        <f>[1]!b_info_latestissurercreditrating(B111)</f>
        <v>AA+</v>
      </c>
      <c r="F111" s="8">
        <f ca="1">[1]!b_anal_day(B111,$A$5)/365</f>
        <v>2.1616438356164385</v>
      </c>
      <c r="G111" s="9">
        <f ca="1">[1]!b_anal_yield_cnbd(B111,$A$5)</f>
        <v>0</v>
      </c>
      <c r="H111" s="9">
        <f t="shared" ca="1" si="3"/>
        <v>509.99999999999994</v>
      </c>
      <c r="I111" s="9">
        <f ca="1">[1]!b_anal_yield_cnbd(B111,$A$7)</f>
        <v>0</v>
      </c>
      <c r="J111" s="9">
        <f t="shared" ca="1" si="5"/>
        <v>0</v>
      </c>
      <c r="K111" s="1" t="str">
        <f>[1]!s_info_Nature(B111)</f>
        <v>地方国有企业</v>
      </c>
      <c r="L111" s="1" t="str">
        <f>[1]!b_info_windl1type(B111)</f>
        <v>企业债</v>
      </c>
      <c r="M111" s="3">
        <f>[1]!b_info_couponrate(B111)</f>
        <v>6.85</v>
      </c>
      <c r="N111" s="2" t="str">
        <f>[1]!B_Info_ListedDate(B111)</f>
        <v>2012-11-16</v>
      </c>
      <c r="O111" s="2" t="str">
        <f>[1]!b_issue_firstissue(B111)</f>
        <v>2012-11-08</v>
      </c>
      <c r="P111" s="4">
        <f t="shared" ca="1" si="4"/>
        <v>42989</v>
      </c>
    </row>
    <row r="112" spans="2:16">
      <c r="B112" s="7" t="s">
        <v>384</v>
      </c>
      <c r="C112" s="7">
        <v>5.0999999999999996</v>
      </c>
      <c r="D112" s="1" t="str">
        <f>[1]!b_info_name(B112)</f>
        <v>15鲁能债</v>
      </c>
      <c r="E112" s="1" t="str">
        <f>[1]!b_info_latestissurercreditrating(B112)</f>
        <v>AA+</v>
      </c>
      <c r="F112" s="8">
        <f ca="1">[1]!b_anal_day(B112,$A$5)/365</f>
        <v>3.2876712328767121</v>
      </c>
      <c r="G112" s="9">
        <f ca="1">[1]!b_anal_yield_cnbd(B112,$A$5)</f>
        <v>0</v>
      </c>
      <c r="H112" s="9">
        <f t="shared" ca="1" si="3"/>
        <v>509.99999999999994</v>
      </c>
      <c r="I112" s="9">
        <f ca="1">[1]!b_anal_yield_cnbd(B112,$A$7)</f>
        <v>0</v>
      </c>
      <c r="J112" s="9">
        <f t="shared" ca="1" si="5"/>
        <v>0</v>
      </c>
      <c r="K112" s="1" t="str">
        <f>[1]!s_info_Nature(B112)</f>
        <v>中央国有企业</v>
      </c>
      <c r="L112" s="1" t="str">
        <f>[1]!b_info_windl1type(B112)</f>
        <v>公司债</v>
      </c>
      <c r="M112" s="3">
        <f>[1]!b_info_couponrate(B112)</f>
        <v>3.76</v>
      </c>
      <c r="N112" s="2" t="str">
        <f>[1]!B_Info_ListedDate(B112)</f>
        <v>2016-01-20</v>
      </c>
      <c r="O112" s="2" t="str">
        <f>[1]!b_issue_firstissue(B112)</f>
        <v>2015-12-22</v>
      </c>
      <c r="P112" s="4">
        <f t="shared" ca="1" si="4"/>
        <v>42989</v>
      </c>
    </row>
    <row r="113" spans="2:16">
      <c r="B113" s="7" t="s">
        <v>384</v>
      </c>
      <c r="C113" s="7">
        <v>5.0999999999999996</v>
      </c>
      <c r="D113" s="1" t="str">
        <f>[1]!b_info_name(B113)</f>
        <v>15鲁能债</v>
      </c>
      <c r="E113" s="1" t="str">
        <f>[1]!b_info_latestissurercreditrating(B113)</f>
        <v>AA+</v>
      </c>
      <c r="F113" s="8">
        <f ca="1">[1]!b_anal_day(B113,$A$5)/365</f>
        <v>3.2876712328767121</v>
      </c>
      <c r="G113" s="9">
        <f ca="1">[1]!b_anal_yield_cnbd(B113,$A$5)</f>
        <v>0</v>
      </c>
      <c r="H113" s="9">
        <f t="shared" ca="1" si="3"/>
        <v>509.99999999999994</v>
      </c>
      <c r="I113" s="9">
        <f ca="1">[1]!b_anal_yield_cnbd(B113,$A$7)</f>
        <v>0</v>
      </c>
      <c r="J113" s="9">
        <f t="shared" ca="1" si="5"/>
        <v>0</v>
      </c>
      <c r="K113" s="1" t="str">
        <f>[1]!s_info_Nature(B113)</f>
        <v>中央国有企业</v>
      </c>
      <c r="L113" s="1" t="str">
        <f>[1]!b_info_windl1type(B113)</f>
        <v>公司债</v>
      </c>
      <c r="M113" s="3">
        <f>[1]!b_info_couponrate(B113)</f>
        <v>3.76</v>
      </c>
      <c r="N113" s="2" t="str">
        <f>[1]!B_Info_ListedDate(B113)</f>
        <v>2016-01-20</v>
      </c>
      <c r="O113" s="2" t="str">
        <f>[1]!b_issue_firstissue(B113)</f>
        <v>2015-12-22</v>
      </c>
      <c r="P113" s="4">
        <f t="shared" ca="1" si="4"/>
        <v>42989</v>
      </c>
    </row>
    <row r="114" spans="2:16">
      <c r="B114" s="7" t="s">
        <v>384</v>
      </c>
      <c r="C114" s="7">
        <v>5.0999999999999996</v>
      </c>
      <c r="D114" s="1" t="str">
        <f>[1]!b_info_name(B114)</f>
        <v>15鲁能债</v>
      </c>
      <c r="E114" s="1" t="str">
        <f>[1]!b_info_latestissurercreditrating(B114)</f>
        <v>AA+</v>
      </c>
      <c r="F114" s="8">
        <f ca="1">[1]!b_anal_day(B114,$A$5)/365</f>
        <v>3.2876712328767121</v>
      </c>
      <c r="G114" s="9">
        <f ca="1">[1]!b_anal_yield_cnbd(B114,$A$5)</f>
        <v>0</v>
      </c>
      <c r="H114" s="9">
        <f t="shared" ca="1" si="3"/>
        <v>509.99999999999994</v>
      </c>
      <c r="I114" s="9">
        <f ca="1">[1]!b_anal_yield_cnbd(B114,$A$7)</f>
        <v>0</v>
      </c>
      <c r="J114" s="9">
        <f t="shared" ca="1" si="5"/>
        <v>0</v>
      </c>
      <c r="K114" s="1" t="str">
        <f>[1]!s_info_Nature(B114)</f>
        <v>中央国有企业</v>
      </c>
      <c r="L114" s="1" t="str">
        <f>[1]!b_info_windl1type(B114)</f>
        <v>公司债</v>
      </c>
      <c r="M114" s="3">
        <f>[1]!b_info_couponrate(B114)</f>
        <v>3.76</v>
      </c>
      <c r="N114" s="2" t="str">
        <f>[1]!B_Info_ListedDate(B114)</f>
        <v>2016-01-20</v>
      </c>
      <c r="O114" s="2" t="str">
        <f>[1]!b_issue_firstissue(B114)</f>
        <v>2015-12-22</v>
      </c>
      <c r="P114" s="4">
        <f t="shared" ca="1" si="4"/>
        <v>42989</v>
      </c>
    </row>
    <row r="115" spans="2:16">
      <c r="B115" s="7">
        <v>1280354</v>
      </c>
      <c r="C115" s="7">
        <v>5.0999999999999996</v>
      </c>
      <c r="D115" s="1" t="str">
        <f>[1]!b_info_name(B115)</f>
        <v>12云城投债</v>
      </c>
      <c r="E115" s="1" t="str">
        <f>[1]!b_info_latestissurercreditrating(B115)</f>
        <v>AAA</v>
      </c>
      <c r="F115" s="8">
        <f ca="1">[1]!b_anal_day(B115,$A$5)/365</f>
        <v>1.1205479452054794</v>
      </c>
      <c r="G115" s="9">
        <f ca="1">[1]!b_anal_yield_cnbd(B115,$A$5)</f>
        <v>0</v>
      </c>
      <c r="H115" s="9">
        <f t="shared" ca="1" si="3"/>
        <v>509.99999999999994</v>
      </c>
      <c r="I115" s="9">
        <f ca="1">[1]!b_anal_yield_cnbd(B115,$A$7)</f>
        <v>0</v>
      </c>
      <c r="J115" s="9">
        <f t="shared" ca="1" si="5"/>
        <v>0</v>
      </c>
      <c r="K115" s="1" t="str">
        <f>[1]!s_info_Nature(B115)</f>
        <v>地方国有企业</v>
      </c>
      <c r="L115" s="1" t="str">
        <f>[1]!b_info_windl1type(B115)</f>
        <v>企业债</v>
      </c>
      <c r="M115" s="3">
        <f>[1]!b_info_couponrate(B115)</f>
        <v>7.15</v>
      </c>
      <c r="N115" s="2" t="str">
        <f>[1]!B_Info_ListedDate(B115)</f>
        <v>2012-11-12</v>
      </c>
      <c r="O115" s="2" t="str">
        <f>[1]!b_issue_firstissue(B115)</f>
        <v>2012-10-24</v>
      </c>
      <c r="P115" s="4">
        <f t="shared" ca="1" si="4"/>
        <v>42989</v>
      </c>
    </row>
    <row r="116" spans="2:16">
      <c r="B116" s="7" t="s">
        <v>678</v>
      </c>
      <c r="C116" s="7">
        <v>5.0999999999999996</v>
      </c>
      <c r="D116" s="1" t="str">
        <f>[1]!b_info_name(B116)</f>
        <v>15梅花01</v>
      </c>
      <c r="E116" s="1" t="str">
        <f>[1]!b_info_latestissurercreditrating(B116)</f>
        <v>AA+</v>
      </c>
      <c r="F116" s="8">
        <f ca="1">[1]!b_anal_day(B116,$A$5)/365</f>
        <v>2.8904109589041096</v>
      </c>
      <c r="G116" s="9">
        <f ca="1">[1]!b_anal_yield_cnbd(B116,$A$5)</f>
        <v>0</v>
      </c>
      <c r="H116" s="9">
        <f t="shared" ca="1" si="3"/>
        <v>509.99999999999994</v>
      </c>
      <c r="I116" s="9">
        <f ca="1">[1]!b_anal_yield_cnbd(B116,$A$7)</f>
        <v>0</v>
      </c>
      <c r="J116" s="9">
        <f t="shared" ca="1" si="5"/>
        <v>0</v>
      </c>
      <c r="K116" s="1" t="str">
        <f>[1]!s_info_Nature(B116)</f>
        <v>民营企业</v>
      </c>
      <c r="L116" s="1" t="str">
        <f>[1]!b_info_windl1type(B116)</f>
        <v>公司债</v>
      </c>
      <c r="M116" s="3">
        <f>[1]!b_info_couponrate(B116)</f>
        <v>4.47</v>
      </c>
      <c r="N116" s="2" t="str">
        <f>[1]!B_Info_ListedDate(B116)</f>
        <v>2015-09-02</v>
      </c>
      <c r="O116" s="2" t="str">
        <f>[1]!b_issue_firstissue(B116)</f>
        <v>2015-07-31</v>
      </c>
      <c r="P116" s="4">
        <f t="shared" ca="1" si="4"/>
        <v>42989</v>
      </c>
    </row>
    <row r="117" spans="2:16">
      <c r="B117" s="7" t="s">
        <v>759</v>
      </c>
      <c r="C117" s="7">
        <v>5.08</v>
      </c>
      <c r="D117" s="1" t="str">
        <f>[1]!b_info_name(B117)</f>
        <v>16广晟01</v>
      </c>
      <c r="E117" s="1" t="str">
        <f>[1]!b_info_latestissurercreditrating(B117)</f>
        <v>AAA</v>
      </c>
      <c r="F117" s="8">
        <f ca="1">[1]!b_anal_day(B117,$A$5)/365</f>
        <v>13.506849315068493</v>
      </c>
      <c r="G117" s="9">
        <f ca="1">[1]!b_anal_yield_cnbd(B117,$A$5)</f>
        <v>0</v>
      </c>
      <c r="H117" s="9">
        <f t="shared" ca="1" si="3"/>
        <v>508</v>
      </c>
      <c r="I117" s="9">
        <f ca="1">[1]!b_anal_yield_cnbd(B117,$A$7)</f>
        <v>0</v>
      </c>
      <c r="J117" s="9">
        <f t="shared" ca="1" si="5"/>
        <v>0</v>
      </c>
      <c r="K117" s="1" t="str">
        <f>[1]!s_info_Nature(B117)</f>
        <v>地方国有企业</v>
      </c>
      <c r="L117" s="1" t="str">
        <f>[1]!b_info_windl1type(B117)</f>
        <v>企业债</v>
      </c>
      <c r="M117" s="3">
        <f>[1]!b_info_couponrate(B117)</f>
        <v>3.7</v>
      </c>
      <c r="N117" s="2" t="str">
        <f>[1]!B_Info_ListedDate(B117)</f>
        <v>2016-04-05</v>
      </c>
      <c r="O117" s="2" t="str">
        <f>[1]!b_issue_firstissue(B117)</f>
        <v>2016-03-10</v>
      </c>
      <c r="P117" s="4">
        <f t="shared" ca="1" si="4"/>
        <v>42989</v>
      </c>
    </row>
    <row r="118" spans="2:16">
      <c r="B118" s="7" t="s">
        <v>759</v>
      </c>
      <c r="C118" s="7">
        <v>5.08</v>
      </c>
      <c r="D118" s="1" t="str">
        <f>[1]!b_info_name(B118)</f>
        <v>16广晟01</v>
      </c>
      <c r="E118" s="1" t="str">
        <f>[1]!b_info_latestissurercreditrating(B118)</f>
        <v>AAA</v>
      </c>
      <c r="F118" s="8">
        <f ca="1">[1]!b_anal_day(B118,$A$5)/365</f>
        <v>13.506849315068493</v>
      </c>
      <c r="G118" s="9">
        <f ca="1">[1]!b_anal_yield_cnbd(B118,$A$5)</f>
        <v>0</v>
      </c>
      <c r="H118" s="9">
        <f t="shared" ca="1" si="3"/>
        <v>508</v>
      </c>
      <c r="I118" s="9">
        <f ca="1">[1]!b_anal_yield_cnbd(B118,$A$7)</f>
        <v>0</v>
      </c>
      <c r="J118" s="9">
        <f t="shared" ca="1" si="5"/>
        <v>0</v>
      </c>
      <c r="K118" s="1" t="str">
        <f>[1]!s_info_Nature(B118)</f>
        <v>地方国有企业</v>
      </c>
      <c r="L118" s="1" t="str">
        <f>[1]!b_info_windl1type(B118)</f>
        <v>企业债</v>
      </c>
      <c r="M118" s="3">
        <f>[1]!b_info_couponrate(B118)</f>
        <v>3.7</v>
      </c>
      <c r="N118" s="2" t="str">
        <f>[1]!B_Info_ListedDate(B118)</f>
        <v>2016-04-05</v>
      </c>
      <c r="O118" s="2" t="str">
        <f>[1]!b_issue_firstissue(B118)</f>
        <v>2016-03-10</v>
      </c>
      <c r="P118" s="4">
        <f t="shared" ca="1" si="4"/>
        <v>42989</v>
      </c>
    </row>
    <row r="119" spans="2:16">
      <c r="B119" s="7" t="s">
        <v>633</v>
      </c>
      <c r="C119" s="7">
        <v>5.08</v>
      </c>
      <c r="D119" s="1" t="str">
        <f>[1]!b_info_name(B119)</f>
        <v>16龙湖06</v>
      </c>
      <c r="E119" s="1" t="str">
        <f>[1]!b_info_latestissurercreditrating(B119)</f>
        <v>AAA</v>
      </c>
      <c r="F119" s="8">
        <f ca="1">[1]!b_anal_day(B119,$A$5)/365</f>
        <v>5.8438356164383558</v>
      </c>
      <c r="G119" s="9">
        <f ca="1">[1]!b_anal_yield_cnbd(B119,$A$5)</f>
        <v>0</v>
      </c>
      <c r="H119" s="9">
        <f t="shared" ca="1" si="3"/>
        <v>508</v>
      </c>
      <c r="I119" s="9">
        <f ca="1">[1]!b_anal_yield_cnbd(B119,$A$7)</f>
        <v>0</v>
      </c>
      <c r="J119" s="9">
        <f t="shared" ca="1" si="5"/>
        <v>0</v>
      </c>
      <c r="K119" s="1" t="str">
        <f>[1]!s_info_Nature(B119)</f>
        <v>中外合资企业</v>
      </c>
      <c r="L119" s="1" t="str">
        <f>[1]!b_info_windl1type(B119)</f>
        <v>公司债</v>
      </c>
      <c r="M119" s="3">
        <f>[1]!b_info_couponrate(B119)</f>
        <v>3.68</v>
      </c>
      <c r="N119" s="2" t="str">
        <f>[1]!B_Info_ListedDate(B119)</f>
        <v>2016-08-11</v>
      </c>
      <c r="O119" s="2" t="str">
        <f>[1]!b_issue_firstissue(B119)</f>
        <v>2016-07-13</v>
      </c>
      <c r="P119" s="4">
        <f t="shared" ca="1" si="4"/>
        <v>42989</v>
      </c>
    </row>
    <row r="120" spans="2:16">
      <c r="B120" s="7" t="s">
        <v>885</v>
      </c>
      <c r="C120" s="7">
        <v>5.08</v>
      </c>
      <c r="D120" s="1" t="str">
        <f>[1]!b_info_name(B120)</f>
        <v>16广晟02</v>
      </c>
      <c r="E120" s="1" t="str">
        <f>[1]!b_info_latestissurercreditrating(B120)</f>
        <v>AAA</v>
      </c>
      <c r="F120" s="8">
        <f ca="1">[1]!b_anal_day(B120,$A$5)/365</f>
        <v>13.868493150684932</v>
      </c>
      <c r="G120" s="9">
        <f ca="1">[1]!b_anal_yield_cnbd(B120,$A$5)</f>
        <v>0</v>
      </c>
      <c r="H120" s="9">
        <f t="shared" ca="1" si="3"/>
        <v>508</v>
      </c>
      <c r="I120" s="9">
        <f ca="1">[1]!b_anal_yield_cnbd(B120,$A$7)</f>
        <v>0</v>
      </c>
      <c r="J120" s="9">
        <f t="shared" ca="1" si="5"/>
        <v>0</v>
      </c>
      <c r="K120" s="1" t="str">
        <f>[1]!s_info_Nature(B120)</f>
        <v>地方国有企业</v>
      </c>
      <c r="L120" s="1" t="str">
        <f>[1]!b_info_windl1type(B120)</f>
        <v>企业债</v>
      </c>
      <c r="M120" s="3">
        <f>[1]!b_info_couponrate(B120)</f>
        <v>3.75</v>
      </c>
      <c r="N120" s="2" t="str">
        <f>[1]!B_Info_ListedDate(B120)</f>
        <v>2016-09-05</v>
      </c>
      <c r="O120" s="2" t="str">
        <f>[1]!b_issue_firstissue(B120)</f>
        <v>2016-07-20</v>
      </c>
      <c r="P120" s="4">
        <f t="shared" ca="1" si="4"/>
        <v>42989</v>
      </c>
    </row>
    <row r="121" spans="2:16">
      <c r="B121" s="7">
        <v>101654062</v>
      </c>
      <c r="C121" s="7">
        <v>5.08</v>
      </c>
      <c r="D121" s="1" t="str">
        <f>[1]!b_info_name(B121)</f>
        <v>16古井MTN001</v>
      </c>
      <c r="E121" s="1" t="str">
        <f>[1]!b_info_latestissurercreditrating(B121)</f>
        <v>AA+</v>
      </c>
      <c r="F121" s="8">
        <f ca="1">[1]!b_anal_day(B121,$A$5)/365</f>
        <v>1.8712328767123287</v>
      </c>
      <c r="G121" s="9">
        <f ca="1">[1]!b_anal_yield_cnbd(B121,$A$5)</f>
        <v>0</v>
      </c>
      <c r="H121" s="9">
        <f t="shared" ca="1" si="3"/>
        <v>508</v>
      </c>
      <c r="I121" s="9">
        <f ca="1">[1]!b_anal_yield_cnbd(B121,$A$7)</f>
        <v>0</v>
      </c>
      <c r="J121" s="9">
        <f t="shared" ca="1" si="5"/>
        <v>0</v>
      </c>
      <c r="K121" s="1" t="str">
        <f>[1]!s_info_Nature(B121)</f>
        <v>地方国有企业</v>
      </c>
      <c r="L121" s="1" t="str">
        <f>[1]!b_info_windl1type(B121)</f>
        <v>中期票据</v>
      </c>
      <c r="M121" s="3">
        <f>[1]!b_info_couponrate(B121)</f>
        <v>3.16</v>
      </c>
      <c r="N121" s="2" t="str">
        <f>[1]!B_Info_ListedDate(B121)</f>
        <v>2016-07-26</v>
      </c>
      <c r="O121" s="2" t="str">
        <f>[1]!b_issue_firstissue(B121)</f>
        <v>2016-07-22</v>
      </c>
      <c r="P121" s="4">
        <f t="shared" ca="1" si="4"/>
        <v>42989</v>
      </c>
    </row>
    <row r="122" spans="2:16">
      <c r="B122" s="7" t="s">
        <v>759</v>
      </c>
      <c r="C122" s="7">
        <v>5.08</v>
      </c>
      <c r="D122" s="1" t="str">
        <f>[1]!b_info_name(B122)</f>
        <v>16广晟01</v>
      </c>
      <c r="E122" s="1" t="str">
        <f>[1]!b_info_latestissurercreditrating(B122)</f>
        <v>AAA</v>
      </c>
      <c r="F122" s="8">
        <f ca="1">[1]!b_anal_day(B122,$A$5)/365</f>
        <v>13.506849315068493</v>
      </c>
      <c r="G122" s="9">
        <f ca="1">[1]!b_anal_yield_cnbd(B122,$A$5)</f>
        <v>0</v>
      </c>
      <c r="H122" s="9">
        <f t="shared" ca="1" si="3"/>
        <v>508</v>
      </c>
      <c r="I122" s="9">
        <f ca="1">[1]!b_anal_yield_cnbd(B122,$A$7)</f>
        <v>0</v>
      </c>
      <c r="J122" s="9">
        <f t="shared" ca="1" si="5"/>
        <v>0</v>
      </c>
      <c r="K122" s="1" t="str">
        <f>[1]!s_info_Nature(B122)</f>
        <v>地方国有企业</v>
      </c>
      <c r="L122" s="1" t="str">
        <f>[1]!b_info_windl1type(B122)</f>
        <v>企业债</v>
      </c>
      <c r="M122" s="3">
        <f>[1]!b_info_couponrate(B122)</f>
        <v>3.7</v>
      </c>
      <c r="N122" s="2" t="str">
        <f>[1]!B_Info_ListedDate(B122)</f>
        <v>2016-04-05</v>
      </c>
      <c r="O122" s="2" t="str">
        <f>[1]!b_issue_firstissue(B122)</f>
        <v>2016-03-10</v>
      </c>
      <c r="P122" s="4">
        <f t="shared" ca="1" si="4"/>
        <v>42989</v>
      </c>
    </row>
    <row r="123" spans="2:16">
      <c r="B123" s="7">
        <v>101664036</v>
      </c>
      <c r="C123" s="7">
        <v>5.07</v>
      </c>
      <c r="D123" s="1" t="str">
        <f>[1]!b_info_name(B123)</f>
        <v>16同盛投资MTN001</v>
      </c>
      <c r="E123" s="1" t="str">
        <f>[1]!b_info_latestissurercreditrating(B123)</f>
        <v>AAA</v>
      </c>
      <c r="F123" s="8">
        <f ca="1">[1]!b_anal_day(B123,$A$5)/365</f>
        <v>8.8273972602739725</v>
      </c>
      <c r="G123" s="9">
        <f ca="1">[1]!b_anal_yield_cnbd(B123,$A$5)</f>
        <v>0</v>
      </c>
      <c r="H123" s="9">
        <f ca="1">(IF(C123&lt;0.1,C123*100,C123)-G123)*100</f>
        <v>507</v>
      </c>
      <c r="I123" s="9">
        <f ca="1">[1]!b_anal_yield_cnbd(B123,$A$7)</f>
        <v>0</v>
      </c>
      <c r="J123" s="9">
        <f t="shared" ca="1" si="5"/>
        <v>0</v>
      </c>
      <c r="K123" s="1" t="str">
        <f>[1]!s_info_Nature(B123)</f>
        <v>地方国有企业</v>
      </c>
      <c r="L123" s="1" t="str">
        <f>[1]!b_info_windl1type(B123)</f>
        <v>中期票据</v>
      </c>
      <c r="M123" s="3">
        <f>[1]!b_info_couponrate(B123)</f>
        <v>3.66</v>
      </c>
      <c r="N123" s="2" t="str">
        <f>[1]!B_Info_ListedDate(B123)</f>
        <v>2016-07-08</v>
      </c>
      <c r="O123" s="2" t="str">
        <f>[1]!b_issue_firstissue(B123)</f>
        <v>2016-07-05</v>
      </c>
      <c r="P123" s="4">
        <f ca="1">$A$2</f>
        <v>42989</v>
      </c>
    </row>
    <row r="124" spans="2:16">
      <c r="B124" s="7">
        <v>41753009</v>
      </c>
      <c r="C124" s="7">
        <v>5.07</v>
      </c>
      <c r="D124" s="1" t="str">
        <f>[1]!b_info_name(B124)</f>
        <v>17中铝CP001</v>
      </c>
      <c r="E124" s="1" t="str">
        <f>[1]!b_info_latestissurercreditrating(B124)</f>
        <v>AAA</v>
      </c>
      <c r="F124" s="8">
        <f ca="1">[1]!b_anal_day(B124,$A$5)/365</f>
        <v>0.50410958904109593</v>
      </c>
      <c r="G124" s="9">
        <f ca="1">[1]!b_anal_yield_cnbd(B124,$A$5)</f>
        <v>0</v>
      </c>
      <c r="H124" s="9">
        <f ca="1">(IF(C124&lt;0.1,C124*100,C124)-G124)*100</f>
        <v>507</v>
      </c>
      <c r="I124" s="9">
        <f ca="1">[1]!b_anal_yield_cnbd(B124,$A$7)</f>
        <v>0</v>
      </c>
      <c r="J124" s="9">
        <f ca="1">(G124-I124)*100</f>
        <v>0</v>
      </c>
      <c r="K124" s="1" t="str">
        <f>[1]!s_info_Nature(B124)</f>
        <v>中央国有企业</v>
      </c>
      <c r="L124" s="1" t="str">
        <f>[1]!b_info_windl1type(B124)</f>
        <v>短期融资券</v>
      </c>
      <c r="M124" s="3">
        <f>[1]!b_info_couponrate(B124)</f>
        <v>4.3</v>
      </c>
      <c r="N124" s="2" t="str">
        <f>[1]!B_Info_ListedDate(B124)</f>
        <v>2017-03-14</v>
      </c>
      <c r="O124" s="2" t="str">
        <f>[1]!b_issue_firstissue(B124)</f>
        <v>2017-03-09</v>
      </c>
      <c r="P124" s="4">
        <f ca="1">$A$2</f>
        <v>42989</v>
      </c>
    </row>
    <row r="125" spans="2:16">
      <c r="B125" s="7">
        <v>101656058</v>
      </c>
      <c r="C125" s="7">
        <v>5.0599999999999996</v>
      </c>
      <c r="D125" s="1" t="str">
        <f>[1]!b_info_name(B125)</f>
        <v>16平安租赁MTN005</v>
      </c>
      <c r="E125" s="1" t="str">
        <f>[1]!b_info_latestissurercreditrating(B125)</f>
        <v>AAA</v>
      </c>
      <c r="F125" s="8">
        <f ca="1">[1]!b_anal_day(B125,$A$5)/365</f>
        <v>2.2000000000000002</v>
      </c>
      <c r="G125" s="9">
        <f ca="1">[1]!b_anal_yield_cnbd(B125,$A$5)</f>
        <v>0</v>
      </c>
      <c r="H125" s="9">
        <f ca="1">(IF(C125&lt;0.1,C125*100,C125)-G125)*100</f>
        <v>505.99999999999994</v>
      </c>
      <c r="I125" s="9">
        <f ca="1">[1]!b_anal_yield_cnbd(B125,$A$7)</f>
        <v>0</v>
      </c>
      <c r="J125" s="9">
        <f ca="1">(G125-I125)*100</f>
        <v>0</v>
      </c>
      <c r="K125" s="1" t="str">
        <f>[1]!s_info_Nature(B125)</f>
        <v>公众企业</v>
      </c>
      <c r="L125" s="1" t="str">
        <f>[1]!b_info_windl1type(B125)</f>
        <v>中期票据</v>
      </c>
      <c r="M125" s="3">
        <f>[1]!b_info_couponrate(B125)</f>
        <v>3.58</v>
      </c>
      <c r="N125" s="2" t="str">
        <f>[1]!B_Info_ListedDate(B125)</f>
        <v>2016-11-23</v>
      </c>
      <c r="O125" s="2" t="str">
        <f>[1]!b_issue_firstissue(B125)</f>
        <v>2016-11-21</v>
      </c>
      <c r="P125" s="4">
        <f ca="1">$A$2</f>
        <v>42989</v>
      </c>
    </row>
    <row r="126" spans="2:16">
      <c r="B126" s="7" t="s">
        <v>718</v>
      </c>
      <c r="C126" s="7">
        <v>5.0599999999999996</v>
      </c>
      <c r="D126" s="1" t="str">
        <f>[1]!b_info_name(B126)</f>
        <v>16中材02</v>
      </c>
      <c r="E126" s="1" t="str">
        <f>[1]!b_info_latestissurercreditrating(B126)</f>
        <v>AAA</v>
      </c>
      <c r="F126" s="8">
        <f ca="1">[1]!b_anal_day(B126,$A$5)/365</f>
        <v>6.0493150684931507</v>
      </c>
      <c r="G126" s="9">
        <f ca="1">[1]!b_anal_yield_cnbd(B126,$A$5)</f>
        <v>0</v>
      </c>
      <c r="H126" s="9">
        <f ca="1">(IF(C126&lt;0.1,C126*100,C126)-G126)*100</f>
        <v>505.99999999999994</v>
      </c>
      <c r="I126" s="9">
        <f ca="1">[1]!b_anal_yield_cnbd(B126,$A$7)</f>
        <v>0</v>
      </c>
      <c r="J126" s="9">
        <f ca="1">(G126-I126)*100</f>
        <v>0</v>
      </c>
      <c r="K126" s="1" t="str">
        <f>[1]!s_info_Nature(B126)</f>
        <v>中央国有企业</v>
      </c>
      <c r="L126" s="1" t="str">
        <f>[1]!b_info_windl1type(B126)</f>
        <v>公司债</v>
      </c>
      <c r="M126" s="3">
        <f>[1]!b_info_couponrate(B126)</f>
        <v>3.45</v>
      </c>
      <c r="N126" s="2" t="str">
        <f>[1]!B_Info_ListedDate(B126)</f>
        <v>2016-11-03</v>
      </c>
      <c r="O126" s="2" t="str">
        <f>[1]!b_issue_firstissue(B126)</f>
        <v>2016-09-23</v>
      </c>
      <c r="P126" s="4">
        <f ca="1">$A$2</f>
        <v>42989</v>
      </c>
    </row>
    <row r="127" spans="2:16">
      <c r="B127" s="7">
        <v>11698991</v>
      </c>
      <c r="C127" s="7">
        <v>5.05</v>
      </c>
      <c r="D127" s="1" t="str">
        <f>[1]!b_info_name(B127)</f>
        <v>16冀中能源SCP005</v>
      </c>
      <c r="E127" s="1" t="str">
        <f>[1]!b_info_latestissurercreditrating(B127)</f>
        <v>AAA</v>
      </c>
      <c r="F127" s="8">
        <f ca="1">[1]!b_anal_day(B127,$A$5)/365</f>
        <v>0</v>
      </c>
      <c r="G127" s="9">
        <f ca="1">[1]!b_anal_yield_cnbd(B127,$A$5)</f>
        <v>0</v>
      </c>
      <c r="H127" s="9">
        <f ca="1">(IF(C127&lt;0.1,C127*100,C127)-G127)*100</f>
        <v>505</v>
      </c>
      <c r="I127" s="9">
        <f ca="1">[1]!b_anal_yield_cnbd(B127,$A$7)</f>
        <v>0</v>
      </c>
      <c r="J127" s="9">
        <f ca="1">(G127-I127)*100</f>
        <v>0</v>
      </c>
      <c r="K127" s="1" t="str">
        <f>[1]!s_info_Nature(B127)</f>
        <v>地方国有企业</v>
      </c>
      <c r="L127" s="1" t="str">
        <f>[1]!b_info_windl1type(B127)</f>
        <v>短期融资券</v>
      </c>
      <c r="M127" s="3">
        <f>[1]!b_info_couponrate(B127)</f>
        <v>4.42</v>
      </c>
      <c r="N127" s="2" t="str">
        <f>[1]!B_Info_ListedDate(B127)</f>
        <v>2016-12-12</v>
      </c>
      <c r="O127" s="2" t="str">
        <f>[1]!b_issue_firstissue(B127)</f>
        <v>2016-12-07</v>
      </c>
      <c r="P127" s="4">
        <f ca="1">$A$2</f>
        <v>42989</v>
      </c>
    </row>
    <row r="128" spans="2:16">
      <c r="B128" s="7">
        <v>11753001</v>
      </c>
      <c r="C128" s="7">
        <v>5.05</v>
      </c>
      <c r="D128" s="18" t="str">
        <f>[1]!b_info_name(B128)</f>
        <v>17河钢集SCP001</v>
      </c>
      <c r="E128" s="19" t="str">
        <f>[1]!b_info_latestissurercreditrating(B128)</f>
        <v>AAA</v>
      </c>
      <c r="F128" s="20">
        <f ca="1">[1]!b_anal_day(B128,$A$5)/365</f>
        <v>6.3013698630136991E-2</v>
      </c>
      <c r="G128" s="21">
        <f ca="1">[1]!b_anal_yield_cnbd(B128,$A$5)</f>
        <v>0</v>
      </c>
      <c r="H128" s="21">
        <f t="shared" ref="H128:H191" ca="1" si="6">(IF(C128&lt;0.1,C128*100,C128)-G128)*100</f>
        <v>505</v>
      </c>
      <c r="I128" s="21">
        <f ca="1">[1]!b_anal_yield_cnbd(B128,$A$7)</f>
        <v>0</v>
      </c>
      <c r="J128" s="21">
        <f t="shared" ref="J128:J191" ca="1" si="7">(G128-I128)*100</f>
        <v>0</v>
      </c>
      <c r="K128" s="19" t="str">
        <f>[1]!s_info_Nature(B128)</f>
        <v>地方国有企业</v>
      </c>
      <c r="L128" s="19" t="str">
        <f>[1]!b_info_windl1type(B128)</f>
        <v>短期融资券</v>
      </c>
      <c r="M128" s="13">
        <f>[1]!b_info_couponrate(B128)</f>
        <v>4.29</v>
      </c>
      <c r="N128" s="14" t="str">
        <f>[1]!B_Info_ListedDate(B128)</f>
        <v>2017-01-09</v>
      </c>
      <c r="O128" s="14" t="str">
        <f>[1]!b_issue_firstissue(B128)</f>
        <v>2017-01-04</v>
      </c>
      <c r="P128" s="4">
        <f t="shared" ref="P128:P191" ca="1" si="8">$A$2</f>
        <v>42989</v>
      </c>
    </row>
    <row r="129" spans="2:16">
      <c r="B129" s="7">
        <v>101654082</v>
      </c>
      <c r="C129" s="7">
        <v>5.05</v>
      </c>
      <c r="D129" s="18" t="str">
        <f>[1]!b_info_name(B129)</f>
        <v>16恒安国际MTN001</v>
      </c>
      <c r="E129" s="19" t="str">
        <f>[1]!b_info_latestissurercreditrating(B129)</f>
        <v>AAA</v>
      </c>
      <c r="F129" s="20">
        <f ca="1">[1]!b_anal_day(B129,$A$5)/365</f>
        <v>1.989041095890411</v>
      </c>
      <c r="G129" s="21">
        <f ca="1">[1]!b_anal_yield_cnbd(B129,$A$5)</f>
        <v>0</v>
      </c>
      <c r="H129" s="21">
        <f t="shared" ca="1" si="6"/>
        <v>505</v>
      </c>
      <c r="I129" s="21">
        <f ca="1">[1]!b_anal_yield_cnbd(B129,$A$7)</f>
        <v>0</v>
      </c>
      <c r="J129" s="21">
        <f t="shared" ca="1" si="7"/>
        <v>0</v>
      </c>
      <c r="K129" s="19" t="str">
        <f>[1]!s_info_Nature(B129)</f>
        <v>公众企业</v>
      </c>
      <c r="L129" s="19" t="str">
        <f>[1]!b_info_windl1type(B129)</f>
        <v>中期票据</v>
      </c>
      <c r="M129" s="13">
        <f>[1]!b_info_couponrate(B129)</f>
        <v>3.24</v>
      </c>
      <c r="N129" s="14" t="str">
        <f>[1]!B_Info_ListedDate(B129)</f>
        <v>2016-09-07</v>
      </c>
      <c r="O129" s="14" t="str">
        <f>[1]!b_issue_firstissue(B129)</f>
        <v>2016-09-05</v>
      </c>
      <c r="P129" s="4">
        <f t="shared" ca="1" si="8"/>
        <v>42989</v>
      </c>
    </row>
    <row r="130" spans="2:16">
      <c r="B130" s="7">
        <v>101654082</v>
      </c>
      <c r="C130" s="7">
        <v>5.05</v>
      </c>
      <c r="D130" s="18" t="str">
        <f>[1]!b_info_name(B130)</f>
        <v>16恒安国际MTN001</v>
      </c>
      <c r="E130" s="19" t="str">
        <f>[1]!b_info_latestissurercreditrating(B130)</f>
        <v>AAA</v>
      </c>
      <c r="F130" s="20">
        <f ca="1">[1]!b_anal_day(B130,$A$5)/365</f>
        <v>1.989041095890411</v>
      </c>
      <c r="G130" s="21">
        <f ca="1">[1]!b_anal_yield_cnbd(B130,$A$5)</f>
        <v>0</v>
      </c>
      <c r="H130" s="21">
        <f t="shared" ca="1" si="6"/>
        <v>505</v>
      </c>
      <c r="I130" s="21">
        <f ca="1">[1]!b_anal_yield_cnbd(B130,$A$7)</f>
        <v>0</v>
      </c>
      <c r="J130" s="21">
        <f t="shared" ca="1" si="7"/>
        <v>0</v>
      </c>
      <c r="K130" s="19" t="str">
        <f>[1]!s_info_Nature(B130)</f>
        <v>公众企业</v>
      </c>
      <c r="L130" s="19" t="str">
        <f>[1]!b_info_windl1type(B130)</f>
        <v>中期票据</v>
      </c>
      <c r="M130" s="13">
        <f>[1]!b_info_couponrate(B130)</f>
        <v>3.24</v>
      </c>
      <c r="N130" s="14" t="str">
        <f>[1]!B_Info_ListedDate(B130)</f>
        <v>2016-09-07</v>
      </c>
      <c r="O130" s="14" t="str">
        <f>[1]!b_issue_firstissue(B130)</f>
        <v>2016-09-05</v>
      </c>
      <c r="P130" s="4">
        <f t="shared" ca="1" si="8"/>
        <v>42989</v>
      </c>
    </row>
    <row r="131" spans="2:16">
      <c r="B131" s="7">
        <v>101654082</v>
      </c>
      <c r="C131" s="7">
        <v>5.05</v>
      </c>
      <c r="D131" s="18" t="str">
        <f>[1]!b_info_name(B131)</f>
        <v>16恒安国际MTN001</v>
      </c>
      <c r="E131" s="19" t="str">
        <f>[1]!b_info_latestissurercreditrating(B131)</f>
        <v>AAA</v>
      </c>
      <c r="F131" s="20">
        <f ca="1">[1]!b_anal_day(B131,$A$5)/365</f>
        <v>1.989041095890411</v>
      </c>
      <c r="G131" s="21">
        <f ca="1">[1]!b_anal_yield_cnbd(B131,$A$5)</f>
        <v>0</v>
      </c>
      <c r="H131" s="21">
        <f t="shared" ca="1" si="6"/>
        <v>505</v>
      </c>
      <c r="I131" s="21">
        <f ca="1">[1]!b_anal_yield_cnbd(B131,$A$7)</f>
        <v>0</v>
      </c>
      <c r="J131" s="21">
        <f t="shared" ca="1" si="7"/>
        <v>0</v>
      </c>
      <c r="K131" s="19" t="str">
        <f>[1]!s_info_Nature(B131)</f>
        <v>公众企业</v>
      </c>
      <c r="L131" s="19" t="str">
        <f>[1]!b_info_windl1type(B131)</f>
        <v>中期票据</v>
      </c>
      <c r="M131" s="13">
        <f>[1]!b_info_couponrate(B131)</f>
        <v>3.24</v>
      </c>
      <c r="N131" s="14" t="str">
        <f>[1]!B_Info_ListedDate(B131)</f>
        <v>2016-09-07</v>
      </c>
      <c r="O131" s="14" t="str">
        <f>[1]!b_issue_firstissue(B131)</f>
        <v>2016-09-05</v>
      </c>
      <c r="P131" s="4">
        <f t="shared" ca="1" si="8"/>
        <v>42989</v>
      </c>
    </row>
    <row r="132" spans="2:16">
      <c r="B132" s="7">
        <v>101654082</v>
      </c>
      <c r="C132" s="7">
        <v>5.05</v>
      </c>
      <c r="D132" s="18" t="str">
        <f>[1]!b_info_name(B132)</f>
        <v>16恒安国际MTN001</v>
      </c>
      <c r="E132" s="19" t="str">
        <f>[1]!b_info_latestissurercreditrating(B132)</f>
        <v>AAA</v>
      </c>
      <c r="F132" s="20">
        <f ca="1">[1]!b_anal_day(B132,$A$5)/365</f>
        <v>1.989041095890411</v>
      </c>
      <c r="G132" s="21">
        <f ca="1">[1]!b_anal_yield_cnbd(B132,$A$5)</f>
        <v>0</v>
      </c>
      <c r="H132" s="21">
        <f t="shared" ca="1" si="6"/>
        <v>505</v>
      </c>
      <c r="I132" s="21">
        <f ca="1">[1]!b_anal_yield_cnbd(B132,$A$7)</f>
        <v>0</v>
      </c>
      <c r="J132" s="21">
        <f t="shared" ca="1" si="7"/>
        <v>0</v>
      </c>
      <c r="K132" s="19" t="str">
        <f>[1]!s_info_Nature(B132)</f>
        <v>公众企业</v>
      </c>
      <c r="L132" s="19" t="str">
        <f>[1]!b_info_windl1type(B132)</f>
        <v>中期票据</v>
      </c>
      <c r="M132" s="13">
        <f>[1]!b_info_couponrate(B132)</f>
        <v>3.24</v>
      </c>
      <c r="N132" s="14" t="str">
        <f>[1]!B_Info_ListedDate(B132)</f>
        <v>2016-09-07</v>
      </c>
      <c r="O132" s="14" t="str">
        <f>[1]!b_issue_firstissue(B132)</f>
        <v>2016-09-05</v>
      </c>
      <c r="P132" s="4">
        <f t="shared" ca="1" si="8"/>
        <v>42989</v>
      </c>
    </row>
    <row r="133" spans="2:16">
      <c r="B133" s="7" t="s">
        <v>291</v>
      </c>
      <c r="C133" s="7">
        <v>5.04</v>
      </c>
      <c r="D133" s="18" t="str">
        <f>[1]!b_info_name(B133)</f>
        <v>15首置01</v>
      </c>
      <c r="E133" s="19" t="str">
        <f>[1]!b_info_latestissurercreditrating(B133)</f>
        <v>AAA</v>
      </c>
      <c r="F133" s="20">
        <f ca="1">[1]!b_anal_day(B133,$A$5)/365</f>
        <v>2.7123287671232879</v>
      </c>
      <c r="G133" s="21">
        <f ca="1">[1]!b_anal_yield_cnbd(B133,$A$5)</f>
        <v>0</v>
      </c>
      <c r="H133" s="21">
        <f t="shared" ca="1" si="6"/>
        <v>504</v>
      </c>
      <c r="I133" s="21">
        <f ca="1">[1]!b_anal_yield_cnbd(B133,$A$7)</f>
        <v>0</v>
      </c>
      <c r="J133" s="21">
        <f t="shared" ca="1" si="7"/>
        <v>0</v>
      </c>
      <c r="K133" s="19" t="str">
        <f>[1]!s_info_Nature(B133)</f>
        <v>地方国有企业</v>
      </c>
      <c r="L133" s="19" t="str">
        <f>[1]!b_info_windl1type(B133)</f>
        <v>公司债</v>
      </c>
      <c r="M133" s="13">
        <f>[1]!b_info_couponrate(B133)</f>
        <v>4.58</v>
      </c>
      <c r="N133" s="14" t="str">
        <f>[1]!B_Info_ListedDate(B133)</f>
        <v>2015-06-23</v>
      </c>
      <c r="O133" s="14" t="str">
        <f>[1]!b_issue_firstissue(B133)</f>
        <v>2015-05-27</v>
      </c>
      <c r="P133" s="4">
        <f t="shared" ca="1" si="8"/>
        <v>42989</v>
      </c>
    </row>
    <row r="134" spans="2:16">
      <c r="B134" s="7" t="s">
        <v>291</v>
      </c>
      <c r="C134" s="7">
        <v>5.04</v>
      </c>
      <c r="D134" s="18" t="str">
        <f>[1]!b_info_name(B134)</f>
        <v>15首置01</v>
      </c>
      <c r="E134" s="19" t="str">
        <f>[1]!b_info_latestissurercreditrating(B134)</f>
        <v>AAA</v>
      </c>
      <c r="F134" s="20">
        <f ca="1">[1]!b_anal_day(B134,$A$5)/365</f>
        <v>2.7123287671232879</v>
      </c>
      <c r="G134" s="21">
        <f ca="1">[1]!b_anal_yield_cnbd(B134,$A$5)</f>
        <v>0</v>
      </c>
      <c r="H134" s="21">
        <f t="shared" ca="1" si="6"/>
        <v>504</v>
      </c>
      <c r="I134" s="21">
        <f ca="1">[1]!b_anal_yield_cnbd(B134,$A$7)</f>
        <v>0</v>
      </c>
      <c r="J134" s="21">
        <f t="shared" ca="1" si="7"/>
        <v>0</v>
      </c>
      <c r="K134" s="19" t="str">
        <f>[1]!s_info_Nature(B134)</f>
        <v>地方国有企业</v>
      </c>
      <c r="L134" s="19" t="str">
        <f>[1]!b_info_windl1type(B134)</f>
        <v>公司债</v>
      </c>
      <c r="M134" s="13">
        <f>[1]!b_info_couponrate(B134)</f>
        <v>4.58</v>
      </c>
      <c r="N134" s="14" t="str">
        <f>[1]!B_Info_ListedDate(B134)</f>
        <v>2015-06-23</v>
      </c>
      <c r="O134" s="14" t="str">
        <f>[1]!b_issue_firstissue(B134)</f>
        <v>2015-05-27</v>
      </c>
      <c r="P134" s="4">
        <f t="shared" ca="1" si="8"/>
        <v>42989</v>
      </c>
    </row>
    <row r="135" spans="2:16">
      <c r="B135" s="7">
        <v>11698730</v>
      </c>
      <c r="C135" s="7">
        <v>5</v>
      </c>
      <c r="D135" s="18" t="str">
        <f>[1]!b_info_name(B135)</f>
        <v>16中色SCP002</v>
      </c>
      <c r="E135" s="19" t="str">
        <f>[1]!b_info_latestissurercreditrating(B135)</f>
        <v>AAA</v>
      </c>
      <c r="F135" s="20">
        <f ca="1">[1]!b_anal_day(B135,$A$5)/365</f>
        <v>0</v>
      </c>
      <c r="G135" s="21">
        <f ca="1">[1]!b_anal_yield_cnbd(B135,$A$5)</f>
        <v>0</v>
      </c>
      <c r="H135" s="21">
        <f t="shared" ca="1" si="6"/>
        <v>500</v>
      </c>
      <c r="I135" s="21">
        <f ca="1">[1]!b_anal_yield_cnbd(B135,$A$7)</f>
        <v>0</v>
      </c>
      <c r="J135" s="21">
        <f t="shared" ca="1" si="7"/>
        <v>0</v>
      </c>
      <c r="K135" s="19" t="str">
        <f>[1]!s_info_Nature(B135)</f>
        <v>中央国有企业</v>
      </c>
      <c r="L135" s="19" t="str">
        <f>[1]!b_info_windl1type(B135)</f>
        <v>短期融资券</v>
      </c>
      <c r="M135" s="13">
        <f>[1]!b_info_couponrate(B135)</f>
        <v>3.62</v>
      </c>
      <c r="N135" s="14" t="str">
        <f>[1]!B_Info_ListedDate(B135)</f>
        <v>2016-11-03</v>
      </c>
      <c r="O135" s="14" t="str">
        <f>[1]!b_issue_firstissue(B135)</f>
        <v>2016-10-31</v>
      </c>
      <c r="P135" s="4">
        <f t="shared" ca="1" si="8"/>
        <v>42989</v>
      </c>
    </row>
    <row r="136" spans="2:16">
      <c r="B136" s="7">
        <v>11698743</v>
      </c>
      <c r="C136" s="7">
        <v>5</v>
      </c>
      <c r="D136" s="18" t="str">
        <f>[1]!b_info_name(B136)</f>
        <v>16淮安新城SCP001</v>
      </c>
      <c r="E136" s="19" t="str">
        <f>[1]!b_info_latestissurercreditrating(B136)</f>
        <v>AA</v>
      </c>
      <c r="F136" s="20">
        <f ca="1">[1]!b_anal_day(B136,$A$5)/365</f>
        <v>0</v>
      </c>
      <c r="G136" s="21">
        <f ca="1">[1]!b_anal_yield_cnbd(B136,$A$5)</f>
        <v>0</v>
      </c>
      <c r="H136" s="21">
        <f t="shared" ca="1" si="6"/>
        <v>500</v>
      </c>
      <c r="I136" s="21">
        <f ca="1">[1]!b_anal_yield_cnbd(B136,$A$7)</f>
        <v>0</v>
      </c>
      <c r="J136" s="21">
        <f t="shared" ca="1" si="7"/>
        <v>0</v>
      </c>
      <c r="K136" s="19" t="str">
        <f>[1]!s_info_Nature(B136)</f>
        <v>地方国有企业</v>
      </c>
      <c r="L136" s="19" t="str">
        <f>[1]!b_info_windl1type(B136)</f>
        <v>短期融资券</v>
      </c>
      <c r="M136" s="13">
        <f>[1]!b_info_couponrate(B136)</f>
        <v>3.13</v>
      </c>
      <c r="N136" s="14" t="str">
        <f>[1]!B_Info_ListedDate(B136)</f>
        <v>2016-11-04</v>
      </c>
      <c r="O136" s="14" t="str">
        <f>[1]!b_issue_firstissue(B136)</f>
        <v>2016-11-02</v>
      </c>
      <c r="P136" s="4">
        <f t="shared" ca="1" si="8"/>
        <v>42989</v>
      </c>
    </row>
    <row r="137" spans="2:16">
      <c r="B137" s="7">
        <v>11760054</v>
      </c>
      <c r="C137" s="7">
        <v>5</v>
      </c>
      <c r="D137" s="18" t="str">
        <f>[1]!b_info_name(B137)</f>
        <v>17建发地产SCP002</v>
      </c>
      <c r="E137" s="19" t="str">
        <f>[1]!b_info_latestissurercreditrating(B137)</f>
        <v>AA+</v>
      </c>
      <c r="F137" s="20">
        <f ca="1">[1]!b_anal_day(B137,$A$5)/365</f>
        <v>0.15068493150684931</v>
      </c>
      <c r="G137" s="21">
        <f ca="1">[1]!b_anal_yield_cnbd(B137,$A$5)</f>
        <v>0</v>
      </c>
      <c r="H137" s="21">
        <f t="shared" ca="1" si="6"/>
        <v>500</v>
      </c>
      <c r="I137" s="21">
        <f ca="1">[1]!b_anal_yield_cnbd(B137,$A$7)</f>
        <v>0</v>
      </c>
      <c r="J137" s="21">
        <f t="shared" ca="1" si="7"/>
        <v>0</v>
      </c>
      <c r="K137" s="19" t="str">
        <f>[1]!s_info_Nature(B137)</f>
        <v>地方国有企业</v>
      </c>
      <c r="L137" s="19" t="str">
        <f>[1]!b_info_windl1type(B137)</f>
        <v>短期融资券</v>
      </c>
      <c r="M137" s="13">
        <f>[1]!b_info_couponrate(B137)</f>
        <v>4.88</v>
      </c>
      <c r="N137" s="14" t="str">
        <f>[1]!B_Info_ListedDate(B137)</f>
        <v>2017-05-05</v>
      </c>
      <c r="O137" s="14" t="str">
        <f>[1]!b_issue_firstissue(B137)</f>
        <v>2017-05-03</v>
      </c>
      <c r="P137" s="4">
        <f t="shared" ca="1" si="8"/>
        <v>42989</v>
      </c>
    </row>
    <row r="138" spans="2:16">
      <c r="B138" s="7">
        <v>101455012</v>
      </c>
      <c r="C138" s="7">
        <v>5</v>
      </c>
      <c r="D138" s="18" t="str">
        <f>[1]!b_info_name(B138)</f>
        <v>14奥瑞金MTN001</v>
      </c>
      <c r="E138" s="19" t="str">
        <f>[1]!b_info_latestissurercreditrating(B138)</f>
        <v>AA+</v>
      </c>
      <c r="F138" s="20">
        <f ca="1">[1]!b_anal_day(B138,$A$5)/365</f>
        <v>0</v>
      </c>
      <c r="G138" s="21">
        <f ca="1">[1]!b_anal_yield_cnbd(B138,$A$5)</f>
        <v>0</v>
      </c>
      <c r="H138" s="21">
        <f t="shared" ca="1" si="6"/>
        <v>500</v>
      </c>
      <c r="I138" s="21">
        <f ca="1">[1]!b_anal_yield_cnbd(B138,$A$7)</f>
        <v>0</v>
      </c>
      <c r="J138" s="21">
        <f t="shared" ca="1" si="7"/>
        <v>0</v>
      </c>
      <c r="K138" s="19" t="str">
        <f>[1]!s_info_Nature(B138)</f>
        <v>民营企业</v>
      </c>
      <c r="L138" s="19" t="str">
        <f>[1]!b_info_windl1type(B138)</f>
        <v>中期票据</v>
      </c>
      <c r="M138" s="13">
        <f>[1]!b_info_couponrate(B138)</f>
        <v>6.9</v>
      </c>
      <c r="N138" s="14" t="str">
        <f>[1]!B_Info_ListedDate(B138)</f>
        <v>2014-07-31</v>
      </c>
      <c r="O138" s="14" t="str">
        <f>[1]!b_issue_firstissue(B138)</f>
        <v>2014-07-29</v>
      </c>
      <c r="P138" s="4">
        <f t="shared" ca="1" si="8"/>
        <v>42989</v>
      </c>
    </row>
    <row r="139" spans="2:16">
      <c r="B139" s="7">
        <v>101455027</v>
      </c>
      <c r="C139" s="7">
        <v>5</v>
      </c>
      <c r="D139" s="18" t="str">
        <f>[1]!b_info_name(B139)</f>
        <v>14万华MTN001</v>
      </c>
      <c r="E139" s="19" t="str">
        <f>[1]!b_info_latestissurercreditrating(B139)</f>
        <v>AAA</v>
      </c>
      <c r="F139" s="20">
        <f ca="1">[1]!b_anal_day(B139,$A$5)/365</f>
        <v>2.0986301369863014</v>
      </c>
      <c r="G139" s="21">
        <f ca="1">[1]!b_anal_yield_cnbd(B139,$A$5)</f>
        <v>0</v>
      </c>
      <c r="H139" s="21">
        <f t="shared" ca="1" si="6"/>
        <v>500</v>
      </c>
      <c r="I139" s="21">
        <f ca="1">[1]!b_anal_yield_cnbd(B139,$A$7)</f>
        <v>0</v>
      </c>
      <c r="J139" s="21">
        <f t="shared" ca="1" si="7"/>
        <v>0</v>
      </c>
      <c r="K139" s="19" t="str">
        <f>[1]!s_info_Nature(B139)</f>
        <v>地方国有企业</v>
      </c>
      <c r="L139" s="19" t="str">
        <f>[1]!b_info_windl1type(B139)</f>
        <v>中期票据</v>
      </c>
      <c r="M139" s="13">
        <f>[1]!b_info_couponrate(B139)</f>
        <v>5.45</v>
      </c>
      <c r="N139" s="14" t="str">
        <f>[1]!B_Info_ListedDate(B139)</f>
        <v>2014-10-17</v>
      </c>
      <c r="O139" s="14" t="str">
        <f>[1]!b_issue_firstissue(B139)</f>
        <v>2014-10-14</v>
      </c>
      <c r="P139" s="4">
        <f t="shared" ca="1" si="8"/>
        <v>42989</v>
      </c>
    </row>
    <row r="140" spans="2:16">
      <c r="B140" s="7">
        <v>101455027</v>
      </c>
      <c r="C140" s="7">
        <v>5</v>
      </c>
      <c r="D140" s="18" t="str">
        <f>[1]!b_info_name(B140)</f>
        <v>14万华MTN001</v>
      </c>
      <c r="E140" s="19" t="str">
        <f>[1]!b_info_latestissurercreditrating(B140)</f>
        <v>AAA</v>
      </c>
      <c r="F140" s="20">
        <f ca="1">[1]!b_anal_day(B140,$A$5)/365</f>
        <v>2.0986301369863014</v>
      </c>
      <c r="G140" s="21">
        <f ca="1">[1]!b_anal_yield_cnbd(B140,$A$5)</f>
        <v>0</v>
      </c>
      <c r="H140" s="21">
        <f t="shared" ca="1" si="6"/>
        <v>500</v>
      </c>
      <c r="I140" s="21">
        <f ca="1">[1]!b_anal_yield_cnbd(B140,$A$7)</f>
        <v>0</v>
      </c>
      <c r="J140" s="21">
        <f t="shared" ca="1" si="7"/>
        <v>0</v>
      </c>
      <c r="K140" s="19" t="str">
        <f>[1]!s_info_Nature(B140)</f>
        <v>地方国有企业</v>
      </c>
      <c r="L140" s="19" t="str">
        <f>[1]!b_info_windl1type(B140)</f>
        <v>中期票据</v>
      </c>
      <c r="M140" s="13">
        <f>[1]!b_info_couponrate(B140)</f>
        <v>5.45</v>
      </c>
      <c r="N140" s="14" t="str">
        <f>[1]!B_Info_ListedDate(B140)</f>
        <v>2014-10-17</v>
      </c>
      <c r="O140" s="14" t="str">
        <f>[1]!b_issue_firstissue(B140)</f>
        <v>2014-10-14</v>
      </c>
      <c r="P140" s="4">
        <f t="shared" ca="1" si="8"/>
        <v>42989</v>
      </c>
    </row>
    <row r="141" spans="2:16">
      <c r="B141" s="7">
        <v>101455027</v>
      </c>
      <c r="C141" s="7">
        <v>5</v>
      </c>
      <c r="D141" s="18" t="str">
        <f>[1]!b_info_name(B141)</f>
        <v>14万华MTN001</v>
      </c>
      <c r="E141" s="19" t="str">
        <f>[1]!b_info_latestissurercreditrating(B141)</f>
        <v>AAA</v>
      </c>
      <c r="F141" s="20">
        <f ca="1">[1]!b_anal_day(B141,$A$5)/365</f>
        <v>2.0986301369863014</v>
      </c>
      <c r="G141" s="21">
        <f ca="1">[1]!b_anal_yield_cnbd(B141,$A$5)</f>
        <v>0</v>
      </c>
      <c r="H141" s="21">
        <f t="shared" ca="1" si="6"/>
        <v>500</v>
      </c>
      <c r="I141" s="21">
        <f ca="1">[1]!b_anal_yield_cnbd(B141,$A$7)</f>
        <v>0</v>
      </c>
      <c r="J141" s="21">
        <f t="shared" ca="1" si="7"/>
        <v>0</v>
      </c>
      <c r="K141" s="19" t="str">
        <f>[1]!s_info_Nature(B141)</f>
        <v>地方国有企业</v>
      </c>
      <c r="L141" s="19" t="str">
        <f>[1]!b_info_windl1type(B141)</f>
        <v>中期票据</v>
      </c>
      <c r="M141" s="13">
        <f>[1]!b_info_couponrate(B141)</f>
        <v>5.45</v>
      </c>
      <c r="N141" s="14" t="str">
        <f>[1]!B_Info_ListedDate(B141)</f>
        <v>2014-10-17</v>
      </c>
      <c r="O141" s="14" t="str">
        <f>[1]!b_issue_firstissue(B141)</f>
        <v>2014-10-14</v>
      </c>
      <c r="P141" s="4">
        <f t="shared" ca="1" si="8"/>
        <v>42989</v>
      </c>
    </row>
    <row r="142" spans="2:16">
      <c r="B142" s="7">
        <v>11698563</v>
      </c>
      <c r="C142" s="7">
        <v>5</v>
      </c>
      <c r="D142" s="18" t="str">
        <f>[1]!b_info_name(B142)</f>
        <v>16晋能SCP007</v>
      </c>
      <c r="E142" s="19" t="str">
        <f>[1]!b_info_latestissurercreditrating(B142)</f>
        <v>AAA</v>
      </c>
      <c r="F142" s="20">
        <f ca="1">[1]!b_anal_day(B142,$A$5)/365</f>
        <v>0</v>
      </c>
      <c r="G142" s="21">
        <f ca="1">[1]!b_anal_yield_cnbd(B142,$A$5)</f>
        <v>0</v>
      </c>
      <c r="H142" s="21">
        <f t="shared" ca="1" si="6"/>
        <v>500</v>
      </c>
      <c r="I142" s="21">
        <f ca="1">[1]!b_anal_yield_cnbd(B142,$A$7)</f>
        <v>0</v>
      </c>
      <c r="J142" s="21">
        <f t="shared" ca="1" si="7"/>
        <v>0</v>
      </c>
      <c r="K142" s="19" t="str">
        <f>[1]!s_info_Nature(B142)</f>
        <v>地方国有企业</v>
      </c>
      <c r="L142" s="19" t="str">
        <f>[1]!b_info_windl1type(B142)</f>
        <v>短期融资券</v>
      </c>
      <c r="M142" s="13">
        <f>[1]!b_info_couponrate(B142)</f>
        <v>3.41</v>
      </c>
      <c r="N142" s="14" t="str">
        <f>[1]!B_Info_ListedDate(B142)</f>
        <v>2016-10-14</v>
      </c>
      <c r="O142" s="14" t="str">
        <f>[1]!b_issue_firstissue(B142)</f>
        <v>2016-10-12</v>
      </c>
      <c r="P142" s="4">
        <f t="shared" ca="1" si="8"/>
        <v>42989</v>
      </c>
    </row>
    <row r="143" spans="2:16">
      <c r="B143" s="7" t="s">
        <v>894</v>
      </c>
      <c r="C143" s="7">
        <v>5</v>
      </c>
      <c r="D143" s="18" t="str">
        <f>[1]!b_info_name(B143)</f>
        <v>15石国控</v>
      </c>
      <c r="E143" s="19" t="str">
        <f>[1]!b_info_latestissurercreditrating(B143)</f>
        <v>AAA</v>
      </c>
      <c r="F143" s="20">
        <f ca="1">[1]!b_anal_day(B143,$A$5)/365</f>
        <v>4.580821917808219</v>
      </c>
      <c r="G143" s="21">
        <f ca="1">[1]!b_anal_yield_cnbd(B143,$A$5)</f>
        <v>0</v>
      </c>
      <c r="H143" s="21">
        <f t="shared" ca="1" si="6"/>
        <v>500</v>
      </c>
      <c r="I143" s="21">
        <f ca="1">[1]!b_anal_yield_cnbd(B143,$A$7)</f>
        <v>0</v>
      </c>
      <c r="J143" s="21">
        <f t="shared" ca="1" si="7"/>
        <v>0</v>
      </c>
      <c r="K143" s="19" t="str">
        <f>[1]!s_info_Nature(B143)</f>
        <v>地方国有企业</v>
      </c>
      <c r="L143" s="19" t="str">
        <f>[1]!b_info_windl1type(B143)</f>
        <v>企业债</v>
      </c>
      <c r="M143" s="13">
        <f>[1]!b_info_couponrate(B143)</f>
        <v>5.75</v>
      </c>
      <c r="N143" s="14" t="str">
        <f>[1]!B_Info_ListedDate(B143)</f>
        <v>2015-06-03</v>
      </c>
      <c r="O143" s="14" t="str">
        <f>[1]!b_issue_firstissue(B143)</f>
        <v>2015-04-08</v>
      </c>
      <c r="P143" s="4">
        <f t="shared" ca="1" si="8"/>
        <v>42989</v>
      </c>
    </row>
    <row r="144" spans="2:16">
      <c r="B144" s="7" t="s">
        <v>760</v>
      </c>
      <c r="C144" s="7">
        <v>5</v>
      </c>
      <c r="D144" s="18" t="str">
        <f>[1]!b_info_name(B144)</f>
        <v>16龙湖04</v>
      </c>
      <c r="E144" s="19" t="str">
        <f>[1]!b_info_latestissurercreditrating(B144)</f>
        <v>AAA</v>
      </c>
      <c r="F144" s="20">
        <f ca="1">[1]!b_anal_day(B144,$A$5)/365</f>
        <v>8.4849315068493159</v>
      </c>
      <c r="G144" s="21">
        <f ca="1">[1]!b_anal_yield_cnbd(B144,$A$5)</f>
        <v>0</v>
      </c>
      <c r="H144" s="21">
        <f t="shared" ca="1" si="6"/>
        <v>500</v>
      </c>
      <c r="I144" s="21">
        <f ca="1">[1]!b_anal_yield_cnbd(B144,$A$7)</f>
        <v>0</v>
      </c>
      <c r="J144" s="21">
        <f t="shared" ca="1" si="7"/>
        <v>0</v>
      </c>
      <c r="K144" s="19" t="str">
        <f>[1]!s_info_Nature(B144)</f>
        <v>中外合资企业</v>
      </c>
      <c r="L144" s="19" t="str">
        <f>[1]!b_info_windl1type(B144)</f>
        <v>公司债</v>
      </c>
      <c r="M144" s="13">
        <f>[1]!b_info_couponrate(B144)</f>
        <v>3.75</v>
      </c>
      <c r="N144" s="14" t="str">
        <f>[1]!B_Info_ListedDate(B144)</f>
        <v>2016-04-01</v>
      </c>
      <c r="O144" s="14" t="str">
        <f>[1]!b_issue_firstissue(B144)</f>
        <v>2016-03-03</v>
      </c>
      <c r="P144" s="4">
        <f t="shared" ca="1" si="8"/>
        <v>42989</v>
      </c>
    </row>
    <row r="145" spans="2:16">
      <c r="B145" s="7" t="s">
        <v>760</v>
      </c>
      <c r="C145" s="7">
        <v>5</v>
      </c>
      <c r="D145" s="18" t="str">
        <f>[1]!b_info_name(B145)</f>
        <v>16龙湖04</v>
      </c>
      <c r="E145" s="19" t="str">
        <f>[1]!b_info_latestissurercreditrating(B145)</f>
        <v>AAA</v>
      </c>
      <c r="F145" s="20">
        <f ca="1">[1]!b_anal_day(B145,$A$5)/365</f>
        <v>8.4849315068493159</v>
      </c>
      <c r="G145" s="21">
        <f ca="1">[1]!b_anal_yield_cnbd(B145,$A$5)</f>
        <v>0</v>
      </c>
      <c r="H145" s="21">
        <f t="shared" ca="1" si="6"/>
        <v>500</v>
      </c>
      <c r="I145" s="21">
        <f ca="1">[1]!b_anal_yield_cnbd(B145,$A$7)</f>
        <v>0</v>
      </c>
      <c r="J145" s="21">
        <f t="shared" ca="1" si="7"/>
        <v>0</v>
      </c>
      <c r="K145" s="19" t="str">
        <f>[1]!s_info_Nature(B145)</f>
        <v>中外合资企业</v>
      </c>
      <c r="L145" s="19" t="str">
        <f>[1]!b_info_windl1type(B145)</f>
        <v>公司债</v>
      </c>
      <c r="M145" s="13">
        <f>[1]!b_info_couponrate(B145)</f>
        <v>3.75</v>
      </c>
      <c r="N145" s="14" t="str">
        <f>[1]!B_Info_ListedDate(B145)</f>
        <v>2016-04-01</v>
      </c>
      <c r="O145" s="14" t="str">
        <f>[1]!b_issue_firstissue(B145)</f>
        <v>2016-03-03</v>
      </c>
      <c r="P145" s="4">
        <f t="shared" ca="1" si="8"/>
        <v>42989</v>
      </c>
    </row>
    <row r="146" spans="2:16">
      <c r="B146" s="7" t="s">
        <v>895</v>
      </c>
      <c r="C146" s="7">
        <v>5</v>
      </c>
      <c r="D146" s="18" t="str">
        <f>[1]!b_info_name(B146)</f>
        <v>16渝地产</v>
      </c>
      <c r="E146" s="19" t="str">
        <f>[1]!b_info_latestissurercreditrating(B146)</f>
        <v>AAA</v>
      </c>
      <c r="F146" s="20">
        <f ca="1">[1]!b_anal_day(B146,$A$5)/365</f>
        <v>5.5287671232876709</v>
      </c>
      <c r="G146" s="21">
        <f ca="1">[1]!b_anal_yield_cnbd(B146,$A$5)</f>
        <v>0</v>
      </c>
      <c r="H146" s="21">
        <f t="shared" ca="1" si="6"/>
        <v>500</v>
      </c>
      <c r="I146" s="21">
        <f ca="1">[1]!b_anal_yield_cnbd(B146,$A$7)</f>
        <v>0</v>
      </c>
      <c r="J146" s="21">
        <f t="shared" ca="1" si="7"/>
        <v>0</v>
      </c>
      <c r="K146" s="19" t="str">
        <f>[1]!s_info_Nature(B146)</f>
        <v>地方国有企业</v>
      </c>
      <c r="L146" s="19" t="str">
        <f>[1]!b_info_windl1type(B146)</f>
        <v>企业债</v>
      </c>
      <c r="M146" s="13">
        <f>[1]!b_info_couponrate(B146)</f>
        <v>3.36</v>
      </c>
      <c r="N146" s="14" t="str">
        <f>[1]!B_Info_ListedDate(B146)</f>
        <v>2016-04-08</v>
      </c>
      <c r="O146" s="14" t="str">
        <f>[1]!b_issue_firstissue(B146)</f>
        <v>2016-03-18</v>
      </c>
      <c r="P146" s="4">
        <f t="shared" ca="1" si="8"/>
        <v>42989</v>
      </c>
    </row>
    <row r="147" spans="2:16">
      <c r="B147" s="7">
        <v>41762016</v>
      </c>
      <c r="C147" s="7">
        <v>5</v>
      </c>
      <c r="D147" s="18" t="str">
        <f>[1]!b_info_name(B147)</f>
        <v>17漳州城投CP001</v>
      </c>
      <c r="E147" s="19" t="str">
        <f>[1]!b_info_latestissurercreditrating(B147)</f>
        <v>AA</v>
      </c>
      <c r="F147" s="20">
        <f ca="1">[1]!b_anal_day(B147,$A$5)/365</f>
        <v>0.58904109589041098</v>
      </c>
      <c r="G147" s="21">
        <f ca="1">[1]!b_anal_yield_cnbd(B147,$A$5)</f>
        <v>0</v>
      </c>
      <c r="H147" s="21">
        <f t="shared" ca="1" si="6"/>
        <v>500</v>
      </c>
      <c r="I147" s="21">
        <f ca="1">[1]!b_anal_yield_cnbd(B147,$A$7)</f>
        <v>0</v>
      </c>
      <c r="J147" s="21">
        <f t="shared" ca="1" si="7"/>
        <v>0</v>
      </c>
      <c r="K147" s="19" t="str">
        <f>[1]!s_info_Nature(B147)</f>
        <v>地方国有企业</v>
      </c>
      <c r="L147" s="19" t="str">
        <f>[1]!b_info_windl1type(B147)</f>
        <v>短期融资券</v>
      </c>
      <c r="M147" s="13">
        <f>[1]!b_info_couponrate(B147)</f>
        <v>4.55</v>
      </c>
      <c r="N147" s="14" t="str">
        <f>[1]!B_Info_ListedDate(B147)</f>
        <v>2017-04-14</v>
      </c>
      <c r="O147" s="14" t="str">
        <f>[1]!b_issue_firstissue(B147)</f>
        <v>2017-04-12</v>
      </c>
      <c r="P147" s="4">
        <f t="shared" ca="1" si="8"/>
        <v>42989</v>
      </c>
    </row>
    <row r="148" spans="2:16">
      <c r="B148" s="7" t="s">
        <v>317</v>
      </c>
      <c r="C148" s="7">
        <v>4.99</v>
      </c>
      <c r="D148" s="18" t="str">
        <f>[1]!b_info_name(B148)</f>
        <v>15龙湖04</v>
      </c>
      <c r="E148" s="19" t="str">
        <f>[1]!b_info_latestissurercreditrating(B148)</f>
        <v>AAA</v>
      </c>
      <c r="F148" s="20">
        <f ca="1">[1]!b_anal_day(B148,$A$5)/365</f>
        <v>5.1479452054794521</v>
      </c>
      <c r="G148" s="21">
        <f ca="1">[1]!b_anal_yield_cnbd(B148,$A$5)</f>
        <v>0</v>
      </c>
      <c r="H148" s="21">
        <f t="shared" ca="1" si="6"/>
        <v>499</v>
      </c>
      <c r="I148" s="21">
        <f ca="1">[1]!b_anal_yield_cnbd(B148,$A$7)</f>
        <v>0</v>
      </c>
      <c r="J148" s="21">
        <f t="shared" ca="1" si="7"/>
        <v>0</v>
      </c>
      <c r="K148" s="19" t="str">
        <f>[1]!s_info_Nature(B148)</f>
        <v>中外合资企业</v>
      </c>
      <c r="L148" s="19" t="str">
        <f>[1]!b_info_windl1type(B148)</f>
        <v>公司债</v>
      </c>
      <c r="M148" s="13">
        <f>[1]!b_info_couponrate(B148)</f>
        <v>4.08</v>
      </c>
      <c r="N148" s="14" t="str">
        <f>[1]!B_Info_ListedDate(B148)</f>
        <v>2015-12-04</v>
      </c>
      <c r="O148" s="14" t="str">
        <f>[1]!b_issue_firstissue(B148)</f>
        <v>2015-10-30</v>
      </c>
      <c r="P148" s="4">
        <f t="shared" ca="1" si="8"/>
        <v>42989</v>
      </c>
    </row>
    <row r="149" spans="2:16">
      <c r="B149" s="7" t="s">
        <v>317</v>
      </c>
      <c r="C149" s="7">
        <v>4.99</v>
      </c>
      <c r="D149" s="18" t="str">
        <f>[1]!b_info_name(B149)</f>
        <v>15龙湖04</v>
      </c>
      <c r="E149" s="19" t="str">
        <f>[1]!b_info_latestissurercreditrating(B149)</f>
        <v>AAA</v>
      </c>
      <c r="F149" s="20">
        <f ca="1">[1]!b_anal_day(B149,$A$5)/365</f>
        <v>5.1479452054794521</v>
      </c>
      <c r="G149" s="21">
        <f ca="1">[1]!b_anal_yield_cnbd(B149,$A$5)</f>
        <v>0</v>
      </c>
      <c r="H149" s="21">
        <f t="shared" ca="1" si="6"/>
        <v>499</v>
      </c>
      <c r="I149" s="21">
        <f ca="1">[1]!b_anal_yield_cnbd(B149,$A$7)</f>
        <v>0</v>
      </c>
      <c r="J149" s="21">
        <f t="shared" ca="1" si="7"/>
        <v>0</v>
      </c>
      <c r="K149" s="19" t="str">
        <f>[1]!s_info_Nature(B149)</f>
        <v>中外合资企业</v>
      </c>
      <c r="L149" s="19" t="str">
        <f>[1]!b_info_windl1type(B149)</f>
        <v>公司债</v>
      </c>
      <c r="M149" s="13">
        <f>[1]!b_info_couponrate(B149)</f>
        <v>4.08</v>
      </c>
      <c r="N149" s="14" t="str">
        <f>[1]!B_Info_ListedDate(B149)</f>
        <v>2015-12-04</v>
      </c>
      <c r="O149" s="14" t="str">
        <f>[1]!b_issue_firstissue(B149)</f>
        <v>2015-10-30</v>
      </c>
      <c r="P149" s="4">
        <f t="shared" ca="1" si="8"/>
        <v>42989</v>
      </c>
    </row>
    <row r="150" spans="2:16">
      <c r="B150" s="7" t="s">
        <v>317</v>
      </c>
      <c r="C150" s="7">
        <v>4.99</v>
      </c>
      <c r="D150" s="18" t="str">
        <f>[1]!b_info_name(B150)</f>
        <v>15龙湖04</v>
      </c>
      <c r="E150" s="19" t="str">
        <f>[1]!b_info_latestissurercreditrating(B150)</f>
        <v>AAA</v>
      </c>
      <c r="F150" s="20">
        <f ca="1">[1]!b_anal_day(B150,$A$5)/365</f>
        <v>5.1479452054794521</v>
      </c>
      <c r="G150" s="21">
        <f ca="1">[1]!b_anal_yield_cnbd(B150,$A$5)</f>
        <v>0</v>
      </c>
      <c r="H150" s="21">
        <f t="shared" ca="1" si="6"/>
        <v>499</v>
      </c>
      <c r="I150" s="21">
        <f ca="1">[1]!b_anal_yield_cnbd(B150,$A$7)</f>
        <v>0</v>
      </c>
      <c r="J150" s="21">
        <f t="shared" ca="1" si="7"/>
        <v>0</v>
      </c>
      <c r="K150" s="19" t="str">
        <f>[1]!s_info_Nature(B150)</f>
        <v>中外合资企业</v>
      </c>
      <c r="L150" s="19" t="str">
        <f>[1]!b_info_windl1type(B150)</f>
        <v>公司债</v>
      </c>
      <c r="M150" s="13">
        <f>[1]!b_info_couponrate(B150)</f>
        <v>4.08</v>
      </c>
      <c r="N150" s="14" t="str">
        <f>[1]!B_Info_ListedDate(B150)</f>
        <v>2015-12-04</v>
      </c>
      <c r="O150" s="14" t="str">
        <f>[1]!b_issue_firstissue(B150)</f>
        <v>2015-10-30</v>
      </c>
      <c r="P150" s="4">
        <f t="shared" ca="1" si="8"/>
        <v>42989</v>
      </c>
    </row>
    <row r="151" spans="2:16">
      <c r="B151" s="7">
        <v>101660001</v>
      </c>
      <c r="C151" s="7">
        <v>4.97</v>
      </c>
      <c r="D151" s="18" t="str">
        <f>[1]!b_info_name(B151)</f>
        <v>16徐州国资MTN001</v>
      </c>
      <c r="E151" s="19" t="str">
        <f>[1]!b_info_latestissurercreditrating(B151)</f>
        <v>AA+</v>
      </c>
      <c r="F151" s="20">
        <f ca="1">[1]!b_anal_day(B151,$A$5)/365</f>
        <v>1.3424657534246576</v>
      </c>
      <c r="G151" s="21">
        <f ca="1">[1]!b_anal_yield_cnbd(B151,$A$5)</f>
        <v>0</v>
      </c>
      <c r="H151" s="21">
        <f t="shared" ca="1" si="6"/>
        <v>497</v>
      </c>
      <c r="I151" s="21">
        <f ca="1">[1]!b_anal_yield_cnbd(B151,$A$7)</f>
        <v>0</v>
      </c>
      <c r="J151" s="21">
        <f t="shared" ca="1" si="7"/>
        <v>0</v>
      </c>
      <c r="K151" s="19" t="str">
        <f>[1]!s_info_Nature(B151)</f>
        <v>地方国有企业</v>
      </c>
      <c r="L151" s="19" t="str">
        <f>[1]!b_info_windl1type(B151)</f>
        <v>中期票据</v>
      </c>
      <c r="M151" s="13">
        <f>[1]!b_info_couponrate(B151)</f>
        <v>3.15</v>
      </c>
      <c r="N151" s="14" t="str">
        <f>[1]!B_Info_ListedDate(B151)</f>
        <v>2016-01-14</v>
      </c>
      <c r="O151" s="14" t="str">
        <f>[1]!b_issue_firstissue(B151)</f>
        <v>2016-01-12</v>
      </c>
      <c r="P151" s="4">
        <f t="shared" ca="1" si="8"/>
        <v>42989</v>
      </c>
    </row>
    <row r="152" spans="2:16">
      <c r="B152" s="7">
        <v>136064</v>
      </c>
      <c r="C152" s="7">
        <v>4.96</v>
      </c>
      <c r="D152" s="18" t="str">
        <f>[1]!b_info_name(B152)</f>
        <v>13铁龙02</v>
      </c>
      <c r="E152" s="19" t="str">
        <f>[1]!b_info_latestissurercreditrating(B152)</f>
        <v>AA+</v>
      </c>
      <c r="F152" s="20">
        <f ca="1">[1]!b_anal_day(B152,$A$5)/365</f>
        <v>1.2219178082191782</v>
      </c>
      <c r="G152" s="21">
        <f ca="1">[1]!b_anal_yield_cnbd(B152,$A$5)</f>
        <v>0</v>
      </c>
      <c r="H152" s="21">
        <f t="shared" ca="1" si="6"/>
        <v>496</v>
      </c>
      <c r="I152" s="21">
        <f ca="1">[1]!b_anal_yield_cnbd(B152,$A$7)</f>
        <v>0</v>
      </c>
      <c r="J152" s="21">
        <f t="shared" ca="1" si="7"/>
        <v>0</v>
      </c>
      <c r="K152" s="19" t="str">
        <f>[1]!s_info_Nature(B152)</f>
        <v>中央国有企业</v>
      </c>
      <c r="L152" s="19" t="str">
        <f>[1]!b_info_windl1type(B152)</f>
        <v>公司债</v>
      </c>
      <c r="M152" s="13">
        <f>[1]!b_info_couponrate(B152)</f>
        <v>3.77</v>
      </c>
      <c r="N152" s="14" t="str">
        <f>[1]!B_Info_ListedDate(B152)</f>
        <v>2015-12-24</v>
      </c>
      <c r="O152" s="14" t="str">
        <f>[1]!b_issue_firstissue(B152)</f>
        <v>2015-11-27</v>
      </c>
      <c r="P152" s="4">
        <f t="shared" ca="1" si="8"/>
        <v>42989</v>
      </c>
    </row>
    <row r="153" spans="2:16">
      <c r="B153" s="7">
        <v>136064</v>
      </c>
      <c r="C153" s="7">
        <v>4.96</v>
      </c>
      <c r="D153" s="18" t="str">
        <f>[1]!b_info_name(B153)</f>
        <v>13铁龙02</v>
      </c>
      <c r="E153" s="19" t="str">
        <f>[1]!b_info_latestissurercreditrating(B153)</f>
        <v>AA+</v>
      </c>
      <c r="F153" s="20">
        <f ca="1">[1]!b_anal_day(B153,$A$5)/365</f>
        <v>1.2219178082191782</v>
      </c>
      <c r="G153" s="21">
        <f ca="1">[1]!b_anal_yield_cnbd(B153,$A$5)</f>
        <v>0</v>
      </c>
      <c r="H153" s="21">
        <f t="shared" ca="1" si="6"/>
        <v>496</v>
      </c>
      <c r="I153" s="21">
        <f ca="1">[1]!b_anal_yield_cnbd(B153,$A$7)</f>
        <v>0</v>
      </c>
      <c r="J153" s="21">
        <f t="shared" ca="1" si="7"/>
        <v>0</v>
      </c>
      <c r="K153" s="19" t="str">
        <f>[1]!s_info_Nature(B153)</f>
        <v>中央国有企业</v>
      </c>
      <c r="L153" s="19" t="str">
        <f>[1]!b_info_windl1type(B153)</f>
        <v>公司债</v>
      </c>
      <c r="M153" s="13">
        <f>[1]!b_info_couponrate(B153)</f>
        <v>3.77</v>
      </c>
      <c r="N153" s="14" t="str">
        <f>[1]!B_Info_ListedDate(B153)</f>
        <v>2015-12-24</v>
      </c>
      <c r="O153" s="14" t="str">
        <f>[1]!b_issue_firstissue(B153)</f>
        <v>2015-11-27</v>
      </c>
      <c r="P153" s="4">
        <f t="shared" ca="1" si="8"/>
        <v>42989</v>
      </c>
    </row>
    <row r="154" spans="2:16">
      <c r="B154" s="7">
        <v>136205</v>
      </c>
      <c r="C154" s="7">
        <v>4.95</v>
      </c>
      <c r="D154" s="18" t="str">
        <f>[1]!b_info_name(B154)</f>
        <v>16龙盛01</v>
      </c>
      <c r="E154" s="19" t="str">
        <f>[1]!b_info_latestissurercreditrating(B154)</f>
        <v>AA+</v>
      </c>
      <c r="F154" s="20">
        <f ca="1">[1]!b_anal_day(B154,$A$5)/365</f>
        <v>3.3890410958904109</v>
      </c>
      <c r="G154" s="21">
        <f ca="1">[1]!b_anal_yield_cnbd(B154,$A$5)</f>
        <v>0</v>
      </c>
      <c r="H154" s="21">
        <f t="shared" ca="1" si="6"/>
        <v>495</v>
      </c>
      <c r="I154" s="21">
        <f ca="1">[1]!b_anal_yield_cnbd(B154,$A$7)</f>
        <v>0</v>
      </c>
      <c r="J154" s="21">
        <f t="shared" ca="1" si="7"/>
        <v>0</v>
      </c>
      <c r="K154" s="19" t="str">
        <f>[1]!s_info_Nature(B154)</f>
        <v>民营企业</v>
      </c>
      <c r="L154" s="19" t="str">
        <f>[1]!b_info_windl1type(B154)</f>
        <v>公司债</v>
      </c>
      <c r="M154" s="13">
        <f>[1]!b_info_couponrate(B154)</f>
        <v>3.98</v>
      </c>
      <c r="N154" s="14" t="str">
        <f>[1]!B_Info_ListedDate(B154)</f>
        <v>2016-02-24</v>
      </c>
      <c r="O154" s="14" t="str">
        <f>[1]!b_issue_firstissue(B154)</f>
        <v>2016-01-28</v>
      </c>
      <c r="P154" s="4">
        <f t="shared" ca="1" si="8"/>
        <v>42989</v>
      </c>
    </row>
    <row r="155" spans="2:16">
      <c r="B155" s="7">
        <v>136205</v>
      </c>
      <c r="C155" s="7">
        <v>4.95</v>
      </c>
      <c r="D155" s="18" t="str">
        <f>[1]!b_info_name(B155)</f>
        <v>16龙盛01</v>
      </c>
      <c r="E155" s="19" t="str">
        <f>[1]!b_info_latestissurercreditrating(B155)</f>
        <v>AA+</v>
      </c>
      <c r="F155" s="20">
        <f ca="1">[1]!b_anal_day(B155,$A$5)/365</f>
        <v>3.3890410958904109</v>
      </c>
      <c r="G155" s="21">
        <f ca="1">[1]!b_anal_yield_cnbd(B155,$A$5)</f>
        <v>0</v>
      </c>
      <c r="H155" s="21">
        <f t="shared" ca="1" si="6"/>
        <v>495</v>
      </c>
      <c r="I155" s="21">
        <f ca="1">[1]!b_anal_yield_cnbd(B155,$A$7)</f>
        <v>0</v>
      </c>
      <c r="J155" s="21">
        <f t="shared" ca="1" si="7"/>
        <v>0</v>
      </c>
      <c r="K155" s="19" t="str">
        <f>[1]!s_info_Nature(B155)</f>
        <v>民营企业</v>
      </c>
      <c r="L155" s="19" t="str">
        <f>[1]!b_info_windl1type(B155)</f>
        <v>公司债</v>
      </c>
      <c r="M155" s="13">
        <f>[1]!b_info_couponrate(B155)</f>
        <v>3.98</v>
      </c>
      <c r="N155" s="14" t="str">
        <f>[1]!B_Info_ListedDate(B155)</f>
        <v>2016-02-24</v>
      </c>
      <c r="O155" s="14" t="str">
        <f>[1]!b_issue_firstissue(B155)</f>
        <v>2016-01-28</v>
      </c>
      <c r="P155" s="4">
        <f t="shared" ca="1" si="8"/>
        <v>42989</v>
      </c>
    </row>
    <row r="156" spans="2:16">
      <c r="B156" s="7">
        <v>101654013</v>
      </c>
      <c r="C156" s="7">
        <v>4.95</v>
      </c>
      <c r="D156" s="18" t="str">
        <f>[1]!b_info_name(B156)</f>
        <v>16神华MTN002</v>
      </c>
      <c r="E156" s="19" t="str">
        <f>[1]!b_info_latestissurercreditrating(B156)</f>
        <v>AAA</v>
      </c>
      <c r="F156" s="20">
        <f ca="1">[1]!b_anal_day(B156,$A$5)/365</f>
        <v>5.4657534246575343</v>
      </c>
      <c r="G156" s="21">
        <f ca="1">[1]!b_anal_yield_cnbd(B156,$A$5)</f>
        <v>0</v>
      </c>
      <c r="H156" s="21">
        <f t="shared" ca="1" si="6"/>
        <v>495</v>
      </c>
      <c r="I156" s="21">
        <f ca="1">[1]!b_anal_yield_cnbd(B156,$A$7)</f>
        <v>0</v>
      </c>
      <c r="J156" s="21">
        <f t="shared" ca="1" si="7"/>
        <v>0</v>
      </c>
      <c r="K156" s="19" t="str">
        <f>[1]!s_info_Nature(B156)</f>
        <v>中央国有企业</v>
      </c>
      <c r="L156" s="19" t="str">
        <f>[1]!b_info_windl1type(B156)</f>
        <v>中期票据</v>
      </c>
      <c r="M156" s="13">
        <f>[1]!b_info_couponrate(B156)</f>
        <v>3.83</v>
      </c>
      <c r="N156" s="14" t="str">
        <f>[1]!B_Info_ListedDate(B156)</f>
        <v>2016-02-29</v>
      </c>
      <c r="O156" s="14" t="str">
        <f>[1]!b_issue_firstissue(B156)</f>
        <v>2016-02-25</v>
      </c>
      <c r="P156" s="4">
        <f t="shared" ca="1" si="8"/>
        <v>42989</v>
      </c>
    </row>
    <row r="157" spans="2:16">
      <c r="B157" s="7">
        <v>41764005</v>
      </c>
      <c r="C157" s="7">
        <v>4.95</v>
      </c>
      <c r="D157" s="18" t="str">
        <f>[1]!b_info_name(B157)</f>
        <v>17徐工CP001</v>
      </c>
      <c r="E157" s="19" t="str">
        <f>[1]!b_info_latestissurercreditrating(B157)</f>
        <v>AAA</v>
      </c>
      <c r="F157" s="20">
        <f ca="1">[1]!b_anal_day(B157,$A$5)/365</f>
        <v>0.54794520547945202</v>
      </c>
      <c r="G157" s="21">
        <f ca="1">[1]!b_anal_yield_cnbd(B157,$A$5)</f>
        <v>0</v>
      </c>
      <c r="H157" s="21">
        <f t="shared" ca="1" si="6"/>
        <v>495</v>
      </c>
      <c r="I157" s="21">
        <f ca="1">[1]!b_anal_yield_cnbd(B157,$A$7)</f>
        <v>0</v>
      </c>
      <c r="J157" s="21">
        <f t="shared" ca="1" si="7"/>
        <v>0</v>
      </c>
      <c r="K157" s="19" t="str">
        <f>[1]!s_info_Nature(B157)</f>
        <v>地方国有企业</v>
      </c>
      <c r="L157" s="19" t="str">
        <f>[1]!b_info_windl1type(B157)</f>
        <v>短期融资券</v>
      </c>
      <c r="M157" s="13">
        <f>[1]!b_info_couponrate(B157)</f>
        <v>4.74</v>
      </c>
      <c r="N157" s="14" t="str">
        <f>[1]!B_Info_ListedDate(B157)</f>
        <v>2017-03-30</v>
      </c>
      <c r="O157" s="14" t="str">
        <f>[1]!b_issue_firstissue(B157)</f>
        <v>2017-03-27</v>
      </c>
      <c r="P157" s="4">
        <f t="shared" ca="1" si="8"/>
        <v>42989</v>
      </c>
    </row>
    <row r="158" spans="2:16">
      <c r="B158" s="7" t="s">
        <v>823</v>
      </c>
      <c r="C158" s="7">
        <v>4.95</v>
      </c>
      <c r="D158" s="18" t="str">
        <f>[1]!b_info_name(B158)</f>
        <v>16金街02</v>
      </c>
      <c r="E158" s="19" t="str">
        <f>[1]!b_info_latestissurercreditrating(B158)</f>
        <v>AAA</v>
      </c>
      <c r="F158" s="20">
        <f ca="1">[1]!b_anal_day(B158,$A$5)/365</f>
        <v>6.0931506849315067</v>
      </c>
      <c r="G158" s="21">
        <f ca="1">[1]!b_anal_yield_cnbd(B158,$A$5)</f>
        <v>0</v>
      </c>
      <c r="H158" s="21">
        <f t="shared" ca="1" si="6"/>
        <v>495</v>
      </c>
      <c r="I158" s="21">
        <f ca="1">[1]!b_anal_yield_cnbd(B158,$A$7)</f>
        <v>0</v>
      </c>
      <c r="J158" s="21">
        <f t="shared" ca="1" si="7"/>
        <v>0</v>
      </c>
      <c r="K158" s="19" t="str">
        <f>[1]!s_info_Nature(B158)</f>
        <v>地方国有企业</v>
      </c>
      <c r="L158" s="19" t="str">
        <f>[1]!b_info_windl1type(B158)</f>
        <v>公司债</v>
      </c>
      <c r="M158" s="13">
        <f>[1]!b_info_couponrate(B158)</f>
        <v>3.2</v>
      </c>
      <c r="N158" s="14" t="str">
        <f>[1]!B_Info_ListedDate(B158)</f>
        <v>2016-11-29</v>
      </c>
      <c r="O158" s="14" t="str">
        <f>[1]!b_issue_firstissue(B158)</f>
        <v>2016-10-12</v>
      </c>
      <c r="P158" s="4">
        <f t="shared" ca="1" si="8"/>
        <v>42989</v>
      </c>
    </row>
    <row r="159" spans="2:16">
      <c r="B159" s="7" t="s">
        <v>802</v>
      </c>
      <c r="C159" s="7">
        <v>4.95</v>
      </c>
      <c r="D159" s="18" t="str">
        <f>[1]!b_info_name(B159)</f>
        <v>17复药01</v>
      </c>
      <c r="E159" s="19" t="str">
        <f>[1]!b_info_latestissurercreditrating(B159)</f>
        <v>AAA</v>
      </c>
      <c r="F159" s="20">
        <f ca="1">[1]!b_anal_day(B159,$A$5)/365</f>
        <v>4.5095890410958903</v>
      </c>
      <c r="G159" s="21">
        <f ca="1">[1]!b_anal_yield_cnbd(B159,$A$5)</f>
        <v>0</v>
      </c>
      <c r="H159" s="21">
        <f t="shared" ca="1" si="6"/>
        <v>495</v>
      </c>
      <c r="I159" s="21">
        <f ca="1">[1]!b_anal_yield_cnbd(B159,$A$7)</f>
        <v>0</v>
      </c>
      <c r="J159" s="21">
        <f t="shared" ca="1" si="7"/>
        <v>0</v>
      </c>
      <c r="K159" s="19" t="str">
        <f>[1]!s_info_Nature(B159)</f>
        <v>民营企业</v>
      </c>
      <c r="L159" s="19" t="str">
        <f>[1]!b_info_windl1type(B159)</f>
        <v>公司债</v>
      </c>
      <c r="M159" s="13">
        <f>[1]!b_info_couponrate(B159)</f>
        <v>4.5</v>
      </c>
      <c r="N159" s="14" t="str">
        <f>[1]!B_Info_ListedDate(B159)</f>
        <v>2017-03-23</v>
      </c>
      <c r="O159" s="14" t="str">
        <f>[1]!b_issue_firstissue(B159)</f>
        <v>2017-03-10</v>
      </c>
      <c r="P159" s="4">
        <f t="shared" ca="1" si="8"/>
        <v>42989</v>
      </c>
    </row>
    <row r="160" spans="2:16">
      <c r="B160" s="7" t="s">
        <v>823</v>
      </c>
      <c r="C160" s="7">
        <v>4.95</v>
      </c>
      <c r="D160" s="18" t="str">
        <f>[1]!b_info_name(B160)</f>
        <v>16金街02</v>
      </c>
      <c r="E160" s="19" t="str">
        <f>[1]!b_info_latestissurercreditrating(B160)</f>
        <v>AAA</v>
      </c>
      <c r="F160" s="20">
        <f ca="1">[1]!b_anal_day(B160,$A$5)/365</f>
        <v>6.0931506849315067</v>
      </c>
      <c r="G160" s="21">
        <f ca="1">[1]!b_anal_yield_cnbd(B160,$A$5)</f>
        <v>0</v>
      </c>
      <c r="H160" s="21">
        <f t="shared" ca="1" si="6"/>
        <v>495</v>
      </c>
      <c r="I160" s="21">
        <f ca="1">[1]!b_anal_yield_cnbd(B160,$A$7)</f>
        <v>0</v>
      </c>
      <c r="J160" s="21">
        <f t="shared" ca="1" si="7"/>
        <v>0</v>
      </c>
      <c r="K160" s="19" t="str">
        <f>[1]!s_info_Nature(B160)</f>
        <v>地方国有企业</v>
      </c>
      <c r="L160" s="19" t="str">
        <f>[1]!b_info_windl1type(B160)</f>
        <v>公司债</v>
      </c>
      <c r="M160" s="13">
        <f>[1]!b_info_couponrate(B160)</f>
        <v>3.2</v>
      </c>
      <c r="N160" s="14" t="str">
        <f>[1]!B_Info_ListedDate(B160)</f>
        <v>2016-11-29</v>
      </c>
      <c r="O160" s="14" t="str">
        <f>[1]!b_issue_firstissue(B160)</f>
        <v>2016-10-12</v>
      </c>
      <c r="P160" s="4">
        <f t="shared" ca="1" si="8"/>
        <v>42989</v>
      </c>
    </row>
    <row r="161" spans="2:16">
      <c r="B161" s="7" t="s">
        <v>823</v>
      </c>
      <c r="C161" s="7">
        <v>4.95</v>
      </c>
      <c r="D161" s="18" t="str">
        <f>[1]!b_info_name(B161)</f>
        <v>16金街02</v>
      </c>
      <c r="E161" s="19" t="str">
        <f>[1]!b_info_latestissurercreditrating(B161)</f>
        <v>AAA</v>
      </c>
      <c r="F161" s="20">
        <f ca="1">[1]!b_anal_day(B161,$A$5)/365</f>
        <v>6.0931506849315067</v>
      </c>
      <c r="G161" s="21">
        <f ca="1">[1]!b_anal_yield_cnbd(B161,$A$5)</f>
        <v>0</v>
      </c>
      <c r="H161" s="21">
        <f t="shared" ca="1" si="6"/>
        <v>495</v>
      </c>
      <c r="I161" s="21">
        <f ca="1">[1]!b_anal_yield_cnbd(B161,$A$7)</f>
        <v>0</v>
      </c>
      <c r="J161" s="21">
        <f t="shared" ca="1" si="7"/>
        <v>0</v>
      </c>
      <c r="K161" s="19" t="str">
        <f>[1]!s_info_Nature(B161)</f>
        <v>地方国有企业</v>
      </c>
      <c r="L161" s="19" t="str">
        <f>[1]!b_info_windl1type(B161)</f>
        <v>公司债</v>
      </c>
      <c r="M161" s="13">
        <f>[1]!b_info_couponrate(B161)</f>
        <v>3.2</v>
      </c>
      <c r="N161" s="14" t="str">
        <f>[1]!B_Info_ListedDate(B161)</f>
        <v>2016-11-29</v>
      </c>
      <c r="O161" s="14" t="str">
        <f>[1]!b_issue_firstissue(B161)</f>
        <v>2016-10-12</v>
      </c>
      <c r="P161" s="4">
        <f t="shared" ca="1" si="8"/>
        <v>42989</v>
      </c>
    </row>
    <row r="162" spans="2:16">
      <c r="B162" s="7" t="s">
        <v>823</v>
      </c>
      <c r="C162" s="7">
        <v>4.95</v>
      </c>
      <c r="D162" s="18" t="str">
        <f>[1]!b_info_name(B162)</f>
        <v>16金街02</v>
      </c>
      <c r="E162" s="19" t="str">
        <f>[1]!b_info_latestissurercreditrating(B162)</f>
        <v>AAA</v>
      </c>
      <c r="F162" s="20">
        <f ca="1">[1]!b_anal_day(B162,$A$5)/365</f>
        <v>6.0931506849315067</v>
      </c>
      <c r="G162" s="21">
        <f ca="1">[1]!b_anal_yield_cnbd(B162,$A$5)</f>
        <v>0</v>
      </c>
      <c r="H162" s="21">
        <f t="shared" ca="1" si="6"/>
        <v>495</v>
      </c>
      <c r="I162" s="21">
        <f ca="1">[1]!b_anal_yield_cnbd(B162,$A$7)</f>
        <v>0</v>
      </c>
      <c r="J162" s="21">
        <f t="shared" ca="1" si="7"/>
        <v>0</v>
      </c>
      <c r="K162" s="19" t="str">
        <f>[1]!s_info_Nature(B162)</f>
        <v>地方国有企业</v>
      </c>
      <c r="L162" s="19" t="str">
        <f>[1]!b_info_windl1type(B162)</f>
        <v>公司债</v>
      </c>
      <c r="M162" s="13">
        <f>[1]!b_info_couponrate(B162)</f>
        <v>3.2</v>
      </c>
      <c r="N162" s="14" t="str">
        <f>[1]!B_Info_ListedDate(B162)</f>
        <v>2016-11-29</v>
      </c>
      <c r="O162" s="14" t="str">
        <f>[1]!b_issue_firstissue(B162)</f>
        <v>2016-10-12</v>
      </c>
      <c r="P162" s="4">
        <f t="shared" ca="1" si="8"/>
        <v>42989</v>
      </c>
    </row>
    <row r="163" spans="2:16">
      <c r="B163" s="7" t="s">
        <v>534</v>
      </c>
      <c r="C163" s="7">
        <v>4.93</v>
      </c>
      <c r="D163" s="18" t="str">
        <f>[1]!b_info_name(B163)</f>
        <v>16水务02</v>
      </c>
      <c r="E163" s="19" t="str">
        <f>[1]!b_info_latestissurercreditrating(B163)</f>
        <v>AAA</v>
      </c>
      <c r="F163" s="20">
        <f ca="1">[1]!b_anal_day(B163,$A$5)/365</f>
        <v>5.882191780821918</v>
      </c>
      <c r="G163" s="21">
        <f ca="1">[1]!b_anal_yield_cnbd(B163,$A$5)</f>
        <v>0</v>
      </c>
      <c r="H163" s="21">
        <f t="shared" ca="1" si="6"/>
        <v>493</v>
      </c>
      <c r="I163" s="21">
        <f ca="1">[1]!b_anal_yield_cnbd(B163,$A$7)</f>
        <v>0</v>
      </c>
      <c r="J163" s="21">
        <f t="shared" ca="1" si="7"/>
        <v>0</v>
      </c>
      <c r="K163" s="19" t="str">
        <f>[1]!s_info_Nature(B163)</f>
        <v>地方国有企业</v>
      </c>
      <c r="L163" s="19" t="str">
        <f>[1]!b_info_windl1type(B163)</f>
        <v>公司债</v>
      </c>
      <c r="M163" s="13">
        <f>[1]!b_info_couponrate(B163)</f>
        <v>3.33</v>
      </c>
      <c r="N163" s="14" t="str">
        <f>[1]!B_Info_ListedDate(B163)</f>
        <v>2016-08-15</v>
      </c>
      <c r="O163" s="14" t="str">
        <f>[1]!b_issue_firstissue(B163)</f>
        <v>2016-07-26</v>
      </c>
      <c r="P163" s="4">
        <f t="shared" ca="1" si="8"/>
        <v>42989</v>
      </c>
    </row>
    <row r="164" spans="2:16">
      <c r="B164" s="7">
        <v>101554094</v>
      </c>
      <c r="C164" s="7">
        <v>4.92</v>
      </c>
      <c r="D164" s="18" t="str">
        <f>[1]!b_info_name(B164)</f>
        <v>15苏交通MTN004</v>
      </c>
      <c r="E164" s="19" t="str">
        <f>[1]!b_info_latestissurercreditrating(B164)</f>
        <v>AAA</v>
      </c>
      <c r="F164" s="20">
        <f ca="1">[1]!b_anal_day(B164,$A$5)/365</f>
        <v>3.2684931506849315</v>
      </c>
      <c r="G164" s="21">
        <f ca="1">[1]!b_anal_yield_cnbd(B164,$A$5)</f>
        <v>0</v>
      </c>
      <c r="H164" s="21">
        <f t="shared" ca="1" si="6"/>
        <v>492</v>
      </c>
      <c r="I164" s="21">
        <f ca="1">[1]!b_anal_yield_cnbd(B164,$A$7)</f>
        <v>0</v>
      </c>
      <c r="J164" s="21">
        <f t="shared" ca="1" si="7"/>
        <v>0</v>
      </c>
      <c r="K164" s="19" t="str">
        <f>[1]!s_info_Nature(B164)</f>
        <v>地方国有企业</v>
      </c>
      <c r="L164" s="19" t="str">
        <f>[1]!b_info_windl1type(B164)</f>
        <v>中期票据</v>
      </c>
      <c r="M164" s="13">
        <f>[1]!b_info_couponrate(B164)</f>
        <v>3.69</v>
      </c>
      <c r="N164" s="14" t="str">
        <f>[1]!B_Info_ListedDate(B164)</f>
        <v>2015-12-17</v>
      </c>
      <c r="O164" s="14" t="str">
        <f>[1]!b_issue_firstissue(B164)</f>
        <v>2015-12-15</v>
      </c>
      <c r="P164" s="4">
        <f t="shared" ca="1" si="8"/>
        <v>42989</v>
      </c>
    </row>
    <row r="165" spans="2:16">
      <c r="B165" s="7">
        <v>101554094</v>
      </c>
      <c r="C165" s="7">
        <v>4.92</v>
      </c>
      <c r="D165" s="18" t="str">
        <f>[1]!b_info_name(B165)</f>
        <v>15苏交通MTN004</v>
      </c>
      <c r="E165" s="19" t="str">
        <f>[1]!b_info_latestissurercreditrating(B165)</f>
        <v>AAA</v>
      </c>
      <c r="F165" s="20">
        <f ca="1">[1]!b_anal_day(B165,$A$5)/365</f>
        <v>3.2684931506849315</v>
      </c>
      <c r="G165" s="21">
        <f ca="1">[1]!b_anal_yield_cnbd(B165,$A$5)</f>
        <v>0</v>
      </c>
      <c r="H165" s="21">
        <f t="shared" ca="1" si="6"/>
        <v>492</v>
      </c>
      <c r="I165" s="21">
        <f ca="1">[1]!b_anal_yield_cnbd(B165,$A$7)</f>
        <v>0</v>
      </c>
      <c r="J165" s="21">
        <f t="shared" ca="1" si="7"/>
        <v>0</v>
      </c>
      <c r="K165" s="19" t="str">
        <f>[1]!s_info_Nature(B165)</f>
        <v>地方国有企业</v>
      </c>
      <c r="L165" s="19" t="str">
        <f>[1]!b_info_windl1type(B165)</f>
        <v>中期票据</v>
      </c>
      <c r="M165" s="13">
        <f>[1]!b_info_couponrate(B165)</f>
        <v>3.69</v>
      </c>
      <c r="N165" s="14" t="str">
        <f>[1]!B_Info_ListedDate(B165)</f>
        <v>2015-12-17</v>
      </c>
      <c r="O165" s="14" t="str">
        <f>[1]!b_issue_firstissue(B165)</f>
        <v>2015-12-15</v>
      </c>
      <c r="P165" s="4">
        <f t="shared" ca="1" si="8"/>
        <v>42989</v>
      </c>
    </row>
    <row r="166" spans="2:16">
      <c r="B166" s="7" t="s">
        <v>896</v>
      </c>
      <c r="C166" s="7">
        <v>4.91</v>
      </c>
      <c r="D166" s="18" t="str">
        <f>[1]!b_info_name(B166)</f>
        <v>12大唐02</v>
      </c>
      <c r="E166" s="19" t="str">
        <f>[1]!b_info_latestissurercreditrating(B166)</f>
        <v>AAA</v>
      </c>
      <c r="F166" s="20">
        <f ca="1">[1]!b_anal_day(B166,$A$5)/365</f>
        <v>7.1534246575342468</v>
      </c>
      <c r="G166" s="21">
        <f ca="1">[1]!b_anal_yield_cnbd(B166,$A$5)</f>
        <v>0</v>
      </c>
      <c r="H166" s="21">
        <f t="shared" ca="1" si="6"/>
        <v>491</v>
      </c>
      <c r="I166" s="21">
        <f ca="1">[1]!b_anal_yield_cnbd(B166,$A$7)</f>
        <v>0</v>
      </c>
      <c r="J166" s="21">
        <f t="shared" ca="1" si="7"/>
        <v>0</v>
      </c>
      <c r="K166" s="19" t="str">
        <f>[1]!s_info_Nature(B166)</f>
        <v>中央国有企业</v>
      </c>
      <c r="L166" s="19" t="str">
        <f>[1]!b_info_windl1type(B166)</f>
        <v>公司债</v>
      </c>
      <c r="M166" s="13">
        <f>[1]!b_info_couponrate(B166)</f>
        <v>5</v>
      </c>
      <c r="N166" s="14" t="str">
        <f>[1]!B_Info_ListedDate(B166)</f>
        <v>2014-12-15</v>
      </c>
      <c r="O166" s="14" t="str">
        <f>[1]!b_issue_firstissue(B166)</f>
        <v>2014-11-03</v>
      </c>
      <c r="P166" s="4">
        <f t="shared" ca="1" si="8"/>
        <v>42989</v>
      </c>
    </row>
    <row r="167" spans="2:16">
      <c r="B167" s="7">
        <v>122806</v>
      </c>
      <c r="C167" s="7">
        <v>4.9000000000000004</v>
      </c>
      <c r="D167" s="18" t="str">
        <f>[1]!b_info_name(B167)</f>
        <v>11渭南02</v>
      </c>
      <c r="E167" s="19" t="str">
        <f>[1]!b_info_latestissurercreditrating(B167)</f>
        <v>AA</v>
      </c>
      <c r="F167" s="20">
        <f ca="1">[1]!b_anal_day(B167,$A$5)/365</f>
        <v>0.74246575342465748</v>
      </c>
      <c r="G167" s="21">
        <f ca="1">[1]!b_anal_yield_cnbd(B167,$A$5)</f>
        <v>0</v>
      </c>
      <c r="H167" s="21">
        <f t="shared" ca="1" si="6"/>
        <v>490.00000000000006</v>
      </c>
      <c r="I167" s="21">
        <f ca="1">[1]!b_anal_yield_cnbd(B167,$A$7)</f>
        <v>0</v>
      </c>
      <c r="J167" s="21">
        <f t="shared" ca="1" si="7"/>
        <v>0</v>
      </c>
      <c r="K167" s="19" t="str">
        <f>[1]!s_info_Nature(B167)</f>
        <v>地方国有企业</v>
      </c>
      <c r="L167" s="19" t="str">
        <f>[1]!b_info_windl1type(B167)</f>
        <v>企业债</v>
      </c>
      <c r="M167" s="13">
        <f>[1]!b_info_couponrate(B167)</f>
        <v>6.5</v>
      </c>
      <c r="N167" s="14" t="str">
        <f>[1]!B_Info_ListedDate(B167)</f>
        <v>2011-07-29</v>
      </c>
      <c r="O167" s="14" t="str">
        <f>[1]!b_issue_firstissue(B167)</f>
        <v>2011-06-08</v>
      </c>
      <c r="P167" s="4">
        <f t="shared" ca="1" si="8"/>
        <v>42989</v>
      </c>
    </row>
    <row r="168" spans="2:16">
      <c r="B168" s="7">
        <v>41652028</v>
      </c>
      <c r="C168" s="7">
        <v>4.9000000000000004</v>
      </c>
      <c r="D168" s="18" t="str">
        <f>[1]!b_info_name(B168)</f>
        <v>16南方水泥CP002</v>
      </c>
      <c r="E168" s="19" t="str">
        <f>[1]!b_info_latestissurercreditrating(B168)</f>
        <v>AAA</v>
      </c>
      <c r="F168" s="20">
        <f ca="1">[1]!b_anal_day(B168,$A$5)/365</f>
        <v>0.26027397260273971</v>
      </c>
      <c r="G168" s="21">
        <f ca="1">[1]!b_anal_yield_cnbd(B168,$A$5)</f>
        <v>0</v>
      </c>
      <c r="H168" s="21">
        <f t="shared" ca="1" si="6"/>
        <v>490.00000000000006</v>
      </c>
      <c r="I168" s="21">
        <f ca="1">[1]!b_anal_yield_cnbd(B168,$A$7)</f>
        <v>0</v>
      </c>
      <c r="J168" s="21">
        <f t="shared" ca="1" si="7"/>
        <v>0</v>
      </c>
      <c r="K168" s="19" t="str">
        <f>[1]!s_info_Nature(B168)</f>
        <v>中央国有企业</v>
      </c>
      <c r="L168" s="19" t="str">
        <f>[1]!b_info_windl1type(B168)</f>
        <v>短期融资券</v>
      </c>
      <c r="M168" s="13">
        <f>[1]!b_info_couponrate(B168)</f>
        <v>4.2</v>
      </c>
      <c r="N168" s="14" t="str">
        <f>[1]!B_Info_ListedDate(B168)</f>
        <v>2016-12-15</v>
      </c>
      <c r="O168" s="14" t="str">
        <f>[1]!b_issue_firstissue(B168)</f>
        <v>2016-12-12</v>
      </c>
      <c r="P168" s="4">
        <f t="shared" ca="1" si="8"/>
        <v>42989</v>
      </c>
    </row>
    <row r="169" spans="2:16">
      <c r="B169" s="7">
        <v>1282352</v>
      </c>
      <c r="C169" s="7">
        <v>4.9000000000000004</v>
      </c>
      <c r="D169" s="18" t="str">
        <f>[1]!b_info_name(B169)</f>
        <v>12陕煤化MTN1</v>
      </c>
      <c r="E169" s="19" t="str">
        <f>[1]!b_info_latestissurercreditrating(B169)</f>
        <v>AAA</v>
      </c>
      <c r="F169" s="20">
        <f ca="1">[1]!b_anal_day(B169,$A$5)/365</f>
        <v>2.4657534246575342E-2</v>
      </c>
      <c r="G169" s="21">
        <f ca="1">[1]!b_anal_yield_cnbd(B169,$A$5)</f>
        <v>0</v>
      </c>
      <c r="H169" s="21">
        <f t="shared" ca="1" si="6"/>
        <v>490.00000000000006</v>
      </c>
      <c r="I169" s="21">
        <f ca="1">[1]!b_anal_yield_cnbd(B169,$A$7)</f>
        <v>0</v>
      </c>
      <c r="J169" s="21">
        <f t="shared" ca="1" si="7"/>
        <v>0</v>
      </c>
      <c r="K169" s="19" t="str">
        <f>[1]!s_info_Nature(B169)</f>
        <v>地方国有企业</v>
      </c>
      <c r="L169" s="19" t="str">
        <f>[1]!b_info_windl1type(B169)</f>
        <v>中期票据</v>
      </c>
      <c r="M169" s="13">
        <f>[1]!b_info_couponrate(B169)</f>
        <v>4.9800000000000004</v>
      </c>
      <c r="N169" s="14" t="str">
        <f>[1]!B_Info_ListedDate(B169)</f>
        <v>2012-09-20</v>
      </c>
      <c r="O169" s="14" t="str">
        <f>[1]!b_issue_firstissue(B169)</f>
        <v>2012-09-18</v>
      </c>
      <c r="P169" s="4">
        <f t="shared" ca="1" si="8"/>
        <v>42989</v>
      </c>
    </row>
    <row r="170" spans="2:16">
      <c r="B170" s="7">
        <v>1282352</v>
      </c>
      <c r="C170" s="7">
        <v>4.9000000000000004</v>
      </c>
      <c r="D170" s="18" t="str">
        <f>[1]!b_info_name(B170)</f>
        <v>12陕煤化MTN1</v>
      </c>
      <c r="E170" s="19" t="str">
        <f>[1]!b_info_latestissurercreditrating(B170)</f>
        <v>AAA</v>
      </c>
      <c r="F170" s="20">
        <f ca="1">[1]!b_anal_day(B170,$A$5)/365</f>
        <v>2.4657534246575342E-2</v>
      </c>
      <c r="G170" s="21">
        <f ca="1">[1]!b_anal_yield_cnbd(B170,$A$5)</f>
        <v>0</v>
      </c>
      <c r="H170" s="21">
        <f t="shared" ca="1" si="6"/>
        <v>490.00000000000006</v>
      </c>
      <c r="I170" s="21">
        <f ca="1">[1]!b_anal_yield_cnbd(B170,$A$7)</f>
        <v>0</v>
      </c>
      <c r="J170" s="21">
        <f t="shared" ca="1" si="7"/>
        <v>0</v>
      </c>
      <c r="K170" s="19" t="str">
        <f>[1]!s_info_Nature(B170)</f>
        <v>地方国有企业</v>
      </c>
      <c r="L170" s="19" t="str">
        <f>[1]!b_info_windl1type(B170)</f>
        <v>中期票据</v>
      </c>
      <c r="M170" s="13">
        <f>[1]!b_info_couponrate(B170)</f>
        <v>4.9800000000000004</v>
      </c>
      <c r="N170" s="14" t="str">
        <f>[1]!B_Info_ListedDate(B170)</f>
        <v>2012-09-20</v>
      </c>
      <c r="O170" s="14" t="str">
        <f>[1]!b_issue_firstissue(B170)</f>
        <v>2012-09-18</v>
      </c>
      <c r="P170" s="4">
        <f t="shared" ca="1" si="8"/>
        <v>42989</v>
      </c>
    </row>
    <row r="171" spans="2:16">
      <c r="B171" s="7">
        <v>1282352</v>
      </c>
      <c r="C171" s="7">
        <v>4.9000000000000004</v>
      </c>
      <c r="D171" s="18" t="str">
        <f>[1]!b_info_name(B171)</f>
        <v>12陕煤化MTN1</v>
      </c>
      <c r="E171" s="19" t="str">
        <f>[1]!b_info_latestissurercreditrating(B171)</f>
        <v>AAA</v>
      </c>
      <c r="F171" s="20">
        <f ca="1">[1]!b_anal_day(B171,$A$5)/365</f>
        <v>2.4657534246575342E-2</v>
      </c>
      <c r="G171" s="21">
        <f ca="1">[1]!b_anal_yield_cnbd(B171,$A$5)</f>
        <v>0</v>
      </c>
      <c r="H171" s="21">
        <f t="shared" ca="1" si="6"/>
        <v>490.00000000000006</v>
      </c>
      <c r="I171" s="21">
        <f ca="1">[1]!b_anal_yield_cnbd(B171,$A$7)</f>
        <v>0</v>
      </c>
      <c r="J171" s="21">
        <f t="shared" ca="1" si="7"/>
        <v>0</v>
      </c>
      <c r="K171" s="19" t="str">
        <f>[1]!s_info_Nature(B171)</f>
        <v>地方国有企业</v>
      </c>
      <c r="L171" s="19" t="str">
        <f>[1]!b_info_windl1type(B171)</f>
        <v>中期票据</v>
      </c>
      <c r="M171" s="13">
        <f>[1]!b_info_couponrate(B171)</f>
        <v>4.9800000000000004</v>
      </c>
      <c r="N171" s="14" t="str">
        <f>[1]!B_Info_ListedDate(B171)</f>
        <v>2012-09-20</v>
      </c>
      <c r="O171" s="14" t="str">
        <f>[1]!b_issue_firstissue(B171)</f>
        <v>2012-09-18</v>
      </c>
      <c r="P171" s="4">
        <f t="shared" ca="1" si="8"/>
        <v>42989</v>
      </c>
    </row>
    <row r="172" spans="2:16">
      <c r="B172" s="7">
        <v>1282352</v>
      </c>
      <c r="C172" s="7">
        <v>4.9000000000000004</v>
      </c>
      <c r="D172" s="18" t="str">
        <f>[1]!b_info_name(B172)</f>
        <v>12陕煤化MTN1</v>
      </c>
      <c r="E172" s="19" t="str">
        <f>[1]!b_info_latestissurercreditrating(B172)</f>
        <v>AAA</v>
      </c>
      <c r="F172" s="20">
        <f ca="1">[1]!b_anal_day(B172,$A$5)/365</f>
        <v>2.4657534246575342E-2</v>
      </c>
      <c r="G172" s="21">
        <f ca="1">[1]!b_anal_yield_cnbd(B172,$A$5)</f>
        <v>0</v>
      </c>
      <c r="H172" s="21">
        <f t="shared" ca="1" si="6"/>
        <v>490.00000000000006</v>
      </c>
      <c r="I172" s="21">
        <f ca="1">[1]!b_anal_yield_cnbd(B172,$A$7)</f>
        <v>0</v>
      </c>
      <c r="J172" s="21">
        <f t="shared" ca="1" si="7"/>
        <v>0</v>
      </c>
      <c r="K172" s="19" t="str">
        <f>[1]!s_info_Nature(B172)</f>
        <v>地方国有企业</v>
      </c>
      <c r="L172" s="19" t="str">
        <f>[1]!b_info_windl1type(B172)</f>
        <v>中期票据</v>
      </c>
      <c r="M172" s="13">
        <f>[1]!b_info_couponrate(B172)</f>
        <v>4.9800000000000004</v>
      </c>
      <c r="N172" s="14" t="str">
        <f>[1]!B_Info_ListedDate(B172)</f>
        <v>2012-09-20</v>
      </c>
      <c r="O172" s="14" t="str">
        <f>[1]!b_issue_firstissue(B172)</f>
        <v>2012-09-18</v>
      </c>
      <c r="P172" s="4">
        <f t="shared" ca="1" si="8"/>
        <v>42989</v>
      </c>
    </row>
    <row r="173" spans="2:16">
      <c r="B173" s="7">
        <v>111790649</v>
      </c>
      <c r="C173" s="7">
        <v>4.9000000000000004</v>
      </c>
      <c r="D173" s="18" t="str">
        <f>[1]!b_info_name(B173)</f>
        <v>17华融湘江银行CD001</v>
      </c>
      <c r="E173" s="19" t="str">
        <f>[1]!b_info_latestissurercreditrating(B173)</f>
        <v>AA+</v>
      </c>
      <c r="F173" s="20">
        <f ca="1">[1]!b_anal_day(B173,$A$5)/365</f>
        <v>0.36712328767123287</v>
      </c>
      <c r="G173" s="21">
        <f ca="1">[1]!b_anal_yield_cnbd(B173,$A$5)</f>
        <v>0</v>
      </c>
      <c r="H173" s="21">
        <f t="shared" ca="1" si="6"/>
        <v>490.00000000000006</v>
      </c>
      <c r="I173" s="21">
        <f ca="1">[1]!b_anal_yield_cnbd(B173,$A$7)</f>
        <v>0</v>
      </c>
      <c r="J173" s="21">
        <f t="shared" ca="1" si="7"/>
        <v>0</v>
      </c>
      <c r="K173" s="19">
        <f>[1]!s_info_Nature(B173)</f>
        <v>0</v>
      </c>
      <c r="L173" s="19" t="str">
        <f>[1]!b_info_windl1type(B173)</f>
        <v>同业存单</v>
      </c>
      <c r="M173" s="13">
        <f>[1]!b_info_couponrate(B173)</f>
        <v>4.3499999999999996</v>
      </c>
      <c r="N173" s="14" t="str">
        <f>[1]!B_Info_ListedDate(B173)</f>
        <v>2017-01-22</v>
      </c>
      <c r="O173" s="14" t="str">
        <f>[1]!b_issue_firstissue(B173)</f>
        <v>2017-01-20</v>
      </c>
      <c r="P173" s="4">
        <f t="shared" ca="1" si="8"/>
        <v>42989</v>
      </c>
    </row>
    <row r="174" spans="2:16">
      <c r="B174" s="7">
        <v>41652028</v>
      </c>
      <c r="C174" s="7">
        <v>4.9000000000000004</v>
      </c>
      <c r="D174" s="18" t="str">
        <f>[1]!b_info_name(B174)</f>
        <v>16南方水泥CP002</v>
      </c>
      <c r="E174" s="19" t="str">
        <f>[1]!b_info_latestissurercreditrating(B174)</f>
        <v>AAA</v>
      </c>
      <c r="F174" s="20">
        <f ca="1">[1]!b_anal_day(B174,$A$5)/365</f>
        <v>0.26027397260273971</v>
      </c>
      <c r="G174" s="21">
        <f ca="1">[1]!b_anal_yield_cnbd(B174,$A$5)</f>
        <v>0</v>
      </c>
      <c r="H174" s="21">
        <f t="shared" ca="1" si="6"/>
        <v>490.00000000000006</v>
      </c>
      <c r="I174" s="21">
        <f ca="1">[1]!b_anal_yield_cnbd(B174,$A$7)</f>
        <v>0</v>
      </c>
      <c r="J174" s="21">
        <f t="shared" ca="1" si="7"/>
        <v>0</v>
      </c>
      <c r="K174" s="19" t="str">
        <f>[1]!s_info_Nature(B174)</f>
        <v>中央国有企业</v>
      </c>
      <c r="L174" s="19" t="str">
        <f>[1]!b_info_windl1type(B174)</f>
        <v>短期融资券</v>
      </c>
      <c r="M174" s="13">
        <f>[1]!b_info_couponrate(B174)</f>
        <v>4.2</v>
      </c>
      <c r="N174" s="14" t="str">
        <f>[1]!B_Info_ListedDate(B174)</f>
        <v>2016-12-15</v>
      </c>
      <c r="O174" s="14" t="str">
        <f>[1]!b_issue_firstissue(B174)</f>
        <v>2016-12-12</v>
      </c>
      <c r="P174" s="4">
        <f t="shared" ca="1" si="8"/>
        <v>42989</v>
      </c>
    </row>
    <row r="175" spans="2:16">
      <c r="B175" s="7">
        <v>101358007</v>
      </c>
      <c r="C175" s="7">
        <v>4.9000000000000004</v>
      </c>
      <c r="D175" s="18" t="str">
        <f>[1]!b_info_name(B175)</f>
        <v>13天津港MTN001</v>
      </c>
      <c r="E175" s="19" t="str">
        <f>[1]!b_info_latestissurercreditrating(B175)</f>
        <v>AAA</v>
      </c>
      <c r="F175" s="20">
        <f ca="1">[1]!b_anal_day(B175,$A$5)/365</f>
        <v>3.0082191780821916</v>
      </c>
      <c r="G175" s="21">
        <f ca="1">[1]!b_anal_yield_cnbd(B175,$A$5)</f>
        <v>0</v>
      </c>
      <c r="H175" s="21">
        <f t="shared" ca="1" si="6"/>
        <v>490.00000000000006</v>
      </c>
      <c r="I175" s="21">
        <f ca="1">[1]!b_anal_yield_cnbd(B175,$A$7)</f>
        <v>0</v>
      </c>
      <c r="J175" s="21">
        <f t="shared" ca="1" si="7"/>
        <v>0</v>
      </c>
      <c r="K175" s="19" t="str">
        <f>[1]!s_info_Nature(B175)</f>
        <v>地方国有企业</v>
      </c>
      <c r="L175" s="19" t="str">
        <f>[1]!b_info_windl1type(B175)</f>
        <v>中期票据</v>
      </c>
      <c r="M175" s="13">
        <f>[1]!b_info_couponrate(B175)</f>
        <v>5.65</v>
      </c>
      <c r="N175" s="14" t="str">
        <f>[1]!B_Info_ListedDate(B175)</f>
        <v>2013-09-13</v>
      </c>
      <c r="O175" s="14" t="str">
        <f>[1]!b_issue_firstissue(B175)</f>
        <v>2013-09-11</v>
      </c>
      <c r="P175" s="4">
        <f t="shared" ca="1" si="8"/>
        <v>42989</v>
      </c>
    </row>
    <row r="176" spans="2:16">
      <c r="B176" s="7">
        <v>41660043</v>
      </c>
      <c r="C176" s="7">
        <v>4.9000000000000004</v>
      </c>
      <c r="D176" s="18" t="str">
        <f>[1]!b_info_name(B176)</f>
        <v>16北大荒CP001</v>
      </c>
      <c r="E176" s="19" t="str">
        <f>[1]!b_info_latestissurercreditrating(B176)</f>
        <v>AAA</v>
      </c>
      <c r="F176" s="20">
        <f ca="1">[1]!b_anal_day(B176,$A$5)/365</f>
        <v>0</v>
      </c>
      <c r="G176" s="21">
        <f ca="1">[1]!b_anal_yield_cnbd(B176,$A$5)</f>
        <v>0</v>
      </c>
      <c r="H176" s="21">
        <f t="shared" ca="1" si="6"/>
        <v>490.00000000000006</v>
      </c>
      <c r="I176" s="21">
        <f ca="1">[1]!b_anal_yield_cnbd(B176,$A$7)</f>
        <v>0</v>
      </c>
      <c r="J176" s="21">
        <f t="shared" ca="1" si="7"/>
        <v>0</v>
      </c>
      <c r="K176" s="19" t="str">
        <f>[1]!s_info_Nature(B176)</f>
        <v>中央国有企业</v>
      </c>
      <c r="L176" s="19" t="str">
        <f>[1]!b_info_windl1type(B176)</f>
        <v>短期融资券</v>
      </c>
      <c r="M176" s="13">
        <f>[1]!b_info_couponrate(B176)</f>
        <v>3.07</v>
      </c>
      <c r="N176" s="14" t="str">
        <f>[1]!B_Info_ListedDate(B176)</f>
        <v>2016-08-05</v>
      </c>
      <c r="O176" s="14" t="str">
        <f>[1]!b_issue_firstissue(B176)</f>
        <v>2016-08-03</v>
      </c>
      <c r="P176" s="4">
        <f t="shared" ca="1" si="8"/>
        <v>42989</v>
      </c>
    </row>
    <row r="177" spans="2:16">
      <c r="B177" s="7">
        <v>101551028</v>
      </c>
      <c r="C177" s="7">
        <v>4.8899999999999997</v>
      </c>
      <c r="D177" s="18" t="str">
        <f>[1]!b_info_name(B177)</f>
        <v>15华侨城MTN001</v>
      </c>
      <c r="E177" s="19" t="str">
        <f>[1]!b_info_latestissurercreditrating(B177)</f>
        <v>AAA</v>
      </c>
      <c r="F177" s="20">
        <f ca="1">[1]!b_anal_day(B177,$A$5)/365</f>
        <v>2.7150684931506848</v>
      </c>
      <c r="G177" s="21">
        <f ca="1">[1]!b_anal_yield_cnbd(B177,$A$5)</f>
        <v>0</v>
      </c>
      <c r="H177" s="21">
        <f t="shared" ca="1" si="6"/>
        <v>488.99999999999994</v>
      </c>
      <c r="I177" s="21">
        <f ca="1">[1]!b_anal_yield_cnbd(B177,$A$7)</f>
        <v>0</v>
      </c>
      <c r="J177" s="21">
        <f t="shared" ca="1" si="7"/>
        <v>0</v>
      </c>
      <c r="K177" s="19" t="str">
        <f>[1]!s_info_Nature(B177)</f>
        <v>中央国有企业</v>
      </c>
      <c r="L177" s="19" t="str">
        <f>[1]!b_info_windl1type(B177)</f>
        <v>中期票据</v>
      </c>
      <c r="M177" s="13">
        <f>[1]!b_info_couponrate(B177)</f>
        <v>4.78</v>
      </c>
      <c r="N177" s="14" t="str">
        <f>[1]!B_Info_ListedDate(B177)</f>
        <v>2015-05-29</v>
      </c>
      <c r="O177" s="14" t="str">
        <f>[1]!b_issue_firstissue(B177)</f>
        <v>2015-05-27</v>
      </c>
      <c r="P177" s="4">
        <f t="shared" ca="1" si="8"/>
        <v>42989</v>
      </c>
    </row>
    <row r="178" spans="2:16">
      <c r="B178" s="7" t="s">
        <v>776</v>
      </c>
      <c r="C178" s="7">
        <v>4.8899999999999997</v>
      </c>
      <c r="D178" s="18" t="str">
        <f>[1]!b_info_name(B178)</f>
        <v>16保利02</v>
      </c>
      <c r="E178" s="19" t="str">
        <f>[1]!b_info_latestissurercreditrating(B178)</f>
        <v>AAA</v>
      </c>
      <c r="F178" s="20">
        <f ca="1">[1]!b_anal_day(B178,$A$5)/365</f>
        <v>5.3506849315068497</v>
      </c>
      <c r="G178" s="21">
        <f ca="1">[1]!b_anal_yield_cnbd(B178,$A$5)</f>
        <v>0</v>
      </c>
      <c r="H178" s="21">
        <f t="shared" ca="1" si="6"/>
        <v>488.99999999999994</v>
      </c>
      <c r="I178" s="21">
        <f ca="1">[1]!b_anal_yield_cnbd(B178,$A$7)</f>
        <v>0</v>
      </c>
      <c r="J178" s="21">
        <f t="shared" ca="1" si="7"/>
        <v>0</v>
      </c>
      <c r="K178" s="19" t="str">
        <f>[1]!s_info_Nature(B178)</f>
        <v>中央国有企业</v>
      </c>
      <c r="L178" s="19" t="str">
        <f>[1]!b_info_windl1type(B178)</f>
        <v>公司债</v>
      </c>
      <c r="M178" s="13">
        <f>[1]!b_info_couponrate(B178)</f>
        <v>3.19</v>
      </c>
      <c r="N178" s="14" t="str">
        <f>[1]!B_Info_ListedDate(B178)</f>
        <v>2016-03-21</v>
      </c>
      <c r="O178" s="14" t="str">
        <f>[1]!b_issue_firstissue(B178)</f>
        <v>2016-01-14</v>
      </c>
      <c r="P178" s="4">
        <f t="shared" ca="1" si="8"/>
        <v>42989</v>
      </c>
    </row>
    <row r="179" spans="2:16">
      <c r="B179" s="7" t="s">
        <v>776</v>
      </c>
      <c r="C179" s="7">
        <v>4.8899999999999997</v>
      </c>
      <c r="D179" s="18" t="str">
        <f>[1]!b_info_name(B179)</f>
        <v>16保利02</v>
      </c>
      <c r="E179" s="19" t="str">
        <f>[1]!b_info_latestissurercreditrating(B179)</f>
        <v>AAA</v>
      </c>
      <c r="F179" s="20">
        <f ca="1">[1]!b_anal_day(B179,$A$5)/365</f>
        <v>5.3506849315068497</v>
      </c>
      <c r="G179" s="21">
        <f ca="1">[1]!b_anal_yield_cnbd(B179,$A$5)</f>
        <v>0</v>
      </c>
      <c r="H179" s="21">
        <f t="shared" ca="1" si="6"/>
        <v>488.99999999999994</v>
      </c>
      <c r="I179" s="21">
        <f ca="1">[1]!b_anal_yield_cnbd(B179,$A$7)</f>
        <v>0</v>
      </c>
      <c r="J179" s="21">
        <f t="shared" ca="1" si="7"/>
        <v>0</v>
      </c>
      <c r="K179" s="19" t="str">
        <f>[1]!s_info_Nature(B179)</f>
        <v>中央国有企业</v>
      </c>
      <c r="L179" s="19" t="str">
        <f>[1]!b_info_windl1type(B179)</f>
        <v>公司债</v>
      </c>
      <c r="M179" s="13">
        <f>[1]!b_info_couponrate(B179)</f>
        <v>3.19</v>
      </c>
      <c r="N179" s="14" t="str">
        <f>[1]!B_Info_ListedDate(B179)</f>
        <v>2016-03-21</v>
      </c>
      <c r="O179" s="14" t="str">
        <f>[1]!b_issue_firstissue(B179)</f>
        <v>2016-01-14</v>
      </c>
      <c r="P179" s="4">
        <f t="shared" ca="1" si="8"/>
        <v>42989</v>
      </c>
    </row>
    <row r="180" spans="2:16">
      <c r="B180" s="7">
        <v>101551028</v>
      </c>
      <c r="C180" s="7">
        <v>4.88</v>
      </c>
      <c r="D180" s="18" t="str">
        <f>[1]!b_info_name(B180)</f>
        <v>15华侨城MTN001</v>
      </c>
      <c r="E180" s="19" t="str">
        <f>[1]!b_info_latestissurercreditrating(B180)</f>
        <v>AAA</v>
      </c>
      <c r="F180" s="20">
        <f ca="1">[1]!b_anal_day(B180,$A$5)/365</f>
        <v>2.7150684931506848</v>
      </c>
      <c r="G180" s="21">
        <f ca="1">[1]!b_anal_yield_cnbd(B180,$A$5)</f>
        <v>0</v>
      </c>
      <c r="H180" s="21">
        <f t="shared" ca="1" si="6"/>
        <v>488</v>
      </c>
      <c r="I180" s="21">
        <f ca="1">[1]!b_anal_yield_cnbd(B180,$A$7)</f>
        <v>0</v>
      </c>
      <c r="J180" s="21">
        <f t="shared" ca="1" si="7"/>
        <v>0</v>
      </c>
      <c r="K180" s="19" t="str">
        <f>[1]!s_info_Nature(B180)</f>
        <v>中央国有企业</v>
      </c>
      <c r="L180" s="19" t="str">
        <f>[1]!b_info_windl1type(B180)</f>
        <v>中期票据</v>
      </c>
      <c r="M180" s="13">
        <f>[1]!b_info_couponrate(B180)</f>
        <v>4.78</v>
      </c>
      <c r="N180" s="14" t="str">
        <f>[1]!B_Info_ListedDate(B180)</f>
        <v>2015-05-29</v>
      </c>
      <c r="O180" s="14" t="str">
        <f>[1]!b_issue_firstissue(B180)</f>
        <v>2015-05-27</v>
      </c>
      <c r="P180" s="4">
        <f t="shared" ca="1" si="8"/>
        <v>42989</v>
      </c>
    </row>
    <row r="181" spans="2:16">
      <c r="B181" s="7">
        <v>122373</v>
      </c>
      <c r="C181" s="7">
        <v>4.88</v>
      </c>
      <c r="D181" s="18" t="str">
        <f>[1]!b_info_name(B181)</f>
        <v>15舟港债</v>
      </c>
      <c r="E181" s="19" t="str">
        <f>[1]!b_info_latestissurercreditrating(B181)</f>
        <v>AAA</v>
      </c>
      <c r="F181" s="20">
        <f ca="1">[1]!b_anal_day(B181,$A$5)/365</f>
        <v>2.6986301369863015</v>
      </c>
      <c r="G181" s="21">
        <f ca="1">[1]!b_anal_yield_cnbd(B181,$A$5)</f>
        <v>0</v>
      </c>
      <c r="H181" s="21">
        <f t="shared" ca="1" si="6"/>
        <v>488</v>
      </c>
      <c r="I181" s="21">
        <f ca="1">[1]!b_anal_yield_cnbd(B181,$A$7)</f>
        <v>0</v>
      </c>
      <c r="J181" s="21">
        <f t="shared" ca="1" si="7"/>
        <v>0</v>
      </c>
      <c r="K181" s="19">
        <f>[1]!s_info_Nature(B181)</f>
        <v>0</v>
      </c>
      <c r="L181" s="19" t="str">
        <f>[1]!b_info_windl1type(B181)</f>
        <v>公司债</v>
      </c>
      <c r="M181" s="13">
        <f>[1]!b_info_couponrate(B181)</f>
        <v>4.4800000000000004</v>
      </c>
      <c r="N181" s="14" t="str">
        <f>[1]!B_Info_ListedDate(B181)</f>
        <v>2015-06-04</v>
      </c>
      <c r="O181" s="14" t="str">
        <f>[1]!b_issue_firstissue(B181)</f>
        <v>2015-05-22</v>
      </c>
      <c r="P181" s="4">
        <f t="shared" ca="1" si="8"/>
        <v>42989</v>
      </c>
    </row>
    <row r="182" spans="2:16">
      <c r="B182" s="7">
        <v>136465</v>
      </c>
      <c r="C182" s="7">
        <v>4.88</v>
      </c>
      <c r="D182" s="18" t="str">
        <f>[1]!b_info_name(B182)</f>
        <v>16国投01</v>
      </c>
      <c r="E182" s="19" t="str">
        <f>[1]!b_info_latestissurercreditrating(B182)</f>
        <v>AAA</v>
      </c>
      <c r="F182" s="20">
        <f ca="1">[1]!b_anal_day(B182,$A$5)/365</f>
        <v>5.7315068493150685</v>
      </c>
      <c r="G182" s="21">
        <f ca="1">[1]!b_anal_yield_cnbd(B182,$A$5)</f>
        <v>0</v>
      </c>
      <c r="H182" s="21">
        <f t="shared" ca="1" si="6"/>
        <v>488</v>
      </c>
      <c r="I182" s="21">
        <f ca="1">[1]!b_anal_yield_cnbd(B182,$A$7)</f>
        <v>0</v>
      </c>
      <c r="J182" s="21">
        <f t="shared" ca="1" si="7"/>
        <v>0</v>
      </c>
      <c r="K182" s="19" t="str">
        <f>[1]!s_info_Nature(B182)</f>
        <v>中央国有企业</v>
      </c>
      <c r="L182" s="19" t="str">
        <f>[1]!b_info_windl1type(B182)</f>
        <v>公司债</v>
      </c>
      <c r="M182" s="13">
        <f>[1]!b_info_couponrate(B182)</f>
        <v>3.79</v>
      </c>
      <c r="N182" s="14" t="str">
        <f>[1]!B_Info_ListedDate(B182)</f>
        <v>2016-06-24</v>
      </c>
      <c r="O182" s="14" t="str">
        <f>[1]!b_issue_firstissue(B182)</f>
        <v>2016-06-02</v>
      </c>
      <c r="P182" s="4">
        <f t="shared" ca="1" si="8"/>
        <v>42989</v>
      </c>
    </row>
    <row r="183" spans="2:16">
      <c r="B183" s="7">
        <v>101554035</v>
      </c>
      <c r="C183" s="7">
        <v>4.88</v>
      </c>
      <c r="D183" s="18" t="str">
        <f>[1]!b_info_name(B183)</f>
        <v>15保利房产MTN002</v>
      </c>
      <c r="E183" s="19" t="str">
        <f>[1]!b_info_latestissurercreditrating(B183)</f>
        <v>AAA</v>
      </c>
      <c r="F183" s="20">
        <f ca="1">[1]!b_anal_day(B183,$A$5)/365</f>
        <v>2.7068493150684931</v>
      </c>
      <c r="G183" s="21">
        <f ca="1">[1]!b_anal_yield_cnbd(B183,$A$5)</f>
        <v>0</v>
      </c>
      <c r="H183" s="21">
        <f t="shared" ca="1" si="6"/>
        <v>488</v>
      </c>
      <c r="I183" s="21">
        <f ca="1">[1]!b_anal_yield_cnbd(B183,$A$7)</f>
        <v>0</v>
      </c>
      <c r="J183" s="21">
        <f t="shared" ca="1" si="7"/>
        <v>0</v>
      </c>
      <c r="K183" s="19" t="str">
        <f>[1]!s_info_Nature(B183)</f>
        <v>中央国有企业</v>
      </c>
      <c r="L183" s="19" t="str">
        <f>[1]!b_info_windl1type(B183)</f>
        <v>中期票据</v>
      </c>
      <c r="M183" s="13">
        <f>[1]!b_info_couponrate(B183)</f>
        <v>4.5999999999999996</v>
      </c>
      <c r="N183" s="14" t="str">
        <f>[1]!B_Info_ListedDate(B183)</f>
        <v>2015-05-26</v>
      </c>
      <c r="O183" s="14" t="str">
        <f>[1]!b_issue_firstissue(B183)</f>
        <v>2015-05-22</v>
      </c>
      <c r="P183" s="4">
        <f t="shared" ca="1" si="8"/>
        <v>42989</v>
      </c>
    </row>
    <row r="184" spans="2:16">
      <c r="B184" s="7">
        <v>11764041</v>
      </c>
      <c r="C184" s="7">
        <v>4.88</v>
      </c>
      <c r="D184" s="18" t="str">
        <f>[1]!b_info_name(B184)</f>
        <v>17湘高速SCP001</v>
      </c>
      <c r="E184" s="19" t="str">
        <f>[1]!b_info_latestissurercreditrating(B184)</f>
        <v>AAA</v>
      </c>
      <c r="F184" s="20">
        <f ca="1">[1]!b_anal_day(B184,$A$5)/365</f>
        <v>0.38630136986301372</v>
      </c>
      <c r="G184" s="21">
        <f ca="1">[1]!b_anal_yield_cnbd(B184,$A$5)</f>
        <v>0</v>
      </c>
      <c r="H184" s="21">
        <f t="shared" ca="1" si="6"/>
        <v>488</v>
      </c>
      <c r="I184" s="21">
        <f ca="1">[1]!b_anal_yield_cnbd(B184,$A$7)</f>
        <v>0</v>
      </c>
      <c r="J184" s="21">
        <f t="shared" ca="1" si="7"/>
        <v>0</v>
      </c>
      <c r="K184" s="19" t="str">
        <f>[1]!s_info_Nature(B184)</f>
        <v>地方国有企业</v>
      </c>
      <c r="L184" s="19" t="str">
        <f>[1]!b_info_windl1type(B184)</f>
        <v>短期融资券</v>
      </c>
      <c r="M184" s="13">
        <f>[1]!b_info_couponrate(B184)</f>
        <v>4.8</v>
      </c>
      <c r="N184" s="14" t="str">
        <f>[1]!B_Info_ListedDate(B184)</f>
        <v>2017-05-05</v>
      </c>
      <c r="O184" s="14" t="str">
        <f>[1]!b_issue_firstissue(B184)</f>
        <v>2017-05-02</v>
      </c>
      <c r="P184" s="4">
        <f t="shared" ca="1" si="8"/>
        <v>42989</v>
      </c>
    </row>
    <row r="185" spans="2:16">
      <c r="B185" s="7">
        <v>11764041</v>
      </c>
      <c r="C185" s="7">
        <v>4.88</v>
      </c>
      <c r="D185" s="18" t="str">
        <f>[1]!b_info_name(B185)</f>
        <v>17湘高速SCP001</v>
      </c>
      <c r="E185" s="19" t="str">
        <f>[1]!b_info_latestissurercreditrating(B185)</f>
        <v>AAA</v>
      </c>
      <c r="F185" s="20">
        <f ca="1">[1]!b_anal_day(B185,$A$5)/365</f>
        <v>0.38630136986301372</v>
      </c>
      <c r="G185" s="21">
        <f ca="1">[1]!b_anal_yield_cnbd(B185,$A$5)</f>
        <v>0</v>
      </c>
      <c r="H185" s="21">
        <f t="shared" ca="1" si="6"/>
        <v>488</v>
      </c>
      <c r="I185" s="21">
        <f ca="1">[1]!b_anal_yield_cnbd(B185,$A$7)</f>
        <v>0</v>
      </c>
      <c r="J185" s="21">
        <f t="shared" ca="1" si="7"/>
        <v>0</v>
      </c>
      <c r="K185" s="19" t="str">
        <f>[1]!s_info_Nature(B185)</f>
        <v>地方国有企业</v>
      </c>
      <c r="L185" s="19" t="str">
        <f>[1]!b_info_windl1type(B185)</f>
        <v>短期融资券</v>
      </c>
      <c r="M185" s="13">
        <f>[1]!b_info_couponrate(B185)</f>
        <v>4.8</v>
      </c>
      <c r="N185" s="14" t="str">
        <f>[1]!B_Info_ListedDate(B185)</f>
        <v>2017-05-05</v>
      </c>
      <c r="O185" s="14" t="str">
        <f>[1]!b_issue_firstissue(B185)</f>
        <v>2017-05-02</v>
      </c>
      <c r="P185" s="4">
        <f t="shared" ca="1" si="8"/>
        <v>42989</v>
      </c>
    </row>
    <row r="186" spans="2:16">
      <c r="B186" s="7">
        <v>101654088</v>
      </c>
      <c r="C186" s="7">
        <v>4.87</v>
      </c>
      <c r="D186" s="18" t="str">
        <f>[1]!b_info_name(B186)</f>
        <v>16苏国信MTN001</v>
      </c>
      <c r="E186" s="19" t="str">
        <f>[1]!b_info_latestissurercreditrating(B186)</f>
        <v>AAA</v>
      </c>
      <c r="F186" s="20">
        <f ca="1">[1]!b_anal_day(B186,$A$5)/365</f>
        <v>4.095890410958904</v>
      </c>
      <c r="G186" s="21">
        <f ca="1">[1]!b_anal_yield_cnbd(B186,$A$5)</f>
        <v>0</v>
      </c>
      <c r="H186" s="21">
        <f t="shared" ca="1" si="6"/>
        <v>487</v>
      </c>
      <c r="I186" s="21">
        <f ca="1">[1]!b_anal_yield_cnbd(B186,$A$7)</f>
        <v>0</v>
      </c>
      <c r="J186" s="21">
        <f t="shared" ca="1" si="7"/>
        <v>0</v>
      </c>
      <c r="K186" s="19" t="str">
        <f>[1]!s_info_Nature(B186)</f>
        <v>地方国有企业</v>
      </c>
      <c r="L186" s="19" t="str">
        <f>[1]!b_info_windl1type(B186)</f>
        <v>中期票据</v>
      </c>
      <c r="M186" s="13">
        <f>[1]!b_info_couponrate(B186)</f>
        <v>3.1</v>
      </c>
      <c r="N186" s="14" t="str">
        <f>[1]!B_Info_ListedDate(B186)</f>
        <v>2016-10-17</v>
      </c>
      <c r="O186" s="14" t="str">
        <f>[1]!b_issue_firstissue(B186)</f>
        <v>2016-10-13</v>
      </c>
      <c r="P186" s="4">
        <f t="shared" ca="1" si="8"/>
        <v>42989</v>
      </c>
    </row>
    <row r="187" spans="2:16">
      <c r="B187" s="7">
        <v>101654088</v>
      </c>
      <c r="C187" s="7">
        <v>4.87</v>
      </c>
      <c r="D187" s="18" t="str">
        <f>[1]!b_info_name(B187)</f>
        <v>16苏国信MTN001</v>
      </c>
      <c r="E187" s="19" t="str">
        <f>[1]!b_info_latestissurercreditrating(B187)</f>
        <v>AAA</v>
      </c>
      <c r="F187" s="20">
        <f ca="1">[1]!b_anal_day(B187,$A$5)/365</f>
        <v>4.095890410958904</v>
      </c>
      <c r="G187" s="21">
        <f ca="1">[1]!b_anal_yield_cnbd(B187,$A$5)</f>
        <v>0</v>
      </c>
      <c r="H187" s="21">
        <f t="shared" ca="1" si="6"/>
        <v>487</v>
      </c>
      <c r="I187" s="21">
        <f ca="1">[1]!b_anal_yield_cnbd(B187,$A$7)</f>
        <v>0</v>
      </c>
      <c r="J187" s="21">
        <f t="shared" ca="1" si="7"/>
        <v>0</v>
      </c>
      <c r="K187" s="19" t="str">
        <f>[1]!s_info_Nature(B187)</f>
        <v>地方国有企业</v>
      </c>
      <c r="L187" s="19" t="str">
        <f>[1]!b_info_windl1type(B187)</f>
        <v>中期票据</v>
      </c>
      <c r="M187" s="13">
        <f>[1]!b_info_couponrate(B187)</f>
        <v>3.1</v>
      </c>
      <c r="N187" s="14" t="str">
        <f>[1]!B_Info_ListedDate(B187)</f>
        <v>2016-10-17</v>
      </c>
      <c r="O187" s="14" t="str">
        <f>[1]!b_issue_firstissue(B187)</f>
        <v>2016-10-13</v>
      </c>
      <c r="P187" s="4">
        <f t="shared" ca="1" si="8"/>
        <v>42989</v>
      </c>
    </row>
    <row r="188" spans="2:16">
      <c r="B188" s="7">
        <v>11698385</v>
      </c>
      <c r="C188" s="7">
        <v>4.87</v>
      </c>
      <c r="D188" s="18" t="str">
        <f>[1]!b_info_name(B188)</f>
        <v>16潞安SCP005</v>
      </c>
      <c r="E188" s="19" t="str">
        <f>[1]!b_info_latestissurercreditrating(B188)</f>
        <v>AAA</v>
      </c>
      <c r="F188" s="20">
        <f ca="1">[1]!b_anal_day(B188,$A$5)/365</f>
        <v>0</v>
      </c>
      <c r="G188" s="21">
        <f ca="1">[1]!b_anal_yield_cnbd(B188,$A$5)</f>
        <v>0</v>
      </c>
      <c r="H188" s="21">
        <f t="shared" ca="1" si="6"/>
        <v>487</v>
      </c>
      <c r="I188" s="21">
        <f ca="1">[1]!b_anal_yield_cnbd(B188,$A$7)</f>
        <v>0</v>
      </c>
      <c r="J188" s="21">
        <f t="shared" ca="1" si="7"/>
        <v>0</v>
      </c>
      <c r="K188" s="19" t="str">
        <f>[1]!s_info_Nature(B188)</f>
        <v>地方国有企业</v>
      </c>
      <c r="L188" s="19" t="str">
        <f>[1]!b_info_windl1type(B188)</f>
        <v>短期融资券</v>
      </c>
      <c r="M188" s="13">
        <f>[1]!b_info_couponrate(B188)</f>
        <v>5</v>
      </c>
      <c r="N188" s="14" t="str">
        <f>[1]!B_Info_ListedDate(B188)</f>
        <v>2016-08-31</v>
      </c>
      <c r="O188" s="14" t="str">
        <f>[1]!b_issue_firstissue(B188)</f>
        <v>2016-08-29</v>
      </c>
      <c r="P188" s="4">
        <f t="shared" ca="1" si="8"/>
        <v>42989</v>
      </c>
    </row>
    <row r="189" spans="2:16">
      <c r="B189" s="7">
        <v>11698385</v>
      </c>
      <c r="C189" s="7">
        <v>4.87</v>
      </c>
      <c r="D189" s="18" t="str">
        <f>[1]!b_info_name(B189)</f>
        <v>16潞安SCP005</v>
      </c>
      <c r="E189" s="19" t="str">
        <f>[1]!b_info_latestissurercreditrating(B189)</f>
        <v>AAA</v>
      </c>
      <c r="F189" s="20">
        <f ca="1">[1]!b_anal_day(B189,$A$5)/365</f>
        <v>0</v>
      </c>
      <c r="G189" s="21">
        <f ca="1">[1]!b_anal_yield_cnbd(B189,$A$5)</f>
        <v>0</v>
      </c>
      <c r="H189" s="21">
        <f t="shared" ca="1" si="6"/>
        <v>487</v>
      </c>
      <c r="I189" s="21">
        <f ca="1">[1]!b_anal_yield_cnbd(B189,$A$7)</f>
        <v>0</v>
      </c>
      <c r="J189" s="21">
        <f t="shared" ca="1" si="7"/>
        <v>0</v>
      </c>
      <c r="K189" s="19" t="str">
        <f>[1]!s_info_Nature(B189)</f>
        <v>地方国有企业</v>
      </c>
      <c r="L189" s="19" t="str">
        <f>[1]!b_info_windl1type(B189)</f>
        <v>短期融资券</v>
      </c>
      <c r="M189" s="13">
        <f>[1]!b_info_couponrate(B189)</f>
        <v>5</v>
      </c>
      <c r="N189" s="14" t="str">
        <f>[1]!B_Info_ListedDate(B189)</f>
        <v>2016-08-31</v>
      </c>
      <c r="O189" s="14" t="str">
        <f>[1]!b_issue_firstissue(B189)</f>
        <v>2016-08-29</v>
      </c>
      <c r="P189" s="4">
        <f t="shared" ca="1" si="8"/>
        <v>42989</v>
      </c>
    </row>
    <row r="190" spans="2:16">
      <c r="B190" s="7">
        <v>11698385</v>
      </c>
      <c r="C190" s="7">
        <v>4.87</v>
      </c>
      <c r="D190" s="18" t="str">
        <f>[1]!b_info_name(B190)</f>
        <v>16潞安SCP005</v>
      </c>
      <c r="E190" s="19" t="str">
        <f>[1]!b_info_latestissurercreditrating(B190)</f>
        <v>AAA</v>
      </c>
      <c r="F190" s="20">
        <f ca="1">[1]!b_anal_day(B190,$A$5)/365</f>
        <v>0</v>
      </c>
      <c r="G190" s="21">
        <f ca="1">[1]!b_anal_yield_cnbd(B190,$A$5)</f>
        <v>0</v>
      </c>
      <c r="H190" s="21">
        <f t="shared" ca="1" si="6"/>
        <v>487</v>
      </c>
      <c r="I190" s="21">
        <f ca="1">[1]!b_anal_yield_cnbd(B190,$A$7)</f>
        <v>0</v>
      </c>
      <c r="J190" s="21">
        <f t="shared" ca="1" si="7"/>
        <v>0</v>
      </c>
      <c r="K190" s="19" t="str">
        <f>[1]!s_info_Nature(B190)</f>
        <v>地方国有企业</v>
      </c>
      <c r="L190" s="19" t="str">
        <f>[1]!b_info_windl1type(B190)</f>
        <v>短期融资券</v>
      </c>
      <c r="M190" s="13">
        <f>[1]!b_info_couponrate(B190)</f>
        <v>5</v>
      </c>
      <c r="N190" s="14" t="str">
        <f>[1]!B_Info_ListedDate(B190)</f>
        <v>2016-08-31</v>
      </c>
      <c r="O190" s="14" t="str">
        <f>[1]!b_issue_firstissue(B190)</f>
        <v>2016-08-29</v>
      </c>
      <c r="P190" s="4">
        <f t="shared" ca="1" si="8"/>
        <v>42989</v>
      </c>
    </row>
    <row r="191" spans="2:16">
      <c r="B191" s="7">
        <v>11698385</v>
      </c>
      <c r="C191" s="7">
        <v>4.87</v>
      </c>
      <c r="D191" s="18" t="str">
        <f>[1]!b_info_name(B191)</f>
        <v>16潞安SCP005</v>
      </c>
      <c r="E191" s="19" t="str">
        <f>[1]!b_info_latestissurercreditrating(B191)</f>
        <v>AAA</v>
      </c>
      <c r="F191" s="20">
        <f ca="1">[1]!b_anal_day(B191,$A$5)/365</f>
        <v>0</v>
      </c>
      <c r="G191" s="21">
        <f ca="1">[1]!b_anal_yield_cnbd(B191,$A$5)</f>
        <v>0</v>
      </c>
      <c r="H191" s="21">
        <f t="shared" ca="1" si="6"/>
        <v>487</v>
      </c>
      <c r="I191" s="21">
        <f ca="1">[1]!b_anal_yield_cnbd(B191,$A$7)</f>
        <v>0</v>
      </c>
      <c r="J191" s="21">
        <f t="shared" ca="1" si="7"/>
        <v>0</v>
      </c>
      <c r="K191" s="19" t="str">
        <f>[1]!s_info_Nature(B191)</f>
        <v>地方国有企业</v>
      </c>
      <c r="L191" s="19" t="str">
        <f>[1]!b_info_windl1type(B191)</f>
        <v>短期融资券</v>
      </c>
      <c r="M191" s="13">
        <f>[1]!b_info_couponrate(B191)</f>
        <v>5</v>
      </c>
      <c r="N191" s="14" t="str">
        <f>[1]!B_Info_ListedDate(B191)</f>
        <v>2016-08-31</v>
      </c>
      <c r="O191" s="14" t="str">
        <f>[1]!b_issue_firstissue(B191)</f>
        <v>2016-08-29</v>
      </c>
      <c r="P191" s="4">
        <f t="shared" ca="1" si="8"/>
        <v>42989</v>
      </c>
    </row>
    <row r="192" spans="2:16">
      <c r="B192" s="7">
        <v>11698385</v>
      </c>
      <c r="C192" s="7">
        <v>4.87</v>
      </c>
      <c r="D192" s="18" t="str">
        <f>[1]!b_info_name(B192)</f>
        <v>16潞安SCP005</v>
      </c>
      <c r="E192" s="19" t="str">
        <f>[1]!b_info_latestissurercreditrating(B192)</f>
        <v>AAA</v>
      </c>
      <c r="F192" s="20">
        <f ca="1">[1]!b_anal_day(B192,$A$5)/365</f>
        <v>0</v>
      </c>
      <c r="G192" s="21">
        <f ca="1">[1]!b_anal_yield_cnbd(B192,$A$5)</f>
        <v>0</v>
      </c>
      <c r="H192" s="21">
        <f t="shared" ref="H192:H255" ca="1" si="9">(IF(C192&lt;0.1,C192*100,C192)-G192)*100</f>
        <v>487</v>
      </c>
      <c r="I192" s="21">
        <f ca="1">[1]!b_anal_yield_cnbd(B192,$A$7)</f>
        <v>0</v>
      </c>
      <c r="J192" s="21">
        <f t="shared" ref="J192:J255" ca="1" si="10">(G192-I192)*100</f>
        <v>0</v>
      </c>
      <c r="K192" s="19" t="str">
        <f>[1]!s_info_Nature(B192)</f>
        <v>地方国有企业</v>
      </c>
      <c r="L192" s="19" t="str">
        <f>[1]!b_info_windl1type(B192)</f>
        <v>短期融资券</v>
      </c>
      <c r="M192" s="13">
        <f>[1]!b_info_couponrate(B192)</f>
        <v>5</v>
      </c>
      <c r="N192" s="14" t="str">
        <f>[1]!B_Info_ListedDate(B192)</f>
        <v>2016-08-31</v>
      </c>
      <c r="O192" s="14" t="str">
        <f>[1]!b_issue_firstissue(B192)</f>
        <v>2016-08-29</v>
      </c>
      <c r="P192" s="4">
        <f t="shared" ref="P192:P255" ca="1" si="11">$A$2</f>
        <v>42989</v>
      </c>
    </row>
    <row r="193" spans="2:16">
      <c r="B193" s="7">
        <v>11698753</v>
      </c>
      <c r="C193" s="7">
        <v>4.87</v>
      </c>
      <c r="D193" s="18" t="str">
        <f>[1]!b_info_name(B193)</f>
        <v>16海沧投资SCP002</v>
      </c>
      <c r="E193" s="19" t="str">
        <f>[1]!b_info_latestissurercreditrating(B193)</f>
        <v>AA+</v>
      </c>
      <c r="F193" s="20">
        <f ca="1">[1]!b_anal_day(B193,$A$5)/365</f>
        <v>0</v>
      </c>
      <c r="G193" s="21">
        <f ca="1">[1]!b_anal_yield_cnbd(B193,$A$5)</f>
        <v>0</v>
      </c>
      <c r="H193" s="21">
        <f t="shared" ca="1" si="9"/>
        <v>487</v>
      </c>
      <c r="I193" s="21">
        <f ca="1">[1]!b_anal_yield_cnbd(B193,$A$7)</f>
        <v>0</v>
      </c>
      <c r="J193" s="21">
        <f t="shared" ca="1" si="10"/>
        <v>0</v>
      </c>
      <c r="K193" s="19" t="str">
        <f>[1]!s_info_Nature(B193)</f>
        <v>地方国有企业</v>
      </c>
      <c r="L193" s="19" t="str">
        <f>[1]!b_info_windl1type(B193)</f>
        <v>短期融资券</v>
      </c>
      <c r="M193" s="13">
        <f>[1]!b_info_couponrate(B193)</f>
        <v>3.29</v>
      </c>
      <c r="N193" s="14" t="str">
        <f>[1]!B_Info_ListedDate(B193)</f>
        <v>2016-11-08</v>
      </c>
      <c r="O193" s="14" t="str">
        <f>[1]!b_issue_firstissue(B193)</f>
        <v>2016-11-04</v>
      </c>
      <c r="P193" s="4">
        <f t="shared" ca="1" si="11"/>
        <v>42989</v>
      </c>
    </row>
    <row r="194" spans="2:16">
      <c r="B194" s="7">
        <v>101660054</v>
      </c>
      <c r="C194" s="7">
        <v>4.8600000000000003</v>
      </c>
      <c r="D194" s="18" t="str">
        <f>[1]!b_info_name(B194)</f>
        <v>16东航股MTN003</v>
      </c>
      <c r="E194" s="19" t="str">
        <f>[1]!b_info_latestissurercreditrating(B194)</f>
        <v>AAA</v>
      </c>
      <c r="F194" s="20">
        <f ca="1">[1]!b_anal_day(B194,$A$5)/365</f>
        <v>1.8575342465753424</v>
      </c>
      <c r="G194" s="21">
        <f ca="1">[1]!b_anal_yield_cnbd(B194,$A$5)</f>
        <v>0</v>
      </c>
      <c r="H194" s="21">
        <f t="shared" ca="1" si="9"/>
        <v>486.00000000000006</v>
      </c>
      <c r="I194" s="21">
        <f ca="1">[1]!b_anal_yield_cnbd(B194,$A$7)</f>
        <v>0</v>
      </c>
      <c r="J194" s="21">
        <f t="shared" ca="1" si="10"/>
        <v>0</v>
      </c>
      <c r="K194" s="19" t="str">
        <f>[1]!s_info_Nature(B194)</f>
        <v>中央国有企业</v>
      </c>
      <c r="L194" s="19" t="str">
        <f>[1]!b_info_windl1type(B194)</f>
        <v>中期票据</v>
      </c>
      <c r="M194" s="13">
        <f>[1]!b_info_couponrate(B194)</f>
        <v>3</v>
      </c>
      <c r="N194" s="14" t="str">
        <f>[1]!B_Info_ListedDate(B194)</f>
        <v>2016-07-21</v>
      </c>
      <c r="O194" s="14" t="str">
        <f>[1]!b_issue_firstissue(B194)</f>
        <v>2016-07-18</v>
      </c>
      <c r="P194" s="4">
        <f t="shared" ca="1" si="11"/>
        <v>42989</v>
      </c>
    </row>
    <row r="195" spans="2:16">
      <c r="B195" s="7">
        <v>101554013</v>
      </c>
      <c r="C195" s="7">
        <v>4.8600000000000003</v>
      </c>
      <c r="D195" s="18" t="str">
        <f>[1]!b_info_name(B195)</f>
        <v>15神华MTN001</v>
      </c>
      <c r="E195" s="19" t="str">
        <f>[1]!b_info_latestissurercreditrating(B195)</f>
        <v>AAA</v>
      </c>
      <c r="F195" s="20">
        <f ca="1">[1]!b_anal_day(B195,$A$5)/365</f>
        <v>2.5452054794520547</v>
      </c>
      <c r="G195" s="21">
        <f ca="1">[1]!b_anal_yield_cnbd(B195,$A$5)</f>
        <v>0</v>
      </c>
      <c r="H195" s="21">
        <f t="shared" ca="1" si="9"/>
        <v>486.00000000000006</v>
      </c>
      <c r="I195" s="21">
        <f ca="1">[1]!b_anal_yield_cnbd(B195,$A$7)</f>
        <v>0</v>
      </c>
      <c r="J195" s="21">
        <f t="shared" ca="1" si="10"/>
        <v>0</v>
      </c>
      <c r="K195" s="19" t="str">
        <f>[1]!s_info_Nature(B195)</f>
        <v>中央国有企业</v>
      </c>
      <c r="L195" s="19" t="str">
        <f>[1]!b_info_windl1type(B195)</f>
        <v>中期票据</v>
      </c>
      <c r="M195" s="13">
        <f>[1]!b_info_couponrate(B195)</f>
        <v>4.88</v>
      </c>
      <c r="N195" s="14" t="str">
        <f>[1]!B_Info_ListedDate(B195)</f>
        <v>2015-03-30</v>
      </c>
      <c r="O195" s="14" t="str">
        <f>[1]!b_issue_firstissue(B195)</f>
        <v>2015-03-26</v>
      </c>
      <c r="P195" s="4">
        <f t="shared" ca="1" si="11"/>
        <v>42989</v>
      </c>
    </row>
    <row r="196" spans="2:16">
      <c r="B196" s="7">
        <v>101554013</v>
      </c>
      <c r="C196" s="7">
        <v>4.8600000000000003</v>
      </c>
      <c r="D196" s="18" t="str">
        <f>[1]!b_info_name(B196)</f>
        <v>15神华MTN001</v>
      </c>
      <c r="E196" s="19" t="str">
        <f>[1]!b_info_latestissurercreditrating(B196)</f>
        <v>AAA</v>
      </c>
      <c r="F196" s="20">
        <f ca="1">[1]!b_anal_day(B196,$A$5)/365</f>
        <v>2.5452054794520547</v>
      </c>
      <c r="G196" s="21">
        <f ca="1">[1]!b_anal_yield_cnbd(B196,$A$5)</f>
        <v>0</v>
      </c>
      <c r="H196" s="21">
        <f t="shared" ca="1" si="9"/>
        <v>486.00000000000006</v>
      </c>
      <c r="I196" s="21">
        <f ca="1">[1]!b_anal_yield_cnbd(B196,$A$7)</f>
        <v>0</v>
      </c>
      <c r="J196" s="21">
        <f t="shared" ca="1" si="10"/>
        <v>0</v>
      </c>
      <c r="K196" s="19" t="str">
        <f>[1]!s_info_Nature(B196)</f>
        <v>中央国有企业</v>
      </c>
      <c r="L196" s="19" t="str">
        <f>[1]!b_info_windl1type(B196)</f>
        <v>中期票据</v>
      </c>
      <c r="M196" s="13">
        <f>[1]!b_info_couponrate(B196)</f>
        <v>4.88</v>
      </c>
      <c r="N196" s="14" t="str">
        <f>[1]!B_Info_ListedDate(B196)</f>
        <v>2015-03-30</v>
      </c>
      <c r="O196" s="14" t="str">
        <f>[1]!b_issue_firstissue(B196)</f>
        <v>2015-03-26</v>
      </c>
      <c r="P196" s="4">
        <f t="shared" ca="1" si="11"/>
        <v>42989</v>
      </c>
    </row>
    <row r="197" spans="2:16">
      <c r="B197" s="7">
        <v>101554013</v>
      </c>
      <c r="C197" s="7">
        <v>4.8600000000000003</v>
      </c>
      <c r="D197" s="18" t="str">
        <f>[1]!b_info_name(B197)</f>
        <v>15神华MTN001</v>
      </c>
      <c r="E197" s="19" t="str">
        <f>[1]!b_info_latestissurercreditrating(B197)</f>
        <v>AAA</v>
      </c>
      <c r="F197" s="20">
        <f ca="1">[1]!b_anal_day(B197,$A$5)/365</f>
        <v>2.5452054794520547</v>
      </c>
      <c r="G197" s="21">
        <f ca="1">[1]!b_anal_yield_cnbd(B197,$A$5)</f>
        <v>0</v>
      </c>
      <c r="H197" s="21">
        <f t="shared" ca="1" si="9"/>
        <v>486.00000000000006</v>
      </c>
      <c r="I197" s="21">
        <f ca="1">[1]!b_anal_yield_cnbd(B197,$A$7)</f>
        <v>0</v>
      </c>
      <c r="J197" s="21">
        <f t="shared" ca="1" si="10"/>
        <v>0</v>
      </c>
      <c r="K197" s="19" t="str">
        <f>[1]!s_info_Nature(B197)</f>
        <v>中央国有企业</v>
      </c>
      <c r="L197" s="19" t="str">
        <f>[1]!b_info_windl1type(B197)</f>
        <v>中期票据</v>
      </c>
      <c r="M197" s="13">
        <f>[1]!b_info_couponrate(B197)</f>
        <v>4.88</v>
      </c>
      <c r="N197" s="14" t="str">
        <f>[1]!B_Info_ListedDate(B197)</f>
        <v>2015-03-30</v>
      </c>
      <c r="O197" s="14" t="str">
        <f>[1]!b_issue_firstissue(B197)</f>
        <v>2015-03-26</v>
      </c>
      <c r="P197" s="4">
        <f t="shared" ca="1" si="11"/>
        <v>42989</v>
      </c>
    </row>
    <row r="198" spans="2:16">
      <c r="B198" s="7">
        <v>101554013</v>
      </c>
      <c r="C198" s="7">
        <v>4.8600000000000003</v>
      </c>
      <c r="D198" s="18" t="str">
        <f>[1]!b_info_name(B198)</f>
        <v>15神华MTN001</v>
      </c>
      <c r="E198" s="19" t="str">
        <f>[1]!b_info_latestissurercreditrating(B198)</f>
        <v>AAA</v>
      </c>
      <c r="F198" s="20">
        <f ca="1">[1]!b_anal_day(B198,$A$5)/365</f>
        <v>2.5452054794520547</v>
      </c>
      <c r="G198" s="21">
        <f ca="1">[1]!b_anal_yield_cnbd(B198,$A$5)</f>
        <v>0</v>
      </c>
      <c r="H198" s="21">
        <f t="shared" ca="1" si="9"/>
        <v>486.00000000000006</v>
      </c>
      <c r="I198" s="21">
        <f ca="1">[1]!b_anal_yield_cnbd(B198,$A$7)</f>
        <v>0</v>
      </c>
      <c r="J198" s="21">
        <f t="shared" ca="1" si="10"/>
        <v>0</v>
      </c>
      <c r="K198" s="19" t="str">
        <f>[1]!s_info_Nature(B198)</f>
        <v>中央国有企业</v>
      </c>
      <c r="L198" s="19" t="str">
        <f>[1]!b_info_windl1type(B198)</f>
        <v>中期票据</v>
      </c>
      <c r="M198" s="13">
        <f>[1]!b_info_couponrate(B198)</f>
        <v>4.88</v>
      </c>
      <c r="N198" s="14" t="str">
        <f>[1]!B_Info_ListedDate(B198)</f>
        <v>2015-03-30</v>
      </c>
      <c r="O198" s="14" t="str">
        <f>[1]!b_issue_firstissue(B198)</f>
        <v>2015-03-26</v>
      </c>
      <c r="P198" s="4">
        <f t="shared" ca="1" si="11"/>
        <v>42989</v>
      </c>
    </row>
    <row r="199" spans="2:16">
      <c r="B199" s="7">
        <v>101554013</v>
      </c>
      <c r="C199" s="7">
        <v>4.8600000000000003</v>
      </c>
      <c r="D199" s="18" t="str">
        <f>[1]!b_info_name(B199)</f>
        <v>15神华MTN001</v>
      </c>
      <c r="E199" s="19" t="str">
        <f>[1]!b_info_latestissurercreditrating(B199)</f>
        <v>AAA</v>
      </c>
      <c r="F199" s="20">
        <f ca="1">[1]!b_anal_day(B199,$A$5)/365</f>
        <v>2.5452054794520547</v>
      </c>
      <c r="G199" s="21">
        <f ca="1">[1]!b_anal_yield_cnbd(B199,$A$5)</f>
        <v>0</v>
      </c>
      <c r="H199" s="21">
        <f t="shared" ca="1" si="9"/>
        <v>486.00000000000006</v>
      </c>
      <c r="I199" s="21">
        <f ca="1">[1]!b_anal_yield_cnbd(B199,$A$7)</f>
        <v>0</v>
      </c>
      <c r="J199" s="21">
        <f t="shared" ca="1" si="10"/>
        <v>0</v>
      </c>
      <c r="K199" s="19" t="str">
        <f>[1]!s_info_Nature(B199)</f>
        <v>中央国有企业</v>
      </c>
      <c r="L199" s="19" t="str">
        <f>[1]!b_info_windl1type(B199)</f>
        <v>中期票据</v>
      </c>
      <c r="M199" s="13">
        <f>[1]!b_info_couponrate(B199)</f>
        <v>4.88</v>
      </c>
      <c r="N199" s="14" t="str">
        <f>[1]!B_Info_ListedDate(B199)</f>
        <v>2015-03-30</v>
      </c>
      <c r="O199" s="14" t="str">
        <f>[1]!b_issue_firstissue(B199)</f>
        <v>2015-03-26</v>
      </c>
      <c r="P199" s="4">
        <f t="shared" ca="1" si="11"/>
        <v>42989</v>
      </c>
    </row>
    <row r="200" spans="2:16">
      <c r="B200" s="7">
        <v>101554013</v>
      </c>
      <c r="C200" s="7">
        <v>4.8600000000000003</v>
      </c>
      <c r="D200" s="18" t="str">
        <f>[1]!b_info_name(B200)</f>
        <v>15神华MTN001</v>
      </c>
      <c r="E200" s="19" t="str">
        <f>[1]!b_info_latestissurercreditrating(B200)</f>
        <v>AAA</v>
      </c>
      <c r="F200" s="20">
        <f ca="1">[1]!b_anal_day(B200,$A$5)/365</f>
        <v>2.5452054794520547</v>
      </c>
      <c r="G200" s="21">
        <f ca="1">[1]!b_anal_yield_cnbd(B200,$A$5)</f>
        <v>0</v>
      </c>
      <c r="H200" s="21">
        <f t="shared" ca="1" si="9"/>
        <v>486.00000000000006</v>
      </c>
      <c r="I200" s="21">
        <f ca="1">[1]!b_anal_yield_cnbd(B200,$A$7)</f>
        <v>0</v>
      </c>
      <c r="J200" s="21">
        <f t="shared" ca="1" si="10"/>
        <v>0</v>
      </c>
      <c r="K200" s="19" t="str">
        <f>[1]!s_info_Nature(B200)</f>
        <v>中央国有企业</v>
      </c>
      <c r="L200" s="19" t="str">
        <f>[1]!b_info_windl1type(B200)</f>
        <v>中期票据</v>
      </c>
      <c r="M200" s="13">
        <f>[1]!b_info_couponrate(B200)</f>
        <v>4.88</v>
      </c>
      <c r="N200" s="14" t="str">
        <f>[1]!B_Info_ListedDate(B200)</f>
        <v>2015-03-30</v>
      </c>
      <c r="O200" s="14" t="str">
        <f>[1]!b_issue_firstissue(B200)</f>
        <v>2015-03-26</v>
      </c>
      <c r="P200" s="4">
        <f t="shared" ca="1" si="11"/>
        <v>42989</v>
      </c>
    </row>
    <row r="201" spans="2:16">
      <c r="B201" s="7">
        <v>101554013</v>
      </c>
      <c r="C201" s="7">
        <v>4.8600000000000003</v>
      </c>
      <c r="D201" s="18" t="str">
        <f>[1]!b_info_name(B201)</f>
        <v>15神华MTN001</v>
      </c>
      <c r="E201" s="19" t="str">
        <f>[1]!b_info_latestissurercreditrating(B201)</f>
        <v>AAA</v>
      </c>
      <c r="F201" s="20">
        <f ca="1">[1]!b_anal_day(B201,$A$5)/365</f>
        <v>2.5452054794520547</v>
      </c>
      <c r="G201" s="21">
        <f ca="1">[1]!b_anal_yield_cnbd(B201,$A$5)</f>
        <v>0</v>
      </c>
      <c r="H201" s="21">
        <f t="shared" ca="1" si="9"/>
        <v>486.00000000000006</v>
      </c>
      <c r="I201" s="21">
        <f ca="1">[1]!b_anal_yield_cnbd(B201,$A$7)</f>
        <v>0</v>
      </c>
      <c r="J201" s="21">
        <f t="shared" ca="1" si="10"/>
        <v>0</v>
      </c>
      <c r="K201" s="19" t="str">
        <f>[1]!s_info_Nature(B201)</f>
        <v>中央国有企业</v>
      </c>
      <c r="L201" s="19" t="str">
        <f>[1]!b_info_windl1type(B201)</f>
        <v>中期票据</v>
      </c>
      <c r="M201" s="13">
        <f>[1]!b_info_couponrate(B201)</f>
        <v>4.88</v>
      </c>
      <c r="N201" s="14" t="str">
        <f>[1]!B_Info_ListedDate(B201)</f>
        <v>2015-03-30</v>
      </c>
      <c r="O201" s="14" t="str">
        <f>[1]!b_issue_firstissue(B201)</f>
        <v>2015-03-26</v>
      </c>
      <c r="P201" s="4">
        <f t="shared" ca="1" si="11"/>
        <v>42989</v>
      </c>
    </row>
    <row r="202" spans="2:16">
      <c r="B202" s="7">
        <v>101554013</v>
      </c>
      <c r="C202" s="7">
        <v>4.8600000000000003</v>
      </c>
      <c r="D202" s="18" t="str">
        <f>[1]!b_info_name(B202)</f>
        <v>15神华MTN001</v>
      </c>
      <c r="E202" s="19" t="str">
        <f>[1]!b_info_latestissurercreditrating(B202)</f>
        <v>AAA</v>
      </c>
      <c r="F202" s="20">
        <f ca="1">[1]!b_anal_day(B202,$A$5)/365</f>
        <v>2.5452054794520547</v>
      </c>
      <c r="G202" s="21">
        <f ca="1">[1]!b_anal_yield_cnbd(B202,$A$5)</f>
        <v>0</v>
      </c>
      <c r="H202" s="21">
        <f t="shared" ca="1" si="9"/>
        <v>486.00000000000006</v>
      </c>
      <c r="I202" s="21">
        <f ca="1">[1]!b_anal_yield_cnbd(B202,$A$7)</f>
        <v>0</v>
      </c>
      <c r="J202" s="21">
        <f t="shared" ca="1" si="10"/>
        <v>0</v>
      </c>
      <c r="K202" s="19" t="str">
        <f>[1]!s_info_Nature(B202)</f>
        <v>中央国有企业</v>
      </c>
      <c r="L202" s="19" t="str">
        <f>[1]!b_info_windl1type(B202)</f>
        <v>中期票据</v>
      </c>
      <c r="M202" s="13">
        <f>[1]!b_info_couponrate(B202)</f>
        <v>4.88</v>
      </c>
      <c r="N202" s="14" t="str">
        <f>[1]!B_Info_ListedDate(B202)</f>
        <v>2015-03-30</v>
      </c>
      <c r="O202" s="14" t="str">
        <f>[1]!b_issue_firstissue(B202)</f>
        <v>2015-03-26</v>
      </c>
      <c r="P202" s="4">
        <f t="shared" ca="1" si="11"/>
        <v>42989</v>
      </c>
    </row>
    <row r="203" spans="2:16">
      <c r="B203" s="7">
        <v>101559005</v>
      </c>
      <c r="C203" s="7">
        <v>4.8499999999999996</v>
      </c>
      <c r="D203" s="18" t="str">
        <f>[1]!b_info_name(B203)</f>
        <v>15苏国资MTN001</v>
      </c>
      <c r="E203" s="19" t="str">
        <f>[1]!b_info_latestissurercreditrating(B203)</f>
        <v>AAA</v>
      </c>
      <c r="F203" s="20">
        <f ca="1">[1]!b_anal_day(B203,$A$5)/365</f>
        <v>2.4356164383561643</v>
      </c>
      <c r="G203" s="21">
        <f ca="1">[1]!b_anal_yield_cnbd(B203,$A$5)</f>
        <v>0</v>
      </c>
      <c r="H203" s="21">
        <f t="shared" ca="1" si="9"/>
        <v>484.99999999999994</v>
      </c>
      <c r="I203" s="21">
        <f ca="1">[1]!b_anal_yield_cnbd(B203,$A$7)</f>
        <v>0</v>
      </c>
      <c r="J203" s="21">
        <f t="shared" ca="1" si="10"/>
        <v>0</v>
      </c>
      <c r="K203" s="19" t="str">
        <f>[1]!s_info_Nature(B203)</f>
        <v>地方国有企业</v>
      </c>
      <c r="L203" s="19" t="str">
        <f>[1]!b_info_windl1type(B203)</f>
        <v>中期票据</v>
      </c>
      <c r="M203" s="13">
        <f>[1]!b_info_couponrate(B203)</f>
        <v>4.83</v>
      </c>
      <c r="N203" s="14" t="str">
        <f>[1]!B_Info_ListedDate(B203)</f>
        <v>2015-02-17</v>
      </c>
      <c r="O203" s="14" t="str">
        <f>[1]!b_issue_firstissue(B203)</f>
        <v>2015-02-13</v>
      </c>
      <c r="P203" s="4">
        <f t="shared" ca="1" si="11"/>
        <v>42989</v>
      </c>
    </row>
    <row r="204" spans="2:16">
      <c r="B204" s="7">
        <v>101559005</v>
      </c>
      <c r="C204" s="7">
        <v>4.8499999999999996</v>
      </c>
      <c r="D204" s="18" t="str">
        <f>[1]!b_info_name(B204)</f>
        <v>15苏国资MTN001</v>
      </c>
      <c r="E204" s="19" t="str">
        <f>[1]!b_info_latestissurercreditrating(B204)</f>
        <v>AAA</v>
      </c>
      <c r="F204" s="20">
        <f ca="1">[1]!b_anal_day(B204,$A$5)/365</f>
        <v>2.4356164383561643</v>
      </c>
      <c r="G204" s="21">
        <f ca="1">[1]!b_anal_yield_cnbd(B204,$A$5)</f>
        <v>0</v>
      </c>
      <c r="H204" s="21">
        <f t="shared" ca="1" si="9"/>
        <v>484.99999999999994</v>
      </c>
      <c r="I204" s="21">
        <f ca="1">[1]!b_anal_yield_cnbd(B204,$A$7)</f>
        <v>0</v>
      </c>
      <c r="J204" s="21">
        <f t="shared" ca="1" si="10"/>
        <v>0</v>
      </c>
      <c r="K204" s="19" t="str">
        <f>[1]!s_info_Nature(B204)</f>
        <v>地方国有企业</v>
      </c>
      <c r="L204" s="19" t="str">
        <f>[1]!b_info_windl1type(B204)</f>
        <v>中期票据</v>
      </c>
      <c r="M204" s="13">
        <f>[1]!b_info_couponrate(B204)</f>
        <v>4.83</v>
      </c>
      <c r="N204" s="14" t="str">
        <f>[1]!B_Info_ListedDate(B204)</f>
        <v>2015-02-17</v>
      </c>
      <c r="O204" s="14" t="str">
        <f>[1]!b_issue_firstissue(B204)</f>
        <v>2015-02-13</v>
      </c>
      <c r="P204" s="4">
        <f t="shared" ca="1" si="11"/>
        <v>42989</v>
      </c>
    </row>
    <row r="205" spans="2:16">
      <c r="B205" s="7">
        <v>101761002</v>
      </c>
      <c r="C205" s="7">
        <v>4.8499999999999996</v>
      </c>
      <c r="D205" s="18" t="str">
        <f>[1]!b_info_name(B205)</f>
        <v>17光大集团MTN001</v>
      </c>
      <c r="E205" s="19" t="str">
        <f>[1]!b_info_latestissurercreditrating(B205)</f>
        <v>AAA</v>
      </c>
      <c r="F205" s="20">
        <f ca="1">[1]!b_anal_day(B205,$A$5)/365</f>
        <v>2.473972602739726</v>
      </c>
      <c r="G205" s="21">
        <f ca="1">[1]!b_anal_yield_cnbd(B205,$A$5)</f>
        <v>0</v>
      </c>
      <c r="H205" s="21">
        <f t="shared" ca="1" si="9"/>
        <v>484.99999999999994</v>
      </c>
      <c r="I205" s="21">
        <f ca="1">[1]!b_anal_yield_cnbd(B205,$A$7)</f>
        <v>0</v>
      </c>
      <c r="J205" s="21">
        <f t="shared" ca="1" si="10"/>
        <v>0</v>
      </c>
      <c r="K205" s="19" t="str">
        <f>[1]!s_info_Nature(B205)</f>
        <v>中央国有企业</v>
      </c>
      <c r="L205" s="19" t="str">
        <f>[1]!b_info_windl1type(B205)</f>
        <v>中期票据</v>
      </c>
      <c r="M205" s="13">
        <f>[1]!b_info_couponrate(B205)</f>
        <v>4.4000000000000004</v>
      </c>
      <c r="N205" s="14" t="str">
        <f>[1]!B_Info_ListedDate(B205)</f>
        <v>2017-03-02</v>
      </c>
      <c r="O205" s="14" t="str">
        <f>[1]!b_issue_firstissue(B205)</f>
        <v>2017-02-27</v>
      </c>
      <c r="P205" s="4">
        <f t="shared" ca="1" si="11"/>
        <v>42989</v>
      </c>
    </row>
    <row r="206" spans="2:16">
      <c r="B206" s="7">
        <v>101554029</v>
      </c>
      <c r="C206" s="7">
        <v>4.8499999999999996</v>
      </c>
      <c r="D206" s="18" t="str">
        <f>[1]!b_info_name(B206)</f>
        <v>15穗地铁MTN001</v>
      </c>
      <c r="E206" s="19" t="str">
        <f>[1]!b_info_latestissurercreditrating(B206)</f>
        <v>AAA</v>
      </c>
      <c r="F206" s="20">
        <f ca="1">[1]!b_anal_day(B206,$A$5)/365</f>
        <v>2.6794520547945204</v>
      </c>
      <c r="G206" s="21">
        <f ca="1">[1]!b_anal_yield_cnbd(B206,$A$5)</f>
        <v>0</v>
      </c>
      <c r="H206" s="21">
        <f t="shared" ca="1" si="9"/>
        <v>484.99999999999994</v>
      </c>
      <c r="I206" s="21">
        <f ca="1">[1]!b_anal_yield_cnbd(B206,$A$7)</f>
        <v>0</v>
      </c>
      <c r="J206" s="21">
        <f t="shared" ca="1" si="10"/>
        <v>0</v>
      </c>
      <c r="K206" s="19" t="str">
        <f>[1]!s_info_Nature(B206)</f>
        <v>地方国有企业</v>
      </c>
      <c r="L206" s="19" t="str">
        <f>[1]!b_info_windl1type(B206)</f>
        <v>中期票据</v>
      </c>
      <c r="M206" s="13">
        <f>[1]!b_info_couponrate(B206)</f>
        <v>4.45</v>
      </c>
      <c r="N206" s="14" t="str">
        <f>[1]!B_Info_ListedDate(B206)</f>
        <v>2015-05-18</v>
      </c>
      <c r="O206" s="14" t="str">
        <f>[1]!b_issue_firstissue(B206)</f>
        <v>2015-05-14</v>
      </c>
      <c r="P206" s="4">
        <f t="shared" ca="1" si="11"/>
        <v>42989</v>
      </c>
    </row>
    <row r="207" spans="2:16">
      <c r="B207" s="7">
        <v>101556026</v>
      </c>
      <c r="C207" s="7">
        <v>4.8499999999999996</v>
      </c>
      <c r="D207" s="18" t="str">
        <f>[1]!b_info_name(B207)</f>
        <v>15宁地铁MTN001</v>
      </c>
      <c r="E207" s="19" t="str">
        <f>[1]!b_info_latestissurercreditrating(B207)</f>
        <v>AAA</v>
      </c>
      <c r="F207" s="20">
        <f ca="1">[1]!b_anal_day(B207,$A$5)/365</f>
        <v>2.8520547945205479</v>
      </c>
      <c r="G207" s="21">
        <f ca="1">[1]!b_anal_yield_cnbd(B207,$A$5)</f>
        <v>0</v>
      </c>
      <c r="H207" s="21">
        <f t="shared" ca="1" si="9"/>
        <v>484.99999999999994</v>
      </c>
      <c r="I207" s="21">
        <f ca="1">[1]!b_anal_yield_cnbd(B207,$A$7)</f>
        <v>0</v>
      </c>
      <c r="J207" s="21">
        <f t="shared" ca="1" si="10"/>
        <v>0</v>
      </c>
      <c r="K207" s="19" t="str">
        <f>[1]!s_info_Nature(B207)</f>
        <v>地方国有企业</v>
      </c>
      <c r="L207" s="19" t="str">
        <f>[1]!b_info_windl1type(B207)</f>
        <v>中期票据</v>
      </c>
      <c r="M207" s="13">
        <f>[1]!b_info_couponrate(B207)</f>
        <v>4.59</v>
      </c>
      <c r="N207" s="14" t="str">
        <f>[1]!B_Info_ListedDate(B207)</f>
        <v>2015-07-20</v>
      </c>
      <c r="O207" s="14" t="str">
        <f>[1]!b_issue_firstissue(B207)</f>
        <v>2015-07-16</v>
      </c>
      <c r="P207" s="4">
        <f t="shared" ca="1" si="11"/>
        <v>42989</v>
      </c>
    </row>
    <row r="208" spans="2:16">
      <c r="B208" s="7">
        <v>101556026</v>
      </c>
      <c r="C208" s="7">
        <v>4.8499999999999996</v>
      </c>
      <c r="D208" s="18" t="str">
        <f>[1]!b_info_name(B208)</f>
        <v>15宁地铁MTN001</v>
      </c>
      <c r="E208" s="19" t="str">
        <f>[1]!b_info_latestissurercreditrating(B208)</f>
        <v>AAA</v>
      </c>
      <c r="F208" s="20">
        <f ca="1">[1]!b_anal_day(B208,$A$5)/365</f>
        <v>2.8520547945205479</v>
      </c>
      <c r="G208" s="21">
        <f ca="1">[1]!b_anal_yield_cnbd(B208,$A$5)</f>
        <v>0</v>
      </c>
      <c r="H208" s="21">
        <f t="shared" ca="1" si="9"/>
        <v>484.99999999999994</v>
      </c>
      <c r="I208" s="21">
        <f ca="1">[1]!b_anal_yield_cnbd(B208,$A$7)</f>
        <v>0</v>
      </c>
      <c r="J208" s="21">
        <f t="shared" ca="1" si="10"/>
        <v>0</v>
      </c>
      <c r="K208" s="19" t="str">
        <f>[1]!s_info_Nature(B208)</f>
        <v>地方国有企业</v>
      </c>
      <c r="L208" s="19" t="str">
        <f>[1]!b_info_windl1type(B208)</f>
        <v>中期票据</v>
      </c>
      <c r="M208" s="13">
        <f>[1]!b_info_couponrate(B208)</f>
        <v>4.59</v>
      </c>
      <c r="N208" s="14" t="str">
        <f>[1]!B_Info_ListedDate(B208)</f>
        <v>2015-07-20</v>
      </c>
      <c r="O208" s="14" t="str">
        <f>[1]!b_issue_firstissue(B208)</f>
        <v>2015-07-16</v>
      </c>
      <c r="P208" s="4">
        <f t="shared" ca="1" si="11"/>
        <v>42989</v>
      </c>
    </row>
    <row r="209" spans="2:16">
      <c r="B209" s="7">
        <v>101654039</v>
      </c>
      <c r="C209" s="7">
        <v>4.8499999999999996</v>
      </c>
      <c r="D209" s="18" t="str">
        <f>[1]!b_info_name(B209)</f>
        <v>16中建MTN001</v>
      </c>
      <c r="E209" s="19" t="str">
        <f>[1]!b_info_latestissurercreditrating(B209)</f>
        <v>AAA</v>
      </c>
      <c r="F209" s="20">
        <f ca="1">[1]!b_anal_day(B209,$A$5)/365</f>
        <v>3.591780821917808</v>
      </c>
      <c r="G209" s="21">
        <f ca="1">[1]!b_anal_yield_cnbd(B209,$A$5)</f>
        <v>0</v>
      </c>
      <c r="H209" s="21">
        <f t="shared" ca="1" si="9"/>
        <v>484.99999999999994</v>
      </c>
      <c r="I209" s="21">
        <f ca="1">[1]!b_anal_yield_cnbd(B209,$A$7)</f>
        <v>0</v>
      </c>
      <c r="J209" s="21">
        <f t="shared" ca="1" si="10"/>
        <v>0</v>
      </c>
      <c r="K209" s="19" t="str">
        <f>[1]!s_info_Nature(B209)</f>
        <v>中央国有企业</v>
      </c>
      <c r="L209" s="19" t="str">
        <f>[1]!b_info_windl1type(B209)</f>
        <v>中期票据</v>
      </c>
      <c r="M209" s="13">
        <f>[1]!b_info_couponrate(B209)</f>
        <v>3.6</v>
      </c>
      <c r="N209" s="14" t="str">
        <f>[1]!B_Info_ListedDate(B209)</f>
        <v>2016-04-14</v>
      </c>
      <c r="O209" s="14" t="str">
        <f>[1]!b_issue_firstissue(B209)</f>
        <v>2016-04-11</v>
      </c>
      <c r="P209" s="4">
        <f t="shared" ca="1" si="11"/>
        <v>42989</v>
      </c>
    </row>
    <row r="210" spans="2:16">
      <c r="B210" s="7">
        <v>101654039</v>
      </c>
      <c r="C210" s="7">
        <v>4.8499999999999996</v>
      </c>
      <c r="D210" s="18" t="str">
        <f>[1]!b_info_name(B210)</f>
        <v>16中建MTN001</v>
      </c>
      <c r="E210" s="19" t="str">
        <f>[1]!b_info_latestissurercreditrating(B210)</f>
        <v>AAA</v>
      </c>
      <c r="F210" s="20">
        <f ca="1">[1]!b_anal_day(B210,$A$5)/365</f>
        <v>3.591780821917808</v>
      </c>
      <c r="G210" s="21">
        <f ca="1">[1]!b_anal_yield_cnbd(B210,$A$5)</f>
        <v>0</v>
      </c>
      <c r="H210" s="21">
        <f t="shared" ca="1" si="9"/>
        <v>484.99999999999994</v>
      </c>
      <c r="I210" s="21">
        <f ca="1">[1]!b_anal_yield_cnbd(B210,$A$7)</f>
        <v>0</v>
      </c>
      <c r="J210" s="21">
        <f t="shared" ca="1" si="10"/>
        <v>0</v>
      </c>
      <c r="K210" s="19" t="str">
        <f>[1]!s_info_Nature(B210)</f>
        <v>中央国有企业</v>
      </c>
      <c r="L210" s="19" t="str">
        <f>[1]!b_info_windl1type(B210)</f>
        <v>中期票据</v>
      </c>
      <c r="M210" s="13">
        <f>[1]!b_info_couponrate(B210)</f>
        <v>3.6</v>
      </c>
      <c r="N210" s="14" t="str">
        <f>[1]!B_Info_ListedDate(B210)</f>
        <v>2016-04-14</v>
      </c>
      <c r="O210" s="14" t="str">
        <f>[1]!b_issue_firstissue(B210)</f>
        <v>2016-04-11</v>
      </c>
      <c r="P210" s="4">
        <f t="shared" ca="1" si="11"/>
        <v>42989</v>
      </c>
    </row>
    <row r="211" spans="2:16">
      <c r="B211" s="7">
        <v>112493</v>
      </c>
      <c r="C211" s="7">
        <v>4.8499999999999996</v>
      </c>
      <c r="D211" s="18" t="str">
        <f>[1]!b_info_name(B211)</f>
        <v>16华能资</v>
      </c>
      <c r="E211" s="19" t="str">
        <f>[1]!b_info_latestissurercreditrating(B211)</f>
        <v>AAA</v>
      </c>
      <c r="F211" s="20">
        <f ca="1">[1]!b_anal_day(B211,$A$5)/365</f>
        <v>4.2657534246575342</v>
      </c>
      <c r="G211" s="21">
        <f ca="1">[1]!b_anal_yield_cnbd(B211,$A$5)</f>
        <v>0</v>
      </c>
      <c r="H211" s="21">
        <f t="shared" ca="1" si="9"/>
        <v>484.99999999999994</v>
      </c>
      <c r="I211" s="21">
        <f ca="1">[1]!b_anal_yield_cnbd(B211,$A$7)</f>
        <v>0</v>
      </c>
      <c r="J211" s="21">
        <f t="shared" ca="1" si="10"/>
        <v>0</v>
      </c>
      <c r="K211" s="19" t="str">
        <f>[1]!s_info_Nature(B211)</f>
        <v>中央国有企业</v>
      </c>
      <c r="L211" s="19" t="str">
        <f>[1]!b_info_windl1type(B211)</f>
        <v>公司债</v>
      </c>
      <c r="M211" s="13">
        <f>[1]!b_info_couponrate(B211)</f>
        <v>4</v>
      </c>
      <c r="N211" s="14" t="str">
        <f>[1]!B_Info_ListedDate(B211)</f>
        <v>2017-01-26</v>
      </c>
      <c r="O211" s="14" t="str">
        <f>[1]!b_issue_firstissue(B211)</f>
        <v>2016-12-14</v>
      </c>
      <c r="P211" s="4">
        <f t="shared" ca="1" si="11"/>
        <v>42989</v>
      </c>
    </row>
    <row r="212" spans="2:16">
      <c r="B212" s="7">
        <v>112493</v>
      </c>
      <c r="C212" s="7">
        <v>4.8499999999999996</v>
      </c>
      <c r="D212" s="18" t="str">
        <f>[1]!b_info_name(B212)</f>
        <v>16华能资</v>
      </c>
      <c r="E212" s="19" t="str">
        <f>[1]!b_info_latestissurercreditrating(B212)</f>
        <v>AAA</v>
      </c>
      <c r="F212" s="20">
        <f ca="1">[1]!b_anal_day(B212,$A$5)/365</f>
        <v>4.2657534246575342</v>
      </c>
      <c r="G212" s="21">
        <f ca="1">[1]!b_anal_yield_cnbd(B212,$A$5)</f>
        <v>0</v>
      </c>
      <c r="H212" s="21">
        <f t="shared" ca="1" si="9"/>
        <v>484.99999999999994</v>
      </c>
      <c r="I212" s="21">
        <f ca="1">[1]!b_anal_yield_cnbd(B212,$A$7)</f>
        <v>0</v>
      </c>
      <c r="J212" s="21">
        <f t="shared" ca="1" si="10"/>
        <v>0</v>
      </c>
      <c r="K212" s="19" t="str">
        <f>[1]!s_info_Nature(B212)</f>
        <v>中央国有企业</v>
      </c>
      <c r="L212" s="19" t="str">
        <f>[1]!b_info_windl1type(B212)</f>
        <v>公司债</v>
      </c>
      <c r="M212" s="13">
        <f>[1]!b_info_couponrate(B212)</f>
        <v>4</v>
      </c>
      <c r="N212" s="14" t="str">
        <f>[1]!B_Info_ListedDate(B212)</f>
        <v>2017-01-26</v>
      </c>
      <c r="O212" s="14" t="str">
        <f>[1]!b_issue_firstissue(B212)</f>
        <v>2016-12-14</v>
      </c>
      <c r="P212" s="4">
        <f t="shared" ca="1" si="11"/>
        <v>42989</v>
      </c>
    </row>
    <row r="213" spans="2:16">
      <c r="B213" s="7">
        <v>1620042</v>
      </c>
      <c r="C213" s="7">
        <v>4.8499999999999996</v>
      </c>
      <c r="D213" s="18" t="str">
        <f>[1]!b_info_name(B213)</f>
        <v>16盛京银行01</v>
      </c>
      <c r="E213" s="19" t="str">
        <f>[1]!b_info_latestissurercreditrating(B213)</f>
        <v>AAA</v>
      </c>
      <c r="F213" s="20">
        <f ca="1">[1]!b_anal_day(B213,$A$5)/365</f>
        <v>1.9671232876712328</v>
      </c>
      <c r="G213" s="21">
        <f ca="1">[1]!b_anal_yield_cnbd(B213,$A$5)</f>
        <v>0</v>
      </c>
      <c r="H213" s="21">
        <f t="shared" ca="1" si="9"/>
        <v>484.99999999999994</v>
      </c>
      <c r="I213" s="21">
        <f ca="1">[1]!b_anal_yield_cnbd(B213,$A$7)</f>
        <v>0</v>
      </c>
      <c r="J213" s="21">
        <f t="shared" ca="1" si="10"/>
        <v>0</v>
      </c>
      <c r="K213" s="19" t="str">
        <f>[1]!s_info_Nature(B213)</f>
        <v>公众企业</v>
      </c>
      <c r="L213" s="19" t="str">
        <f>[1]!b_info_windl1type(B213)</f>
        <v>金融债</v>
      </c>
      <c r="M213" s="13">
        <f>[1]!b_info_couponrate(B213)</f>
        <v>3</v>
      </c>
      <c r="N213" s="14" t="str">
        <f>[1]!B_Info_ListedDate(B213)</f>
        <v>2016-08-30</v>
      </c>
      <c r="O213" s="14" t="str">
        <f>[1]!b_issue_firstissue(B213)</f>
        <v>2016-08-26</v>
      </c>
      <c r="P213" s="4">
        <f t="shared" ca="1" si="11"/>
        <v>42989</v>
      </c>
    </row>
    <row r="214" spans="2:16">
      <c r="B214" s="7">
        <v>101651045</v>
      </c>
      <c r="C214" s="7">
        <v>4.84</v>
      </c>
      <c r="D214" s="18" t="str">
        <f>[1]!b_info_name(B214)</f>
        <v>16华侨城MTN003</v>
      </c>
      <c r="E214" s="19" t="str">
        <f>[1]!b_info_latestissurercreditrating(B214)</f>
        <v>AAA</v>
      </c>
      <c r="F214" s="20">
        <f ca="1">[1]!b_anal_day(B214,$A$5)/365</f>
        <v>1.978082191780822</v>
      </c>
      <c r="G214" s="21">
        <f ca="1">[1]!b_anal_yield_cnbd(B214,$A$5)</f>
        <v>0</v>
      </c>
      <c r="H214" s="21">
        <f t="shared" ca="1" si="9"/>
        <v>484</v>
      </c>
      <c r="I214" s="21">
        <f ca="1">[1]!b_anal_yield_cnbd(B214,$A$7)</f>
        <v>0</v>
      </c>
      <c r="J214" s="21">
        <f t="shared" ca="1" si="10"/>
        <v>0</v>
      </c>
      <c r="K214" s="19" t="str">
        <f>[1]!s_info_Nature(B214)</f>
        <v>中央国有企业</v>
      </c>
      <c r="L214" s="19" t="str">
        <f>[1]!b_info_windl1type(B214)</f>
        <v>中期票据</v>
      </c>
      <c r="M214" s="13">
        <f>[1]!b_info_couponrate(B214)</f>
        <v>2.99</v>
      </c>
      <c r="N214" s="14" t="str">
        <f>[1]!B_Info_ListedDate(B214)</f>
        <v>2016-09-05</v>
      </c>
      <c r="O214" s="14" t="str">
        <f>[1]!b_issue_firstissue(B214)</f>
        <v>2016-09-01</v>
      </c>
      <c r="P214" s="4">
        <f t="shared" ca="1" si="11"/>
        <v>42989</v>
      </c>
    </row>
    <row r="215" spans="2:16">
      <c r="B215" s="7">
        <v>101651045</v>
      </c>
      <c r="C215" s="7">
        <v>4.84</v>
      </c>
      <c r="D215" s="18" t="str">
        <f>[1]!b_info_name(B215)</f>
        <v>16华侨城MTN003</v>
      </c>
      <c r="E215" s="19" t="str">
        <f>[1]!b_info_latestissurercreditrating(B215)</f>
        <v>AAA</v>
      </c>
      <c r="F215" s="20">
        <f ca="1">[1]!b_anal_day(B215,$A$5)/365</f>
        <v>1.978082191780822</v>
      </c>
      <c r="G215" s="21">
        <f ca="1">[1]!b_anal_yield_cnbd(B215,$A$5)</f>
        <v>0</v>
      </c>
      <c r="H215" s="21">
        <f t="shared" ca="1" si="9"/>
        <v>484</v>
      </c>
      <c r="I215" s="21">
        <f ca="1">[1]!b_anal_yield_cnbd(B215,$A$7)</f>
        <v>0</v>
      </c>
      <c r="J215" s="21">
        <f t="shared" ca="1" si="10"/>
        <v>0</v>
      </c>
      <c r="K215" s="19" t="str">
        <f>[1]!s_info_Nature(B215)</f>
        <v>中央国有企业</v>
      </c>
      <c r="L215" s="19" t="str">
        <f>[1]!b_info_windl1type(B215)</f>
        <v>中期票据</v>
      </c>
      <c r="M215" s="13">
        <f>[1]!b_info_couponrate(B215)</f>
        <v>2.99</v>
      </c>
      <c r="N215" s="14" t="str">
        <f>[1]!B_Info_ListedDate(B215)</f>
        <v>2016-09-05</v>
      </c>
      <c r="O215" s="14" t="str">
        <f>[1]!b_issue_firstissue(B215)</f>
        <v>2016-09-01</v>
      </c>
      <c r="P215" s="4">
        <f t="shared" ca="1" si="11"/>
        <v>42989</v>
      </c>
    </row>
    <row r="216" spans="2:16">
      <c r="B216" s="7">
        <v>101651045</v>
      </c>
      <c r="C216" s="7">
        <v>4.84</v>
      </c>
      <c r="D216" s="18" t="str">
        <f>[1]!b_info_name(B216)</f>
        <v>16华侨城MTN003</v>
      </c>
      <c r="E216" s="19" t="str">
        <f>[1]!b_info_latestissurercreditrating(B216)</f>
        <v>AAA</v>
      </c>
      <c r="F216" s="20">
        <f ca="1">[1]!b_anal_day(B216,$A$5)/365</f>
        <v>1.978082191780822</v>
      </c>
      <c r="G216" s="21">
        <f ca="1">[1]!b_anal_yield_cnbd(B216,$A$5)</f>
        <v>0</v>
      </c>
      <c r="H216" s="21">
        <f t="shared" ca="1" si="9"/>
        <v>484</v>
      </c>
      <c r="I216" s="21">
        <f ca="1">[1]!b_anal_yield_cnbd(B216,$A$7)</f>
        <v>0</v>
      </c>
      <c r="J216" s="21">
        <f t="shared" ca="1" si="10"/>
        <v>0</v>
      </c>
      <c r="K216" s="19" t="str">
        <f>[1]!s_info_Nature(B216)</f>
        <v>中央国有企业</v>
      </c>
      <c r="L216" s="19" t="str">
        <f>[1]!b_info_windl1type(B216)</f>
        <v>中期票据</v>
      </c>
      <c r="M216" s="13">
        <f>[1]!b_info_couponrate(B216)</f>
        <v>2.99</v>
      </c>
      <c r="N216" s="14" t="str">
        <f>[1]!B_Info_ListedDate(B216)</f>
        <v>2016-09-05</v>
      </c>
      <c r="O216" s="14" t="str">
        <f>[1]!b_issue_firstissue(B216)</f>
        <v>2016-09-01</v>
      </c>
      <c r="P216" s="4">
        <f t="shared" ca="1" si="11"/>
        <v>42989</v>
      </c>
    </row>
    <row r="217" spans="2:16">
      <c r="B217" s="7">
        <v>101753007</v>
      </c>
      <c r="C217" s="7">
        <v>4.84</v>
      </c>
      <c r="D217" s="18" t="str">
        <f>[1]!b_info_name(B217)</f>
        <v>17中电子MTN001</v>
      </c>
      <c r="E217" s="19" t="str">
        <f>[1]!b_info_latestissurercreditrating(B217)</f>
        <v>AAA</v>
      </c>
      <c r="F217" s="20">
        <f ca="1">[1]!b_anal_day(B217,$A$5)/365</f>
        <v>2.6109589041095891</v>
      </c>
      <c r="G217" s="21">
        <f ca="1">[1]!b_anal_yield_cnbd(B217,$A$5)</f>
        <v>0</v>
      </c>
      <c r="H217" s="21">
        <f t="shared" ca="1" si="9"/>
        <v>484</v>
      </c>
      <c r="I217" s="21">
        <f ca="1">[1]!b_anal_yield_cnbd(B217,$A$7)</f>
        <v>0</v>
      </c>
      <c r="J217" s="21">
        <f t="shared" ca="1" si="10"/>
        <v>0</v>
      </c>
      <c r="K217" s="19" t="str">
        <f>[1]!s_info_Nature(B217)</f>
        <v>中央国有企业</v>
      </c>
      <c r="L217" s="19" t="str">
        <f>[1]!b_info_windl1type(B217)</f>
        <v>中期票据</v>
      </c>
      <c r="M217" s="13">
        <f>[1]!b_info_couponrate(B217)</f>
        <v>4.8</v>
      </c>
      <c r="N217" s="14" t="str">
        <f>[1]!B_Info_ListedDate(B217)</f>
        <v>2017-04-21</v>
      </c>
      <c r="O217" s="14" t="str">
        <f>[1]!b_issue_firstissue(B217)</f>
        <v>2017-04-18</v>
      </c>
      <c r="P217" s="4">
        <f t="shared" ca="1" si="11"/>
        <v>42989</v>
      </c>
    </row>
    <row r="218" spans="2:16">
      <c r="B218" s="7">
        <v>101753007</v>
      </c>
      <c r="C218" s="7">
        <v>4.84</v>
      </c>
      <c r="D218" s="18" t="str">
        <f>[1]!b_info_name(B218)</f>
        <v>17中电子MTN001</v>
      </c>
      <c r="E218" s="19" t="str">
        <f>[1]!b_info_latestissurercreditrating(B218)</f>
        <v>AAA</v>
      </c>
      <c r="F218" s="20">
        <f ca="1">[1]!b_anal_day(B218,$A$5)/365</f>
        <v>2.6109589041095891</v>
      </c>
      <c r="G218" s="21">
        <f ca="1">[1]!b_anal_yield_cnbd(B218,$A$5)</f>
        <v>0</v>
      </c>
      <c r="H218" s="21">
        <f t="shared" ca="1" si="9"/>
        <v>484</v>
      </c>
      <c r="I218" s="21">
        <f ca="1">[1]!b_anal_yield_cnbd(B218,$A$7)</f>
        <v>0</v>
      </c>
      <c r="J218" s="21">
        <f t="shared" ca="1" si="10"/>
        <v>0</v>
      </c>
      <c r="K218" s="19" t="str">
        <f>[1]!s_info_Nature(B218)</f>
        <v>中央国有企业</v>
      </c>
      <c r="L218" s="19" t="str">
        <f>[1]!b_info_windl1type(B218)</f>
        <v>中期票据</v>
      </c>
      <c r="M218" s="13">
        <f>[1]!b_info_couponrate(B218)</f>
        <v>4.8</v>
      </c>
      <c r="N218" s="14" t="str">
        <f>[1]!B_Info_ListedDate(B218)</f>
        <v>2017-04-21</v>
      </c>
      <c r="O218" s="14" t="str">
        <f>[1]!b_issue_firstissue(B218)</f>
        <v>2017-04-18</v>
      </c>
      <c r="P218" s="4">
        <f t="shared" ca="1" si="11"/>
        <v>42989</v>
      </c>
    </row>
    <row r="219" spans="2:16">
      <c r="B219" s="7">
        <v>101753007</v>
      </c>
      <c r="C219" s="7">
        <v>4.84</v>
      </c>
      <c r="D219" s="18" t="str">
        <f>[1]!b_info_name(B219)</f>
        <v>17中电子MTN001</v>
      </c>
      <c r="E219" s="19" t="str">
        <f>[1]!b_info_latestissurercreditrating(B219)</f>
        <v>AAA</v>
      </c>
      <c r="F219" s="20">
        <f ca="1">[1]!b_anal_day(B219,$A$5)/365</f>
        <v>2.6109589041095891</v>
      </c>
      <c r="G219" s="21">
        <f ca="1">[1]!b_anal_yield_cnbd(B219,$A$5)</f>
        <v>0</v>
      </c>
      <c r="H219" s="21">
        <f t="shared" ca="1" si="9"/>
        <v>484</v>
      </c>
      <c r="I219" s="21">
        <f ca="1">[1]!b_anal_yield_cnbd(B219,$A$7)</f>
        <v>0</v>
      </c>
      <c r="J219" s="21">
        <f t="shared" ca="1" si="10"/>
        <v>0</v>
      </c>
      <c r="K219" s="19" t="str">
        <f>[1]!s_info_Nature(B219)</f>
        <v>中央国有企业</v>
      </c>
      <c r="L219" s="19" t="str">
        <f>[1]!b_info_windl1type(B219)</f>
        <v>中期票据</v>
      </c>
      <c r="M219" s="13">
        <f>[1]!b_info_couponrate(B219)</f>
        <v>4.8</v>
      </c>
      <c r="N219" s="14" t="str">
        <f>[1]!B_Info_ListedDate(B219)</f>
        <v>2017-04-21</v>
      </c>
      <c r="O219" s="14" t="str">
        <f>[1]!b_issue_firstissue(B219)</f>
        <v>2017-04-18</v>
      </c>
      <c r="P219" s="4">
        <f t="shared" ca="1" si="11"/>
        <v>42989</v>
      </c>
    </row>
    <row r="220" spans="2:16">
      <c r="B220" s="7">
        <v>101761002</v>
      </c>
      <c r="C220" s="7">
        <v>4.84</v>
      </c>
      <c r="D220" s="18" t="str">
        <f>[1]!b_info_name(B220)</f>
        <v>17光大集团MTN001</v>
      </c>
      <c r="E220" s="19" t="str">
        <f>[1]!b_info_latestissurercreditrating(B220)</f>
        <v>AAA</v>
      </c>
      <c r="F220" s="20">
        <f ca="1">[1]!b_anal_day(B220,$A$5)/365</f>
        <v>2.473972602739726</v>
      </c>
      <c r="G220" s="21">
        <f ca="1">[1]!b_anal_yield_cnbd(B220,$A$5)</f>
        <v>0</v>
      </c>
      <c r="H220" s="21">
        <f t="shared" ca="1" si="9"/>
        <v>484</v>
      </c>
      <c r="I220" s="21">
        <f ca="1">[1]!b_anal_yield_cnbd(B220,$A$7)</f>
        <v>0</v>
      </c>
      <c r="J220" s="21">
        <f t="shared" ca="1" si="10"/>
        <v>0</v>
      </c>
      <c r="K220" s="19" t="str">
        <f>[1]!s_info_Nature(B220)</f>
        <v>中央国有企业</v>
      </c>
      <c r="L220" s="19" t="str">
        <f>[1]!b_info_windl1type(B220)</f>
        <v>中期票据</v>
      </c>
      <c r="M220" s="13">
        <f>[1]!b_info_couponrate(B220)</f>
        <v>4.4000000000000004</v>
      </c>
      <c r="N220" s="14" t="str">
        <f>[1]!B_Info_ListedDate(B220)</f>
        <v>2017-03-02</v>
      </c>
      <c r="O220" s="14" t="str">
        <f>[1]!b_issue_firstissue(B220)</f>
        <v>2017-02-27</v>
      </c>
      <c r="P220" s="4">
        <f t="shared" ca="1" si="11"/>
        <v>42989</v>
      </c>
    </row>
    <row r="221" spans="2:16">
      <c r="B221" s="7">
        <v>101761002</v>
      </c>
      <c r="C221" s="7">
        <v>4.84</v>
      </c>
      <c r="D221" s="18" t="str">
        <f>[1]!b_info_name(B221)</f>
        <v>17光大集团MTN001</v>
      </c>
      <c r="E221" s="19" t="str">
        <f>[1]!b_info_latestissurercreditrating(B221)</f>
        <v>AAA</v>
      </c>
      <c r="F221" s="20">
        <f ca="1">[1]!b_anal_day(B221,$A$5)/365</f>
        <v>2.473972602739726</v>
      </c>
      <c r="G221" s="21">
        <f ca="1">[1]!b_anal_yield_cnbd(B221,$A$5)</f>
        <v>0</v>
      </c>
      <c r="H221" s="21">
        <f t="shared" ca="1" si="9"/>
        <v>484</v>
      </c>
      <c r="I221" s="21">
        <f ca="1">[1]!b_anal_yield_cnbd(B221,$A$7)</f>
        <v>0</v>
      </c>
      <c r="J221" s="21">
        <f t="shared" ca="1" si="10"/>
        <v>0</v>
      </c>
      <c r="K221" s="19" t="str">
        <f>[1]!s_info_Nature(B221)</f>
        <v>中央国有企业</v>
      </c>
      <c r="L221" s="19" t="str">
        <f>[1]!b_info_windl1type(B221)</f>
        <v>中期票据</v>
      </c>
      <c r="M221" s="13">
        <f>[1]!b_info_couponrate(B221)</f>
        <v>4.4000000000000004</v>
      </c>
      <c r="N221" s="14" t="str">
        <f>[1]!B_Info_ListedDate(B221)</f>
        <v>2017-03-02</v>
      </c>
      <c r="O221" s="14" t="str">
        <f>[1]!b_issue_firstissue(B221)</f>
        <v>2017-02-27</v>
      </c>
      <c r="P221" s="4">
        <f t="shared" ca="1" si="11"/>
        <v>42989</v>
      </c>
    </row>
    <row r="222" spans="2:16">
      <c r="B222" s="7">
        <v>101753007</v>
      </c>
      <c r="C222" s="7">
        <v>4.84</v>
      </c>
      <c r="D222" s="18" t="str">
        <f>[1]!b_info_name(B222)</f>
        <v>17中电子MTN001</v>
      </c>
      <c r="E222" s="19" t="str">
        <f>[1]!b_info_latestissurercreditrating(B222)</f>
        <v>AAA</v>
      </c>
      <c r="F222" s="20">
        <f ca="1">[1]!b_anal_day(B222,$A$5)/365</f>
        <v>2.6109589041095891</v>
      </c>
      <c r="G222" s="21">
        <f ca="1">[1]!b_anal_yield_cnbd(B222,$A$5)</f>
        <v>0</v>
      </c>
      <c r="H222" s="21">
        <f t="shared" ca="1" si="9"/>
        <v>484</v>
      </c>
      <c r="I222" s="21">
        <f ca="1">[1]!b_anal_yield_cnbd(B222,$A$7)</f>
        <v>0</v>
      </c>
      <c r="J222" s="21">
        <f t="shared" ca="1" si="10"/>
        <v>0</v>
      </c>
      <c r="K222" s="19" t="str">
        <f>[1]!s_info_Nature(B222)</f>
        <v>中央国有企业</v>
      </c>
      <c r="L222" s="19" t="str">
        <f>[1]!b_info_windl1type(B222)</f>
        <v>中期票据</v>
      </c>
      <c r="M222" s="13">
        <f>[1]!b_info_couponrate(B222)</f>
        <v>4.8</v>
      </c>
      <c r="N222" s="14" t="str">
        <f>[1]!B_Info_ListedDate(B222)</f>
        <v>2017-04-21</v>
      </c>
      <c r="O222" s="14" t="str">
        <f>[1]!b_issue_firstissue(B222)</f>
        <v>2017-04-18</v>
      </c>
      <c r="P222" s="4">
        <f t="shared" ca="1" si="11"/>
        <v>42989</v>
      </c>
    </row>
    <row r="223" spans="2:16">
      <c r="B223" s="7">
        <v>101658033</v>
      </c>
      <c r="C223" s="7">
        <v>4.83</v>
      </c>
      <c r="D223" s="18" t="str">
        <f>[1]!b_info_name(B223)</f>
        <v>16华侨城MTN002</v>
      </c>
      <c r="E223" s="19" t="str">
        <f>[1]!b_info_latestissurercreditrating(B223)</f>
        <v>AAA</v>
      </c>
      <c r="F223" s="20">
        <f ca="1">[1]!b_anal_day(B223,$A$5)/365</f>
        <v>1.8630136986301369</v>
      </c>
      <c r="G223" s="21">
        <f ca="1">[1]!b_anal_yield_cnbd(B223,$A$5)</f>
        <v>0</v>
      </c>
      <c r="H223" s="21">
        <f t="shared" ca="1" si="9"/>
        <v>483</v>
      </c>
      <c r="I223" s="21">
        <f ca="1">[1]!b_anal_yield_cnbd(B223,$A$7)</f>
        <v>0</v>
      </c>
      <c r="J223" s="21">
        <f t="shared" ca="1" si="10"/>
        <v>0</v>
      </c>
      <c r="K223" s="19" t="str">
        <f>[1]!s_info_Nature(B223)</f>
        <v>中央国有企业</v>
      </c>
      <c r="L223" s="19" t="str">
        <f>[1]!b_info_windl1type(B223)</f>
        <v>中期票据</v>
      </c>
      <c r="M223" s="13">
        <f>[1]!b_info_couponrate(B223)</f>
        <v>3</v>
      </c>
      <c r="N223" s="14" t="str">
        <f>[1]!B_Info_ListedDate(B223)</f>
        <v>2016-07-25</v>
      </c>
      <c r="O223" s="14" t="str">
        <f>[1]!b_issue_firstissue(B223)</f>
        <v>2016-07-20</v>
      </c>
      <c r="P223" s="4">
        <f t="shared" ca="1" si="11"/>
        <v>42989</v>
      </c>
    </row>
    <row r="224" spans="2:16">
      <c r="B224" s="7">
        <v>101658033</v>
      </c>
      <c r="C224" s="7">
        <v>4.83</v>
      </c>
      <c r="D224" s="18" t="str">
        <f>[1]!b_info_name(B224)</f>
        <v>16华侨城MTN002</v>
      </c>
      <c r="E224" s="19" t="str">
        <f>[1]!b_info_latestissurercreditrating(B224)</f>
        <v>AAA</v>
      </c>
      <c r="F224" s="20">
        <f ca="1">[1]!b_anal_day(B224,$A$5)/365</f>
        <v>1.8630136986301369</v>
      </c>
      <c r="G224" s="21">
        <f ca="1">[1]!b_anal_yield_cnbd(B224,$A$5)</f>
        <v>0</v>
      </c>
      <c r="H224" s="21">
        <f t="shared" ca="1" si="9"/>
        <v>483</v>
      </c>
      <c r="I224" s="21">
        <f ca="1">[1]!b_anal_yield_cnbd(B224,$A$7)</f>
        <v>0</v>
      </c>
      <c r="J224" s="21">
        <f t="shared" ca="1" si="10"/>
        <v>0</v>
      </c>
      <c r="K224" s="19" t="str">
        <f>[1]!s_info_Nature(B224)</f>
        <v>中央国有企业</v>
      </c>
      <c r="L224" s="19" t="str">
        <f>[1]!b_info_windl1type(B224)</f>
        <v>中期票据</v>
      </c>
      <c r="M224" s="13">
        <f>[1]!b_info_couponrate(B224)</f>
        <v>3</v>
      </c>
      <c r="N224" s="14" t="str">
        <f>[1]!B_Info_ListedDate(B224)</f>
        <v>2016-07-25</v>
      </c>
      <c r="O224" s="14" t="str">
        <f>[1]!b_issue_firstissue(B224)</f>
        <v>2016-07-20</v>
      </c>
      <c r="P224" s="4">
        <f t="shared" ca="1" si="11"/>
        <v>42989</v>
      </c>
    </row>
    <row r="225" spans="2:16">
      <c r="B225" s="7">
        <v>101658033</v>
      </c>
      <c r="C225" s="7">
        <v>4.83</v>
      </c>
      <c r="D225" s="18" t="str">
        <f>[1]!b_info_name(B225)</f>
        <v>16华侨城MTN002</v>
      </c>
      <c r="E225" s="19" t="str">
        <f>[1]!b_info_latestissurercreditrating(B225)</f>
        <v>AAA</v>
      </c>
      <c r="F225" s="20">
        <f ca="1">[1]!b_anal_day(B225,$A$5)/365</f>
        <v>1.8630136986301369</v>
      </c>
      <c r="G225" s="21">
        <f ca="1">[1]!b_anal_yield_cnbd(B225,$A$5)</f>
        <v>0</v>
      </c>
      <c r="H225" s="21">
        <f t="shared" ca="1" si="9"/>
        <v>483</v>
      </c>
      <c r="I225" s="21">
        <f ca="1">[1]!b_anal_yield_cnbd(B225,$A$7)</f>
        <v>0</v>
      </c>
      <c r="J225" s="21">
        <f t="shared" ca="1" si="10"/>
        <v>0</v>
      </c>
      <c r="K225" s="19" t="str">
        <f>[1]!s_info_Nature(B225)</f>
        <v>中央国有企业</v>
      </c>
      <c r="L225" s="19" t="str">
        <f>[1]!b_info_windl1type(B225)</f>
        <v>中期票据</v>
      </c>
      <c r="M225" s="13">
        <f>[1]!b_info_couponrate(B225)</f>
        <v>3</v>
      </c>
      <c r="N225" s="14" t="str">
        <f>[1]!B_Info_ListedDate(B225)</f>
        <v>2016-07-25</v>
      </c>
      <c r="O225" s="14" t="str">
        <f>[1]!b_issue_firstissue(B225)</f>
        <v>2016-07-20</v>
      </c>
      <c r="P225" s="4">
        <f t="shared" ca="1" si="11"/>
        <v>42989</v>
      </c>
    </row>
    <row r="226" spans="2:16">
      <c r="B226" s="7">
        <v>101454042</v>
      </c>
      <c r="C226" s="7">
        <v>4.83</v>
      </c>
      <c r="D226" s="18" t="str">
        <f>[1]!b_info_name(B226)</f>
        <v>14中金集MTN002</v>
      </c>
      <c r="E226" s="19" t="str">
        <f>[1]!b_info_latestissurercreditrating(B226)</f>
        <v>AAA</v>
      </c>
      <c r="F226" s="20">
        <f ca="1">[1]!b_anal_day(B226,$A$5)/365</f>
        <v>1.8712328767123287</v>
      </c>
      <c r="G226" s="21">
        <f ca="1">[1]!b_anal_yield_cnbd(B226,$A$5)</f>
        <v>0</v>
      </c>
      <c r="H226" s="21">
        <f t="shared" ca="1" si="9"/>
        <v>483</v>
      </c>
      <c r="I226" s="21">
        <f ca="1">[1]!b_anal_yield_cnbd(B226,$A$7)</f>
        <v>0</v>
      </c>
      <c r="J226" s="21">
        <f t="shared" ca="1" si="10"/>
        <v>0</v>
      </c>
      <c r="K226" s="19" t="str">
        <f>[1]!s_info_Nature(B226)</f>
        <v>中央国有企业</v>
      </c>
      <c r="L226" s="19" t="str">
        <f>[1]!b_info_windl1type(B226)</f>
        <v>中期票据</v>
      </c>
      <c r="M226" s="13">
        <f>[1]!b_info_couponrate(B226)</f>
        <v>5.4</v>
      </c>
      <c r="N226" s="14" t="str">
        <f>[1]!B_Info_ListedDate(B226)</f>
        <v>2014-07-28</v>
      </c>
      <c r="O226" s="14" t="str">
        <f>[1]!b_issue_firstissue(B226)</f>
        <v>2014-07-24</v>
      </c>
      <c r="P226" s="4">
        <f t="shared" ca="1" si="11"/>
        <v>42989</v>
      </c>
    </row>
    <row r="227" spans="2:16">
      <c r="B227" s="7">
        <v>101654061</v>
      </c>
      <c r="C227" s="7">
        <v>4.82</v>
      </c>
      <c r="D227" s="18" t="str">
        <f>[1]!b_info_name(B227)</f>
        <v>16中金集MTN001</v>
      </c>
      <c r="E227" s="19" t="str">
        <f>[1]!b_info_latestissurercreditrating(B227)</f>
        <v>AAA</v>
      </c>
      <c r="F227" s="20">
        <f ca="1">[1]!b_anal_day(B227,$A$5)/365</f>
        <v>1.8520547945205479</v>
      </c>
      <c r="G227" s="21">
        <f ca="1">[1]!b_anal_yield_cnbd(B227,$A$5)</f>
        <v>0</v>
      </c>
      <c r="H227" s="21">
        <f t="shared" ca="1" si="9"/>
        <v>482</v>
      </c>
      <c r="I227" s="21">
        <f ca="1">[1]!b_anal_yield_cnbd(B227,$A$7)</f>
        <v>0</v>
      </c>
      <c r="J227" s="21">
        <f t="shared" ca="1" si="10"/>
        <v>0</v>
      </c>
      <c r="K227" s="19" t="str">
        <f>[1]!s_info_Nature(B227)</f>
        <v>中央国有企业</v>
      </c>
      <c r="L227" s="19" t="str">
        <f>[1]!b_info_windl1type(B227)</f>
        <v>中期票据</v>
      </c>
      <c r="M227" s="13">
        <f>[1]!b_info_couponrate(B227)</f>
        <v>3.23</v>
      </c>
      <c r="N227" s="14" t="str">
        <f>[1]!B_Info_ListedDate(B227)</f>
        <v>2016-07-19</v>
      </c>
      <c r="O227" s="14" t="str">
        <f>[1]!b_issue_firstissue(B227)</f>
        <v>2016-07-15</v>
      </c>
      <c r="P227" s="4">
        <f t="shared" ca="1" si="11"/>
        <v>42989</v>
      </c>
    </row>
    <row r="228" spans="2:16">
      <c r="B228" s="7">
        <v>1282531</v>
      </c>
      <c r="C228" s="7">
        <v>4.8099999999999996</v>
      </c>
      <c r="D228" s="18" t="str">
        <f>[1]!b_info_name(B228)</f>
        <v>12乌城投MTN1</v>
      </c>
      <c r="E228" s="19" t="str">
        <f>[1]!b_info_latestissurercreditrating(B228)</f>
        <v>AAA</v>
      </c>
      <c r="F228" s="20">
        <f ca="1">[1]!b_anal_day(B228,$A$5)/365</f>
        <v>0.24931506849315069</v>
      </c>
      <c r="G228" s="21">
        <f ca="1">[1]!b_anal_yield_cnbd(B228,$A$5)</f>
        <v>0</v>
      </c>
      <c r="H228" s="21">
        <f t="shared" ca="1" si="9"/>
        <v>480.99999999999994</v>
      </c>
      <c r="I228" s="21">
        <f ca="1">[1]!b_anal_yield_cnbd(B228,$A$7)</f>
        <v>0</v>
      </c>
      <c r="J228" s="21">
        <f t="shared" ca="1" si="10"/>
        <v>0</v>
      </c>
      <c r="K228" s="19" t="str">
        <f>[1]!s_info_Nature(B228)</f>
        <v>地方国有企业</v>
      </c>
      <c r="L228" s="19" t="str">
        <f>[1]!b_info_windl1type(B228)</f>
        <v>中期票据</v>
      </c>
      <c r="M228" s="13">
        <f>[1]!b_info_couponrate(B228)</f>
        <v>6.4</v>
      </c>
      <c r="N228" s="14" t="str">
        <f>[1]!B_Info_ListedDate(B228)</f>
        <v>2012-12-11</v>
      </c>
      <c r="O228" s="14" t="str">
        <f>[1]!b_issue_firstissue(B228)</f>
        <v>2012-12-07</v>
      </c>
      <c r="P228" s="4">
        <f t="shared" ca="1" si="11"/>
        <v>42989</v>
      </c>
    </row>
    <row r="229" spans="2:16">
      <c r="B229" s="7">
        <v>101660049</v>
      </c>
      <c r="C229" s="7">
        <v>4.8099999999999996</v>
      </c>
      <c r="D229" s="18" t="str">
        <f>[1]!b_info_name(B229)</f>
        <v>16赣高速MTN003</v>
      </c>
      <c r="E229" s="19" t="str">
        <f>[1]!b_info_latestissurercreditrating(B229)</f>
        <v>AAA</v>
      </c>
      <c r="F229" s="20">
        <f ca="1">[1]!b_anal_day(B229,$A$5)/365</f>
        <v>1.7643835616438357</v>
      </c>
      <c r="G229" s="21">
        <f ca="1">[1]!b_anal_yield_cnbd(B229,$A$5)</f>
        <v>0</v>
      </c>
      <c r="H229" s="21">
        <f t="shared" ca="1" si="9"/>
        <v>480.99999999999994</v>
      </c>
      <c r="I229" s="21">
        <f ca="1">[1]!b_anal_yield_cnbd(B229,$A$7)</f>
        <v>0</v>
      </c>
      <c r="J229" s="21">
        <f t="shared" ca="1" si="10"/>
        <v>0</v>
      </c>
      <c r="K229" s="19" t="str">
        <f>[1]!s_info_Nature(B229)</f>
        <v>地方国有企业</v>
      </c>
      <c r="L229" s="19" t="str">
        <f>[1]!b_info_windl1type(B229)</f>
        <v>中期票据</v>
      </c>
      <c r="M229" s="13">
        <f>[1]!b_info_couponrate(B229)</f>
        <v>3.32</v>
      </c>
      <c r="N229" s="14" t="str">
        <f>[1]!B_Info_ListedDate(B229)</f>
        <v>2016-06-17</v>
      </c>
      <c r="O229" s="14" t="str">
        <f>[1]!b_issue_firstissue(B229)</f>
        <v>2016-06-14</v>
      </c>
      <c r="P229" s="4">
        <f t="shared" ca="1" si="11"/>
        <v>42989</v>
      </c>
    </row>
    <row r="230" spans="2:16">
      <c r="B230" s="7">
        <v>101453025</v>
      </c>
      <c r="C230" s="7">
        <v>4.8099999999999996</v>
      </c>
      <c r="D230" s="18" t="str">
        <f>[1]!b_info_name(B230)</f>
        <v>14京国资MTN002</v>
      </c>
      <c r="E230" s="19" t="str">
        <f>[1]!b_info_latestissurercreditrating(B230)</f>
        <v>AAA</v>
      </c>
      <c r="F230" s="20">
        <f ca="1">[1]!b_anal_day(B230,$A$5)/365</f>
        <v>2.0986301369863014</v>
      </c>
      <c r="G230" s="21">
        <f ca="1">[1]!b_anal_yield_cnbd(B230,$A$5)</f>
        <v>0</v>
      </c>
      <c r="H230" s="21">
        <f t="shared" ca="1" si="9"/>
        <v>480.99999999999994</v>
      </c>
      <c r="I230" s="21">
        <f ca="1">[1]!b_anal_yield_cnbd(B230,$A$7)</f>
        <v>0</v>
      </c>
      <c r="J230" s="21">
        <f t="shared" ca="1" si="10"/>
        <v>0</v>
      </c>
      <c r="K230" s="19" t="str">
        <f>[1]!s_info_Nature(B230)</f>
        <v>地方国有企业</v>
      </c>
      <c r="L230" s="19" t="str">
        <f>[1]!b_info_windl1type(B230)</f>
        <v>中期票据</v>
      </c>
      <c r="M230" s="13">
        <f>[1]!b_info_couponrate(B230)</f>
        <v>5.0999999999999996</v>
      </c>
      <c r="N230" s="14" t="str">
        <f>[1]!B_Info_ListedDate(B230)</f>
        <v>2014-10-17</v>
      </c>
      <c r="O230" s="14" t="str">
        <f>[1]!b_issue_firstissue(B230)</f>
        <v>2014-10-14</v>
      </c>
      <c r="P230" s="4">
        <f t="shared" ca="1" si="11"/>
        <v>42989</v>
      </c>
    </row>
    <row r="231" spans="2:16">
      <c r="B231" s="7">
        <v>101453025</v>
      </c>
      <c r="C231" s="7">
        <v>4.8099999999999996</v>
      </c>
      <c r="D231" s="18" t="str">
        <f>[1]!b_info_name(B231)</f>
        <v>14京国资MTN002</v>
      </c>
      <c r="E231" s="19" t="str">
        <f>[1]!b_info_latestissurercreditrating(B231)</f>
        <v>AAA</v>
      </c>
      <c r="F231" s="20">
        <f ca="1">[1]!b_anal_day(B231,$A$5)/365</f>
        <v>2.0986301369863014</v>
      </c>
      <c r="G231" s="21">
        <f ca="1">[1]!b_anal_yield_cnbd(B231,$A$5)</f>
        <v>0</v>
      </c>
      <c r="H231" s="21">
        <f t="shared" ca="1" si="9"/>
        <v>480.99999999999994</v>
      </c>
      <c r="I231" s="21">
        <f ca="1">[1]!b_anal_yield_cnbd(B231,$A$7)</f>
        <v>0</v>
      </c>
      <c r="J231" s="21">
        <f t="shared" ca="1" si="10"/>
        <v>0</v>
      </c>
      <c r="K231" s="19" t="str">
        <f>[1]!s_info_Nature(B231)</f>
        <v>地方国有企业</v>
      </c>
      <c r="L231" s="19" t="str">
        <f>[1]!b_info_windl1type(B231)</f>
        <v>中期票据</v>
      </c>
      <c r="M231" s="13">
        <f>[1]!b_info_couponrate(B231)</f>
        <v>5.0999999999999996</v>
      </c>
      <c r="N231" s="14" t="str">
        <f>[1]!B_Info_ListedDate(B231)</f>
        <v>2014-10-17</v>
      </c>
      <c r="O231" s="14" t="str">
        <f>[1]!b_issue_firstissue(B231)</f>
        <v>2014-10-14</v>
      </c>
      <c r="P231" s="4">
        <f t="shared" ca="1" si="11"/>
        <v>42989</v>
      </c>
    </row>
    <row r="232" spans="2:16">
      <c r="B232" s="7">
        <v>111682420</v>
      </c>
      <c r="C232" s="7">
        <v>4.8099999999999996</v>
      </c>
      <c r="D232" s="18" t="str">
        <f>[1]!b_info_name(B232)</f>
        <v>16包商银行CD088</v>
      </c>
      <c r="E232" s="19" t="str">
        <f>[1]!b_info_latestissurercreditrating(B232)</f>
        <v>AA+</v>
      </c>
      <c r="F232" s="20">
        <f ca="1">[1]!b_anal_day(B232,$A$5)/365</f>
        <v>0.28219178082191781</v>
      </c>
      <c r="G232" s="21">
        <f ca="1">[1]!b_anal_yield_cnbd(B232,$A$5)</f>
        <v>0</v>
      </c>
      <c r="H232" s="21">
        <f t="shared" ca="1" si="9"/>
        <v>480.99999999999994</v>
      </c>
      <c r="I232" s="21">
        <f ca="1">[1]!b_anal_yield_cnbd(B232,$A$7)</f>
        <v>0</v>
      </c>
      <c r="J232" s="21">
        <f t="shared" ca="1" si="10"/>
        <v>0</v>
      </c>
      <c r="K232" s="19" t="str">
        <f>[1]!s_info_Nature(B232)</f>
        <v>地方国有企业</v>
      </c>
      <c r="L232" s="19" t="str">
        <f>[1]!b_info_windl1type(B232)</f>
        <v>同业存单</v>
      </c>
      <c r="M232" s="13">
        <f>[1]!b_info_couponrate(B232)</f>
        <v>5</v>
      </c>
      <c r="N232" s="14" t="str">
        <f>[1]!B_Info_ListedDate(B232)</f>
        <v>2016-12-22</v>
      </c>
      <c r="O232" s="14" t="str">
        <f>[1]!b_issue_firstissue(B232)</f>
        <v>2016-12-21</v>
      </c>
      <c r="P232" s="4">
        <f t="shared" ca="1" si="11"/>
        <v>42989</v>
      </c>
    </row>
    <row r="233" spans="2:16">
      <c r="B233" s="7">
        <v>101453025</v>
      </c>
      <c r="C233" s="7">
        <v>4.8099999999999996</v>
      </c>
      <c r="D233" s="18" t="str">
        <f>[1]!b_info_name(B233)</f>
        <v>14京国资MTN002</v>
      </c>
      <c r="E233" s="19" t="str">
        <f>[1]!b_info_latestissurercreditrating(B233)</f>
        <v>AAA</v>
      </c>
      <c r="F233" s="20">
        <f ca="1">[1]!b_anal_day(B233,$A$5)/365</f>
        <v>2.0986301369863014</v>
      </c>
      <c r="G233" s="21">
        <f ca="1">[1]!b_anal_yield_cnbd(B233,$A$5)</f>
        <v>0</v>
      </c>
      <c r="H233" s="21">
        <f t="shared" ca="1" si="9"/>
        <v>480.99999999999994</v>
      </c>
      <c r="I233" s="21">
        <f ca="1">[1]!b_anal_yield_cnbd(B233,$A$7)</f>
        <v>0</v>
      </c>
      <c r="J233" s="21">
        <f t="shared" ca="1" si="10"/>
        <v>0</v>
      </c>
      <c r="K233" s="19" t="str">
        <f>[1]!s_info_Nature(B233)</f>
        <v>地方国有企业</v>
      </c>
      <c r="L233" s="19" t="str">
        <f>[1]!b_info_windl1type(B233)</f>
        <v>中期票据</v>
      </c>
      <c r="M233" s="13">
        <f>[1]!b_info_couponrate(B233)</f>
        <v>5.0999999999999996</v>
      </c>
      <c r="N233" s="14" t="str">
        <f>[1]!B_Info_ListedDate(B233)</f>
        <v>2014-10-17</v>
      </c>
      <c r="O233" s="14" t="str">
        <f>[1]!b_issue_firstissue(B233)</f>
        <v>2014-10-14</v>
      </c>
      <c r="P233" s="4">
        <f t="shared" ca="1" si="11"/>
        <v>42989</v>
      </c>
    </row>
    <row r="234" spans="2:16">
      <c r="B234" s="7">
        <v>101660049</v>
      </c>
      <c r="C234" s="7">
        <v>4.8099999999999996</v>
      </c>
      <c r="D234" s="18" t="str">
        <f>[1]!b_info_name(B234)</f>
        <v>16赣高速MTN003</v>
      </c>
      <c r="E234" s="19" t="str">
        <f>[1]!b_info_latestissurercreditrating(B234)</f>
        <v>AAA</v>
      </c>
      <c r="F234" s="20">
        <f ca="1">[1]!b_anal_day(B234,$A$5)/365</f>
        <v>1.7643835616438357</v>
      </c>
      <c r="G234" s="21">
        <f ca="1">[1]!b_anal_yield_cnbd(B234,$A$5)</f>
        <v>0</v>
      </c>
      <c r="H234" s="21">
        <f t="shared" ca="1" si="9"/>
        <v>480.99999999999994</v>
      </c>
      <c r="I234" s="21">
        <f ca="1">[1]!b_anal_yield_cnbd(B234,$A$7)</f>
        <v>0</v>
      </c>
      <c r="J234" s="21">
        <f t="shared" ca="1" si="10"/>
        <v>0</v>
      </c>
      <c r="K234" s="19" t="str">
        <f>[1]!s_info_Nature(B234)</f>
        <v>地方国有企业</v>
      </c>
      <c r="L234" s="19" t="str">
        <f>[1]!b_info_windl1type(B234)</f>
        <v>中期票据</v>
      </c>
      <c r="M234" s="13">
        <f>[1]!b_info_couponrate(B234)</f>
        <v>3.32</v>
      </c>
      <c r="N234" s="14" t="str">
        <f>[1]!B_Info_ListedDate(B234)</f>
        <v>2016-06-17</v>
      </c>
      <c r="O234" s="14" t="str">
        <f>[1]!b_issue_firstissue(B234)</f>
        <v>2016-06-14</v>
      </c>
      <c r="P234" s="4">
        <f t="shared" ca="1" si="11"/>
        <v>42989</v>
      </c>
    </row>
    <row r="235" spans="2:16">
      <c r="B235" s="7">
        <v>101660049</v>
      </c>
      <c r="C235" s="7">
        <v>4.8099999999999996</v>
      </c>
      <c r="D235" s="18" t="str">
        <f>[1]!b_info_name(B235)</f>
        <v>16赣高速MTN003</v>
      </c>
      <c r="E235" s="19" t="str">
        <f>[1]!b_info_latestissurercreditrating(B235)</f>
        <v>AAA</v>
      </c>
      <c r="F235" s="20">
        <f ca="1">[1]!b_anal_day(B235,$A$5)/365</f>
        <v>1.7643835616438357</v>
      </c>
      <c r="G235" s="21">
        <f ca="1">[1]!b_anal_yield_cnbd(B235,$A$5)</f>
        <v>0</v>
      </c>
      <c r="H235" s="21">
        <f t="shared" ca="1" si="9"/>
        <v>480.99999999999994</v>
      </c>
      <c r="I235" s="21">
        <f ca="1">[1]!b_anal_yield_cnbd(B235,$A$7)</f>
        <v>0</v>
      </c>
      <c r="J235" s="21">
        <f t="shared" ca="1" si="10"/>
        <v>0</v>
      </c>
      <c r="K235" s="19" t="str">
        <f>[1]!s_info_Nature(B235)</f>
        <v>地方国有企业</v>
      </c>
      <c r="L235" s="19" t="str">
        <f>[1]!b_info_windl1type(B235)</f>
        <v>中期票据</v>
      </c>
      <c r="M235" s="13">
        <f>[1]!b_info_couponrate(B235)</f>
        <v>3.32</v>
      </c>
      <c r="N235" s="14" t="str">
        <f>[1]!B_Info_ListedDate(B235)</f>
        <v>2016-06-17</v>
      </c>
      <c r="O235" s="14" t="str">
        <f>[1]!b_issue_firstissue(B235)</f>
        <v>2016-06-14</v>
      </c>
      <c r="P235" s="4">
        <f t="shared" ca="1" si="11"/>
        <v>42989</v>
      </c>
    </row>
    <row r="236" spans="2:16">
      <c r="B236" s="7">
        <v>41654048</v>
      </c>
      <c r="C236" s="7">
        <v>4.8</v>
      </c>
      <c r="D236" s="18" t="str">
        <f>[1]!b_info_name(B236)</f>
        <v>16河北发电CP001</v>
      </c>
      <c r="E236" s="19" t="str">
        <f>[1]!b_info_latestissurercreditrating(B236)</f>
        <v>AA</v>
      </c>
      <c r="F236" s="20">
        <f ca="1">[1]!b_anal_day(B236,$A$5)/365</f>
        <v>0</v>
      </c>
      <c r="G236" s="21">
        <f ca="1">[1]!b_anal_yield_cnbd(B236,$A$5)</f>
        <v>0</v>
      </c>
      <c r="H236" s="21">
        <f t="shared" ca="1" si="9"/>
        <v>480</v>
      </c>
      <c r="I236" s="21">
        <f ca="1">[1]!b_anal_yield_cnbd(B236,$A$7)</f>
        <v>0</v>
      </c>
      <c r="J236" s="21">
        <f t="shared" ca="1" si="10"/>
        <v>0</v>
      </c>
      <c r="K236" s="19" t="str">
        <f>[1]!s_info_Nature(B236)</f>
        <v>中央国有企业</v>
      </c>
      <c r="L236" s="19" t="str">
        <f>[1]!b_info_windl1type(B236)</f>
        <v>短期融资券</v>
      </c>
      <c r="M236" s="13">
        <f>[1]!b_info_couponrate(B236)</f>
        <v>3.07</v>
      </c>
      <c r="N236" s="14" t="str">
        <f>[1]!B_Info_ListedDate(B236)</f>
        <v>2016-07-28</v>
      </c>
      <c r="O236" s="14" t="str">
        <f>[1]!b_issue_firstissue(B236)</f>
        <v>2016-07-26</v>
      </c>
      <c r="P236" s="4">
        <f t="shared" ca="1" si="11"/>
        <v>42989</v>
      </c>
    </row>
    <row r="237" spans="2:16">
      <c r="B237" s="7">
        <v>41654048</v>
      </c>
      <c r="C237" s="7">
        <v>4.8</v>
      </c>
      <c r="D237" s="18" t="str">
        <f>[1]!b_info_name(B237)</f>
        <v>16河北发电CP001</v>
      </c>
      <c r="E237" s="19" t="str">
        <f>[1]!b_info_latestissurercreditrating(B237)</f>
        <v>AA</v>
      </c>
      <c r="F237" s="20">
        <f ca="1">[1]!b_anal_day(B237,$A$5)/365</f>
        <v>0</v>
      </c>
      <c r="G237" s="21">
        <f ca="1">[1]!b_anal_yield_cnbd(B237,$A$5)</f>
        <v>0</v>
      </c>
      <c r="H237" s="21">
        <f t="shared" ca="1" si="9"/>
        <v>480</v>
      </c>
      <c r="I237" s="21">
        <f ca="1">[1]!b_anal_yield_cnbd(B237,$A$7)</f>
        <v>0</v>
      </c>
      <c r="J237" s="21">
        <f t="shared" ca="1" si="10"/>
        <v>0</v>
      </c>
      <c r="K237" s="19" t="str">
        <f>[1]!s_info_Nature(B237)</f>
        <v>中央国有企业</v>
      </c>
      <c r="L237" s="19" t="str">
        <f>[1]!b_info_windl1type(B237)</f>
        <v>短期融资券</v>
      </c>
      <c r="M237" s="13">
        <f>[1]!b_info_couponrate(B237)</f>
        <v>3.07</v>
      </c>
      <c r="N237" s="14" t="str">
        <f>[1]!B_Info_ListedDate(B237)</f>
        <v>2016-07-28</v>
      </c>
      <c r="O237" s="14" t="str">
        <f>[1]!b_issue_firstissue(B237)</f>
        <v>2016-07-26</v>
      </c>
      <c r="P237" s="4">
        <f t="shared" ca="1" si="11"/>
        <v>42989</v>
      </c>
    </row>
    <row r="238" spans="2:16">
      <c r="B238" s="7">
        <v>41654048</v>
      </c>
      <c r="C238" s="7">
        <v>4.8</v>
      </c>
      <c r="D238" s="18" t="str">
        <f>[1]!b_info_name(B238)</f>
        <v>16河北发电CP001</v>
      </c>
      <c r="E238" s="19" t="str">
        <f>[1]!b_info_latestissurercreditrating(B238)</f>
        <v>AA</v>
      </c>
      <c r="F238" s="20">
        <f ca="1">[1]!b_anal_day(B238,$A$5)/365</f>
        <v>0</v>
      </c>
      <c r="G238" s="21">
        <f ca="1">[1]!b_anal_yield_cnbd(B238,$A$5)</f>
        <v>0</v>
      </c>
      <c r="H238" s="21">
        <f t="shared" ca="1" si="9"/>
        <v>480</v>
      </c>
      <c r="I238" s="21">
        <f ca="1">[1]!b_anal_yield_cnbd(B238,$A$7)</f>
        <v>0</v>
      </c>
      <c r="J238" s="21">
        <f t="shared" ca="1" si="10"/>
        <v>0</v>
      </c>
      <c r="K238" s="19" t="str">
        <f>[1]!s_info_Nature(B238)</f>
        <v>中央国有企业</v>
      </c>
      <c r="L238" s="19" t="str">
        <f>[1]!b_info_windl1type(B238)</f>
        <v>短期融资券</v>
      </c>
      <c r="M238" s="13">
        <f>[1]!b_info_couponrate(B238)</f>
        <v>3.07</v>
      </c>
      <c r="N238" s="14" t="str">
        <f>[1]!B_Info_ListedDate(B238)</f>
        <v>2016-07-28</v>
      </c>
      <c r="O238" s="14" t="str">
        <f>[1]!b_issue_firstissue(B238)</f>
        <v>2016-07-26</v>
      </c>
      <c r="P238" s="4">
        <f t="shared" ca="1" si="11"/>
        <v>42989</v>
      </c>
    </row>
    <row r="239" spans="2:16">
      <c r="B239" s="7">
        <v>1382026</v>
      </c>
      <c r="C239" s="7">
        <v>4.8</v>
      </c>
      <c r="D239" s="18" t="str">
        <f>[1]!b_info_name(B239)</f>
        <v>13广水务MTN1</v>
      </c>
      <c r="E239" s="19" t="str">
        <f>[1]!b_info_latestissurercreditrating(B239)</f>
        <v>AAA</v>
      </c>
      <c r="F239" s="20">
        <f ca="1">[1]!b_anal_day(B239,$A$5)/365</f>
        <v>0.36438356164383562</v>
      </c>
      <c r="G239" s="21">
        <f ca="1">[1]!b_anal_yield_cnbd(B239,$A$5)</f>
        <v>0</v>
      </c>
      <c r="H239" s="21">
        <f t="shared" ca="1" si="9"/>
        <v>480</v>
      </c>
      <c r="I239" s="21">
        <f ca="1">[1]!b_anal_yield_cnbd(B239,$A$7)</f>
        <v>0</v>
      </c>
      <c r="J239" s="21">
        <f t="shared" ca="1" si="10"/>
        <v>0</v>
      </c>
      <c r="K239" s="19" t="str">
        <f>[1]!s_info_Nature(B239)</f>
        <v>地方国有企业</v>
      </c>
      <c r="L239" s="19" t="str">
        <f>[1]!b_info_windl1type(B239)</f>
        <v>中期票据</v>
      </c>
      <c r="M239" s="13">
        <f>[1]!b_info_couponrate(B239)</f>
        <v>5.4</v>
      </c>
      <c r="N239" s="14" t="str">
        <f>[1]!B_Info_ListedDate(B239)</f>
        <v>2013-01-22</v>
      </c>
      <c r="O239" s="14" t="str">
        <f>[1]!b_issue_firstissue(B239)</f>
        <v>2013-01-18</v>
      </c>
      <c r="P239" s="4">
        <f t="shared" ca="1" si="11"/>
        <v>42989</v>
      </c>
    </row>
    <row r="240" spans="2:16">
      <c r="B240" s="7">
        <v>1080075</v>
      </c>
      <c r="C240" s="7">
        <v>4.8</v>
      </c>
      <c r="D240" s="18" t="str">
        <f>[1]!b_info_name(B240)</f>
        <v>10饶城投债</v>
      </c>
      <c r="E240" s="19" t="str">
        <f>[1]!b_info_latestissurercreditrating(B240)</f>
        <v>AA+</v>
      </c>
      <c r="F240" s="20">
        <f ca="1">[1]!b_anal_day(B240,$A$5)/365</f>
        <v>0</v>
      </c>
      <c r="G240" s="21">
        <f ca="1">[1]!b_anal_yield_cnbd(B240,$A$5)</f>
        <v>0</v>
      </c>
      <c r="H240" s="21">
        <f t="shared" ca="1" si="9"/>
        <v>480</v>
      </c>
      <c r="I240" s="21">
        <f ca="1">[1]!b_anal_yield_cnbd(B240,$A$7)</f>
        <v>0</v>
      </c>
      <c r="J240" s="21">
        <f t="shared" ca="1" si="10"/>
        <v>0</v>
      </c>
      <c r="K240" s="19" t="str">
        <f>[1]!s_info_Nature(B240)</f>
        <v>地方国有企业</v>
      </c>
      <c r="L240" s="19" t="str">
        <f>[1]!b_info_windl1type(B240)</f>
        <v>企业债</v>
      </c>
      <c r="M240" s="13">
        <f>[1]!b_info_couponrate(B240)</f>
        <v>6.06</v>
      </c>
      <c r="N240" s="14" t="str">
        <f>[1]!B_Info_ListedDate(B240)</f>
        <v>2010-07-22</v>
      </c>
      <c r="O240" s="14" t="str">
        <f>[1]!b_issue_firstissue(B240)</f>
        <v>2010-07-15</v>
      </c>
      <c r="P240" s="4">
        <f t="shared" ca="1" si="11"/>
        <v>42989</v>
      </c>
    </row>
    <row r="241" spans="2:16">
      <c r="B241" s="7">
        <v>11752021</v>
      </c>
      <c r="C241" s="7">
        <v>4.8</v>
      </c>
      <c r="D241" s="18" t="str">
        <f>[1]!b_info_name(B241)</f>
        <v>17珠海华发SCP001</v>
      </c>
      <c r="E241" s="19" t="str">
        <f>[1]!b_info_latestissurercreditrating(B241)</f>
        <v>AA+</v>
      </c>
      <c r="F241" s="20">
        <f ca="1">[1]!b_anal_day(B241,$A$5)/365</f>
        <v>0.25205479452054796</v>
      </c>
      <c r="G241" s="21">
        <f ca="1">[1]!b_anal_yield_cnbd(B241,$A$5)</f>
        <v>0</v>
      </c>
      <c r="H241" s="21">
        <f t="shared" ca="1" si="9"/>
        <v>480</v>
      </c>
      <c r="I241" s="21">
        <f ca="1">[1]!b_anal_yield_cnbd(B241,$A$7)</f>
        <v>0</v>
      </c>
      <c r="J241" s="21">
        <f t="shared" ca="1" si="10"/>
        <v>0</v>
      </c>
      <c r="K241" s="19" t="str">
        <f>[1]!s_info_Nature(B241)</f>
        <v>地方国有企业</v>
      </c>
      <c r="L241" s="19" t="str">
        <f>[1]!b_info_windl1type(B241)</f>
        <v>短期融资券</v>
      </c>
      <c r="M241" s="13">
        <f>[1]!b_info_couponrate(B241)</f>
        <v>4.7</v>
      </c>
      <c r="N241" s="14" t="str">
        <f>[1]!B_Info_ListedDate(B241)</f>
        <v>2017-03-17</v>
      </c>
      <c r="O241" s="14" t="str">
        <f>[1]!b_issue_firstissue(B241)</f>
        <v>2017-03-15</v>
      </c>
      <c r="P241" s="4">
        <f t="shared" ca="1" si="11"/>
        <v>42989</v>
      </c>
    </row>
    <row r="242" spans="2:16">
      <c r="B242" s="7">
        <v>11752021</v>
      </c>
      <c r="C242" s="7">
        <v>4.8</v>
      </c>
      <c r="D242" s="18" t="str">
        <f>[1]!b_info_name(B242)</f>
        <v>17珠海华发SCP001</v>
      </c>
      <c r="E242" s="19" t="str">
        <f>[1]!b_info_latestissurercreditrating(B242)</f>
        <v>AA+</v>
      </c>
      <c r="F242" s="20">
        <f ca="1">[1]!b_anal_day(B242,$A$5)/365</f>
        <v>0.25205479452054796</v>
      </c>
      <c r="G242" s="21">
        <f ca="1">[1]!b_anal_yield_cnbd(B242,$A$5)</f>
        <v>0</v>
      </c>
      <c r="H242" s="21">
        <f t="shared" ca="1" si="9"/>
        <v>480</v>
      </c>
      <c r="I242" s="21">
        <f ca="1">[1]!b_anal_yield_cnbd(B242,$A$7)</f>
        <v>0</v>
      </c>
      <c r="J242" s="21">
        <f t="shared" ca="1" si="10"/>
        <v>0</v>
      </c>
      <c r="K242" s="19" t="str">
        <f>[1]!s_info_Nature(B242)</f>
        <v>地方国有企业</v>
      </c>
      <c r="L242" s="19" t="str">
        <f>[1]!b_info_windl1type(B242)</f>
        <v>短期融资券</v>
      </c>
      <c r="M242" s="13">
        <f>[1]!b_info_couponrate(B242)</f>
        <v>4.7</v>
      </c>
      <c r="N242" s="14" t="str">
        <f>[1]!B_Info_ListedDate(B242)</f>
        <v>2017-03-17</v>
      </c>
      <c r="O242" s="14" t="str">
        <f>[1]!b_issue_firstissue(B242)</f>
        <v>2017-03-15</v>
      </c>
      <c r="P242" s="4">
        <f t="shared" ca="1" si="11"/>
        <v>42989</v>
      </c>
    </row>
    <row r="243" spans="2:16">
      <c r="B243" s="7">
        <v>11754048</v>
      </c>
      <c r="C243" s="7">
        <v>4.8</v>
      </c>
      <c r="D243" s="18" t="str">
        <f>[1]!b_info_name(B243)</f>
        <v>17珠海华发SCP002</v>
      </c>
      <c r="E243" s="19" t="str">
        <f>[1]!b_info_latestissurercreditrating(B243)</f>
        <v>AA+</v>
      </c>
      <c r="F243" s="20">
        <f ca="1">[1]!b_anal_day(B243,$A$5)/365</f>
        <v>0.26301369863013696</v>
      </c>
      <c r="G243" s="21">
        <f ca="1">[1]!b_anal_yield_cnbd(B243,$A$5)</f>
        <v>0</v>
      </c>
      <c r="H243" s="21">
        <f t="shared" ca="1" si="9"/>
        <v>480</v>
      </c>
      <c r="I243" s="21">
        <f ca="1">[1]!b_anal_yield_cnbd(B243,$A$7)</f>
        <v>0</v>
      </c>
      <c r="J243" s="21">
        <f t="shared" ca="1" si="10"/>
        <v>0</v>
      </c>
      <c r="K243" s="19" t="str">
        <f>[1]!s_info_Nature(B243)</f>
        <v>地方国有企业</v>
      </c>
      <c r="L243" s="19" t="str">
        <f>[1]!b_info_windl1type(B243)</f>
        <v>短期融资券</v>
      </c>
      <c r="M243" s="13">
        <f>[1]!b_info_couponrate(B243)</f>
        <v>4.76</v>
      </c>
      <c r="N243" s="14" t="str">
        <f>[1]!B_Info_ListedDate(B243)</f>
        <v>2017-03-21</v>
      </c>
      <c r="O243" s="14" t="str">
        <f>[1]!b_issue_firstissue(B243)</f>
        <v>2017-03-17</v>
      </c>
      <c r="P243" s="4">
        <f t="shared" ca="1" si="11"/>
        <v>42989</v>
      </c>
    </row>
    <row r="244" spans="2:16">
      <c r="B244" s="7">
        <v>101461017</v>
      </c>
      <c r="C244" s="7">
        <v>4.8</v>
      </c>
      <c r="D244" s="18" t="str">
        <f>[1]!b_info_name(B244)</f>
        <v>14神华MTN002</v>
      </c>
      <c r="E244" s="19" t="str">
        <f>[1]!b_info_latestissurercreditrating(B244)</f>
        <v>AAA</v>
      </c>
      <c r="F244" s="20">
        <f ca="1">[1]!b_anal_day(B244,$A$5)/365</f>
        <v>1.7561643835616438</v>
      </c>
      <c r="G244" s="21">
        <f ca="1">[1]!b_anal_yield_cnbd(B244,$A$5)</f>
        <v>0</v>
      </c>
      <c r="H244" s="21">
        <f t="shared" ca="1" si="9"/>
        <v>480</v>
      </c>
      <c r="I244" s="21">
        <f ca="1">[1]!b_anal_yield_cnbd(B244,$A$7)</f>
        <v>0</v>
      </c>
      <c r="J244" s="21">
        <f t="shared" ca="1" si="10"/>
        <v>0</v>
      </c>
      <c r="K244" s="19" t="str">
        <f>[1]!s_info_Nature(B244)</f>
        <v>中央国有企业</v>
      </c>
      <c r="L244" s="19" t="str">
        <f>[1]!b_info_windl1type(B244)</f>
        <v>中期票据</v>
      </c>
      <c r="M244" s="13">
        <f>[1]!b_info_couponrate(B244)</f>
        <v>5.15</v>
      </c>
      <c r="N244" s="14" t="str">
        <f>[1]!B_Info_ListedDate(B244)</f>
        <v>2014-06-16</v>
      </c>
      <c r="O244" s="14" t="str">
        <f>[1]!b_issue_firstissue(B244)</f>
        <v>2014-06-12</v>
      </c>
      <c r="P244" s="4">
        <f t="shared" ca="1" si="11"/>
        <v>42989</v>
      </c>
    </row>
    <row r="245" spans="2:16">
      <c r="B245" s="7">
        <v>101461017</v>
      </c>
      <c r="C245" s="7">
        <v>4.8</v>
      </c>
      <c r="D245" s="18" t="str">
        <f>[1]!b_info_name(B245)</f>
        <v>14神华MTN002</v>
      </c>
      <c r="E245" s="19" t="str">
        <f>[1]!b_info_latestissurercreditrating(B245)</f>
        <v>AAA</v>
      </c>
      <c r="F245" s="20">
        <f ca="1">[1]!b_anal_day(B245,$A$5)/365</f>
        <v>1.7561643835616438</v>
      </c>
      <c r="G245" s="21">
        <f ca="1">[1]!b_anal_yield_cnbd(B245,$A$5)</f>
        <v>0</v>
      </c>
      <c r="H245" s="21">
        <f t="shared" ca="1" si="9"/>
        <v>480</v>
      </c>
      <c r="I245" s="21">
        <f ca="1">[1]!b_anal_yield_cnbd(B245,$A$7)</f>
        <v>0</v>
      </c>
      <c r="J245" s="21">
        <f t="shared" ca="1" si="10"/>
        <v>0</v>
      </c>
      <c r="K245" s="19" t="str">
        <f>[1]!s_info_Nature(B245)</f>
        <v>中央国有企业</v>
      </c>
      <c r="L245" s="19" t="str">
        <f>[1]!b_info_windl1type(B245)</f>
        <v>中期票据</v>
      </c>
      <c r="M245" s="13">
        <f>[1]!b_info_couponrate(B245)</f>
        <v>5.15</v>
      </c>
      <c r="N245" s="14" t="str">
        <f>[1]!B_Info_ListedDate(B245)</f>
        <v>2014-06-16</v>
      </c>
      <c r="O245" s="14" t="str">
        <f>[1]!b_issue_firstissue(B245)</f>
        <v>2014-06-12</v>
      </c>
      <c r="P245" s="4">
        <f t="shared" ca="1" si="11"/>
        <v>42989</v>
      </c>
    </row>
    <row r="246" spans="2:16">
      <c r="B246" s="7" t="s">
        <v>744</v>
      </c>
      <c r="C246" s="7">
        <v>4.8</v>
      </c>
      <c r="D246" s="18" t="str">
        <f>[1]!b_info_name(B246)</f>
        <v>14国贸02</v>
      </c>
      <c r="E246" s="19" t="str">
        <f>[1]!b_info_latestissurercreditrating(B246)</f>
        <v>AAA</v>
      </c>
      <c r="F246" s="20">
        <f ca="1">[1]!b_anal_day(B246,$A$5)/365</f>
        <v>1.2082191780821918</v>
      </c>
      <c r="G246" s="21">
        <f ca="1">[1]!b_anal_yield_cnbd(B246,$A$5)</f>
        <v>0</v>
      </c>
      <c r="H246" s="21">
        <f t="shared" ca="1" si="9"/>
        <v>480</v>
      </c>
      <c r="I246" s="21">
        <f ca="1">[1]!b_anal_yield_cnbd(B246,$A$7)</f>
        <v>0</v>
      </c>
      <c r="J246" s="21">
        <f t="shared" ca="1" si="10"/>
        <v>0</v>
      </c>
      <c r="K246" s="19" t="str">
        <f>[1]!s_info_Nature(B246)</f>
        <v>外资企业</v>
      </c>
      <c r="L246" s="19" t="str">
        <f>[1]!b_info_windl1type(B246)</f>
        <v>公司债</v>
      </c>
      <c r="M246" s="13">
        <f>[1]!b_info_couponrate(B246)</f>
        <v>3.88</v>
      </c>
      <c r="N246" s="14" t="str">
        <f>[1]!B_Info_ListedDate(B246)</f>
        <v>2015-12-24</v>
      </c>
      <c r="O246" s="14" t="str">
        <f>[1]!b_issue_firstissue(B246)</f>
        <v>2015-11-24</v>
      </c>
      <c r="P246" s="4">
        <f t="shared" ca="1" si="11"/>
        <v>42989</v>
      </c>
    </row>
    <row r="247" spans="2:16">
      <c r="B247" s="7">
        <v>1282415</v>
      </c>
      <c r="C247" s="7">
        <v>4.8</v>
      </c>
      <c r="D247" s="18" t="str">
        <f>[1]!b_info_name(B247)</f>
        <v>12龙高速MTN1</v>
      </c>
      <c r="E247" s="19" t="str">
        <f>[1]!b_info_latestissurercreditrating(B247)</f>
        <v>AA+</v>
      </c>
      <c r="F247" s="20">
        <f ca="1">[1]!b_anal_day(B247,$A$5)/365</f>
        <v>0.12054794520547946</v>
      </c>
      <c r="G247" s="21">
        <f ca="1">[1]!b_anal_yield_cnbd(B247,$A$5)</f>
        <v>0</v>
      </c>
      <c r="H247" s="21">
        <f t="shared" ca="1" si="9"/>
        <v>480</v>
      </c>
      <c r="I247" s="21">
        <f ca="1">[1]!b_anal_yield_cnbd(B247,$A$7)</f>
        <v>0</v>
      </c>
      <c r="J247" s="21">
        <f t="shared" ca="1" si="10"/>
        <v>0</v>
      </c>
      <c r="K247" s="19" t="str">
        <f>[1]!s_info_Nature(B247)</f>
        <v>地方国有企业</v>
      </c>
      <c r="L247" s="19" t="str">
        <f>[1]!b_info_windl1type(B247)</f>
        <v>中期票据</v>
      </c>
      <c r="M247" s="13">
        <f>[1]!b_info_couponrate(B247)</f>
        <v>6.5</v>
      </c>
      <c r="N247" s="14" t="str">
        <f>[1]!B_Info_ListedDate(B247)</f>
        <v>2012-10-25</v>
      </c>
      <c r="O247" s="14" t="str">
        <f>[1]!b_issue_firstissue(B247)</f>
        <v>2012-10-22</v>
      </c>
      <c r="P247" s="4">
        <f t="shared" ca="1" si="11"/>
        <v>42989</v>
      </c>
    </row>
    <row r="248" spans="2:16">
      <c r="B248" s="7">
        <v>1420029</v>
      </c>
      <c r="C248" s="7">
        <v>4.8</v>
      </c>
      <c r="D248" s="18" t="str">
        <f>[1]!b_info_name(B248)</f>
        <v>14桂林银行02</v>
      </c>
      <c r="E248" s="19" t="str">
        <f>[1]!b_info_latestissurercreditrating(B248)</f>
        <v>AA+</v>
      </c>
      <c r="F248" s="20">
        <f ca="1">[1]!b_anal_day(B248,$A$5)/365</f>
        <v>0.13424657534246576</v>
      </c>
      <c r="G248" s="21">
        <f ca="1">[1]!b_anal_yield_cnbd(B248,$A$5)</f>
        <v>0</v>
      </c>
      <c r="H248" s="21">
        <f t="shared" ca="1" si="9"/>
        <v>480</v>
      </c>
      <c r="I248" s="21">
        <f ca="1">[1]!b_anal_yield_cnbd(B248,$A$7)</f>
        <v>0</v>
      </c>
      <c r="J248" s="21">
        <f t="shared" ca="1" si="10"/>
        <v>0</v>
      </c>
      <c r="K248" s="19" t="str">
        <f>[1]!s_info_Nature(B248)</f>
        <v>地方国有企业</v>
      </c>
      <c r="L248" s="19" t="str">
        <f>[1]!b_info_windl1type(B248)</f>
        <v>金融债</v>
      </c>
      <c r="M248" s="13">
        <f>[1]!b_info_couponrate(B248)</f>
        <v>5.6</v>
      </c>
      <c r="N248" s="14" t="str">
        <f>[1]!B_Info_ListedDate(B248)</f>
        <v>2014-12-09</v>
      </c>
      <c r="O248" s="14" t="str">
        <f>[1]!b_issue_firstissue(B248)</f>
        <v>2014-10-27</v>
      </c>
      <c r="P248" s="4">
        <f t="shared" ca="1" si="11"/>
        <v>42989</v>
      </c>
    </row>
    <row r="249" spans="2:16">
      <c r="B249" s="7">
        <v>41659039</v>
      </c>
      <c r="C249" s="7">
        <v>4.78</v>
      </c>
      <c r="D249" s="18" t="str">
        <f>[1]!b_info_name(B249)</f>
        <v>16九州通CP001</v>
      </c>
      <c r="E249" s="19" t="str">
        <f>[1]!b_info_latestissurercreditrating(B249)</f>
        <v>AA+</v>
      </c>
      <c r="F249" s="20">
        <f ca="1">[1]!b_anal_day(B249,$A$5)/365</f>
        <v>0</v>
      </c>
      <c r="G249" s="21">
        <f ca="1">[1]!b_anal_yield_cnbd(B249,$A$5)</f>
        <v>0</v>
      </c>
      <c r="H249" s="21">
        <f t="shared" ca="1" si="9"/>
        <v>478</v>
      </c>
      <c r="I249" s="21">
        <f ca="1">[1]!b_anal_yield_cnbd(B249,$A$7)</f>
        <v>0</v>
      </c>
      <c r="J249" s="21">
        <f t="shared" ca="1" si="10"/>
        <v>0</v>
      </c>
      <c r="K249" s="19" t="str">
        <f>[1]!s_info_Nature(B249)</f>
        <v>民营企业</v>
      </c>
      <c r="L249" s="19" t="str">
        <f>[1]!b_info_windl1type(B249)</f>
        <v>短期融资券</v>
      </c>
      <c r="M249" s="13">
        <f>[1]!b_info_couponrate(B249)</f>
        <v>2.89</v>
      </c>
      <c r="N249" s="14" t="str">
        <f>[1]!B_Info_ListedDate(B249)</f>
        <v>2016-08-24</v>
      </c>
      <c r="O249" s="14" t="str">
        <f>[1]!b_issue_firstissue(B249)</f>
        <v>2016-08-19</v>
      </c>
      <c r="P249" s="4">
        <f t="shared" ca="1" si="11"/>
        <v>42989</v>
      </c>
    </row>
    <row r="250" spans="2:16">
      <c r="B250" s="7">
        <v>111698826</v>
      </c>
      <c r="C250" s="7">
        <v>4.75</v>
      </c>
      <c r="D250" s="18" t="str">
        <f>[1]!b_info_name(B250)</f>
        <v>16郑州银行CD103</v>
      </c>
      <c r="E250" s="19" t="str">
        <f>[1]!b_info_latestissurercreditrating(B250)</f>
        <v>AAA</v>
      </c>
      <c r="F250" s="20">
        <f ca="1">[1]!b_anal_day(B250,$A$5)/365</f>
        <v>0.12054794520547946</v>
      </c>
      <c r="G250" s="21">
        <f ca="1">[1]!b_anal_yield_cnbd(B250,$A$5)</f>
        <v>0</v>
      </c>
      <c r="H250" s="21">
        <f t="shared" ca="1" si="9"/>
        <v>475</v>
      </c>
      <c r="I250" s="21">
        <f ca="1">[1]!b_anal_yield_cnbd(B250,$A$7)</f>
        <v>0</v>
      </c>
      <c r="J250" s="21">
        <f t="shared" ca="1" si="10"/>
        <v>0</v>
      </c>
      <c r="K250" s="19" t="str">
        <f>[1]!s_info_Nature(B250)</f>
        <v>公众企业</v>
      </c>
      <c r="L250" s="19" t="str">
        <f>[1]!b_info_windl1type(B250)</f>
        <v>同业存单</v>
      </c>
      <c r="M250" s="13">
        <f>[1]!b_info_couponrate(B250)</f>
        <v>3.08</v>
      </c>
      <c r="N250" s="14" t="str">
        <f>[1]!B_Info_ListedDate(B250)</f>
        <v>2016-10-24</v>
      </c>
      <c r="O250" s="14" t="str">
        <f>[1]!b_issue_firstissue(B250)</f>
        <v>2016-10-21</v>
      </c>
      <c r="P250" s="4">
        <f t="shared" ca="1" si="11"/>
        <v>42989</v>
      </c>
    </row>
    <row r="251" spans="2:16">
      <c r="B251" s="7">
        <v>101752015</v>
      </c>
      <c r="C251" s="7">
        <v>4.75</v>
      </c>
      <c r="D251" s="18" t="str">
        <f>[1]!b_info_name(B251)</f>
        <v>17光明MTN001</v>
      </c>
      <c r="E251" s="19" t="str">
        <f>[1]!b_info_latestissurercreditrating(B251)</f>
        <v>AAA</v>
      </c>
      <c r="F251" s="20">
        <f ca="1">[1]!b_anal_day(B251,$A$5)/365</f>
        <v>2.6328767123287671</v>
      </c>
      <c r="G251" s="21">
        <f ca="1">[1]!b_anal_yield_cnbd(B251,$A$5)</f>
        <v>0</v>
      </c>
      <c r="H251" s="21">
        <f t="shared" ca="1" si="9"/>
        <v>475</v>
      </c>
      <c r="I251" s="21">
        <f ca="1">[1]!b_anal_yield_cnbd(B251,$A$7)</f>
        <v>0</v>
      </c>
      <c r="J251" s="21">
        <f t="shared" ca="1" si="10"/>
        <v>0</v>
      </c>
      <c r="K251" s="19" t="str">
        <f>[1]!s_info_Nature(B251)</f>
        <v>地方国有企业</v>
      </c>
      <c r="L251" s="19" t="str">
        <f>[1]!b_info_windl1type(B251)</f>
        <v>中期票据</v>
      </c>
      <c r="M251" s="13">
        <f>[1]!b_info_couponrate(B251)</f>
        <v>4.72</v>
      </c>
      <c r="N251" s="14" t="str">
        <f>[1]!B_Info_ListedDate(B251)</f>
        <v>2017-05-02</v>
      </c>
      <c r="O251" s="14" t="str">
        <f>[1]!b_issue_firstissue(B251)</f>
        <v>2017-04-26</v>
      </c>
      <c r="P251" s="4">
        <f t="shared" ca="1" si="11"/>
        <v>42989</v>
      </c>
    </row>
    <row r="252" spans="2:16">
      <c r="B252" s="7">
        <v>11761025</v>
      </c>
      <c r="C252" s="7">
        <v>4.75</v>
      </c>
      <c r="D252" s="18" t="str">
        <f>[1]!b_info_name(B252)</f>
        <v>17皖投集SCP001</v>
      </c>
      <c r="E252" s="19" t="str">
        <f>[1]!b_info_latestissurercreditrating(B252)</f>
        <v>AAA</v>
      </c>
      <c r="F252" s="20">
        <f ca="1">[1]!b_anal_day(B252,$A$5)/365</f>
        <v>0.33972602739726027</v>
      </c>
      <c r="G252" s="21">
        <f ca="1">[1]!b_anal_yield_cnbd(B252,$A$5)</f>
        <v>0</v>
      </c>
      <c r="H252" s="21">
        <f t="shared" ca="1" si="9"/>
        <v>475</v>
      </c>
      <c r="I252" s="21">
        <f ca="1">[1]!b_anal_yield_cnbd(B252,$A$7)</f>
        <v>0</v>
      </c>
      <c r="J252" s="21">
        <f t="shared" ca="1" si="10"/>
        <v>0</v>
      </c>
      <c r="K252" s="19" t="str">
        <f>[1]!s_info_Nature(B252)</f>
        <v>地方国有企业</v>
      </c>
      <c r="L252" s="19" t="str">
        <f>[1]!b_info_windl1type(B252)</f>
        <v>短期融资券</v>
      </c>
      <c r="M252" s="13">
        <f>[1]!b_info_couponrate(B252)</f>
        <v>4.3499999999999996</v>
      </c>
      <c r="N252" s="14" t="str">
        <f>[1]!B_Info_ListedDate(B252)</f>
        <v>2017-04-18</v>
      </c>
      <c r="O252" s="14" t="str">
        <f>[1]!b_issue_firstissue(B252)</f>
        <v>2017-04-14</v>
      </c>
      <c r="P252" s="4">
        <f t="shared" ca="1" si="11"/>
        <v>42989</v>
      </c>
    </row>
    <row r="253" spans="2:16">
      <c r="B253" s="7">
        <v>111697756</v>
      </c>
      <c r="C253" s="7">
        <v>4.72</v>
      </c>
      <c r="D253" s="18" t="str">
        <f>[1]!b_info_name(B253)</f>
        <v>16郑州银行CD085</v>
      </c>
      <c r="E253" s="19" t="str">
        <f>[1]!b_info_latestissurercreditrating(B253)</f>
        <v>AAA</v>
      </c>
      <c r="F253" s="20">
        <f ca="1">[1]!b_anal_day(B253,$A$5)/365</f>
        <v>3.5616438356164383E-2</v>
      </c>
      <c r="G253" s="21">
        <f ca="1">[1]!b_anal_yield_cnbd(B253,$A$5)</f>
        <v>0</v>
      </c>
      <c r="H253" s="21">
        <f t="shared" ca="1" si="9"/>
        <v>472</v>
      </c>
      <c r="I253" s="21">
        <f ca="1">[1]!b_anal_yield_cnbd(B253,$A$7)</f>
        <v>0</v>
      </c>
      <c r="J253" s="21">
        <f t="shared" ca="1" si="10"/>
        <v>0</v>
      </c>
      <c r="K253" s="19" t="str">
        <f>[1]!s_info_Nature(B253)</f>
        <v>公众企业</v>
      </c>
      <c r="L253" s="19" t="str">
        <f>[1]!b_info_windl1type(B253)</f>
        <v>同业存单</v>
      </c>
      <c r="M253" s="13">
        <f>[1]!b_info_couponrate(B253)</f>
        <v>3.15</v>
      </c>
      <c r="N253" s="14" t="str">
        <f>[1]!B_Info_ListedDate(B253)</f>
        <v>2016-09-23</v>
      </c>
      <c r="O253" s="14" t="str">
        <f>[1]!b_issue_firstissue(B253)</f>
        <v>2016-09-22</v>
      </c>
      <c r="P253" s="4">
        <f t="shared" ca="1" si="11"/>
        <v>42989</v>
      </c>
    </row>
    <row r="254" spans="2:16">
      <c r="B254" s="7">
        <v>101651056</v>
      </c>
      <c r="C254" s="7">
        <v>4.72</v>
      </c>
      <c r="D254" s="18" t="str">
        <f>[1]!b_info_name(B254)</f>
        <v>16光明MTN002</v>
      </c>
      <c r="E254" s="19" t="str">
        <f>[1]!b_info_latestissurercreditrating(B254)</f>
        <v>AAA</v>
      </c>
      <c r="F254" s="20">
        <f ca="1">[1]!b_anal_day(B254,$A$5)/365</f>
        <v>2.2054794520547945</v>
      </c>
      <c r="G254" s="21">
        <f ca="1">[1]!b_anal_yield_cnbd(B254,$A$5)</f>
        <v>0</v>
      </c>
      <c r="H254" s="21">
        <f t="shared" ca="1" si="9"/>
        <v>472</v>
      </c>
      <c r="I254" s="21">
        <f ca="1">[1]!b_anal_yield_cnbd(B254,$A$7)</f>
        <v>0</v>
      </c>
      <c r="J254" s="21">
        <f t="shared" ca="1" si="10"/>
        <v>0</v>
      </c>
      <c r="K254" s="19" t="str">
        <f>[1]!s_info_Nature(B254)</f>
        <v>地方国有企业</v>
      </c>
      <c r="L254" s="19" t="str">
        <f>[1]!b_info_windl1type(B254)</f>
        <v>中期票据</v>
      </c>
      <c r="M254" s="13">
        <f>[1]!b_info_couponrate(B254)</f>
        <v>3.33</v>
      </c>
      <c r="N254" s="14" t="str">
        <f>[1]!B_Info_ListedDate(B254)</f>
        <v>2016-11-25</v>
      </c>
      <c r="O254" s="14" t="str">
        <f>[1]!b_issue_firstissue(B254)</f>
        <v>2016-11-22</v>
      </c>
      <c r="P254" s="4">
        <f t="shared" ca="1" si="11"/>
        <v>42989</v>
      </c>
    </row>
    <row r="255" spans="2:16">
      <c r="B255" s="7">
        <v>11698878</v>
      </c>
      <c r="C255" s="7">
        <v>4.7</v>
      </c>
      <c r="D255" s="18" t="str">
        <f>[1]!b_info_name(B255)</f>
        <v>16豫高管SCP004</v>
      </c>
      <c r="E255" s="19" t="str">
        <f>[1]!b_info_latestissurercreditrating(B255)</f>
        <v>AAA</v>
      </c>
      <c r="F255" s="20">
        <f ca="1">[1]!b_anal_day(B255,$A$5)/365</f>
        <v>0</v>
      </c>
      <c r="G255" s="21">
        <f ca="1">[1]!b_anal_yield_cnbd(B255,$A$5)</f>
        <v>0</v>
      </c>
      <c r="H255" s="21">
        <f t="shared" ca="1" si="9"/>
        <v>470</v>
      </c>
      <c r="I255" s="21">
        <f ca="1">[1]!b_anal_yield_cnbd(B255,$A$7)</f>
        <v>0</v>
      </c>
      <c r="J255" s="21">
        <f t="shared" ca="1" si="10"/>
        <v>0</v>
      </c>
      <c r="K255" s="19" t="str">
        <f>[1]!s_info_Nature(B255)</f>
        <v>地方国有企业</v>
      </c>
      <c r="L255" s="19" t="str">
        <f>[1]!b_info_windl1type(B255)</f>
        <v>短期融资券</v>
      </c>
      <c r="M255" s="13">
        <f>[1]!b_info_couponrate(B255)</f>
        <v>3.05</v>
      </c>
      <c r="N255" s="14" t="str">
        <f>[1]!B_Info_ListedDate(B255)</f>
        <v>2016-11-24</v>
      </c>
      <c r="O255" s="14" t="str">
        <f>[1]!b_issue_firstissue(B255)</f>
        <v>2016-11-22</v>
      </c>
      <c r="P255" s="4">
        <f t="shared" ca="1" si="11"/>
        <v>42989</v>
      </c>
    </row>
    <row r="256" spans="2:16">
      <c r="B256" s="7">
        <v>11751028</v>
      </c>
      <c r="C256" s="7">
        <v>4.7</v>
      </c>
      <c r="D256" s="18" t="str">
        <f>[1]!b_info_name(B256)</f>
        <v>17京城建SCP001</v>
      </c>
      <c r="E256" s="19" t="str">
        <f>[1]!b_info_latestissurercreditrating(B256)</f>
        <v>AAA</v>
      </c>
      <c r="F256" s="20">
        <f ca="1">[1]!b_anal_day(B256,$A$5)/365</f>
        <v>0.28219178082191781</v>
      </c>
      <c r="G256" s="21">
        <f ca="1">[1]!b_anal_yield_cnbd(B256,$A$5)</f>
        <v>0</v>
      </c>
      <c r="H256" s="21">
        <f t="shared" ref="H256:H316" ca="1" si="12">(IF(C256&lt;0.1,C256*100,C256)-G256)*100</f>
        <v>470</v>
      </c>
      <c r="I256" s="21">
        <f ca="1">[1]!b_anal_yield_cnbd(B256,$A$7)</f>
        <v>0</v>
      </c>
      <c r="J256" s="21">
        <f t="shared" ref="J256:J316" ca="1" si="13">(G256-I256)*100</f>
        <v>0</v>
      </c>
      <c r="K256" s="19" t="str">
        <f>[1]!s_info_Nature(B256)</f>
        <v>地方国有企业</v>
      </c>
      <c r="L256" s="19" t="str">
        <f>[1]!b_info_windl1type(B256)</f>
        <v>短期融资券</v>
      </c>
      <c r="M256" s="13">
        <f>[1]!b_info_couponrate(B256)</f>
        <v>4.47</v>
      </c>
      <c r="N256" s="14" t="str">
        <f>[1]!B_Info_ListedDate(B256)</f>
        <v>2017-04-07</v>
      </c>
      <c r="O256" s="14" t="str">
        <f>[1]!b_issue_firstissue(B256)</f>
        <v>2017-04-01</v>
      </c>
      <c r="P256" s="4">
        <f t="shared" ref="P256:P316" ca="1" si="14">$A$2</f>
        <v>42989</v>
      </c>
    </row>
    <row r="257" spans="2:16">
      <c r="B257" s="7">
        <v>136046</v>
      </c>
      <c r="C257" s="7">
        <v>4.7</v>
      </c>
      <c r="D257" s="18" t="str">
        <f>[1]!b_info_name(B257)</f>
        <v>15中海01</v>
      </c>
      <c r="E257" s="19" t="str">
        <f>[1]!b_info_latestissurercreditrating(B257)</f>
        <v>AAA</v>
      </c>
      <c r="F257" s="20">
        <f ca="1">[1]!b_anal_day(B257,$A$5)/365</f>
        <v>4.1945205479452055</v>
      </c>
      <c r="G257" s="21">
        <f ca="1">[1]!b_anal_yield_cnbd(B257,$A$5)</f>
        <v>0</v>
      </c>
      <c r="H257" s="21">
        <f t="shared" ca="1" si="12"/>
        <v>470</v>
      </c>
      <c r="I257" s="21">
        <f ca="1">[1]!b_anal_yield_cnbd(B257,$A$7)</f>
        <v>0</v>
      </c>
      <c r="J257" s="21">
        <f t="shared" ca="1" si="13"/>
        <v>0</v>
      </c>
      <c r="K257" s="19" t="str">
        <f>[1]!s_info_Nature(B257)</f>
        <v>外商独资企业</v>
      </c>
      <c r="L257" s="19" t="str">
        <f>[1]!b_info_windl1type(B257)</f>
        <v>公司债</v>
      </c>
      <c r="M257" s="13">
        <f>[1]!b_info_couponrate(B257)</f>
        <v>3.4</v>
      </c>
      <c r="N257" s="14" t="str">
        <f>[1]!B_Info_ListedDate(B257)</f>
        <v>2016-01-15</v>
      </c>
      <c r="O257" s="14" t="str">
        <f>[1]!b_issue_firstissue(B257)</f>
        <v>2015-11-18</v>
      </c>
      <c r="P257" s="4">
        <f t="shared" ca="1" si="14"/>
        <v>42989</v>
      </c>
    </row>
    <row r="258" spans="2:16">
      <c r="B258" s="7">
        <v>111696680</v>
      </c>
      <c r="C258" s="7">
        <v>4.7</v>
      </c>
      <c r="D258" s="18" t="str">
        <f>[1]!b_info_name(B258)</f>
        <v>16吉林银行CD127</v>
      </c>
      <c r="E258" s="19" t="str">
        <f>[1]!b_info_latestissurercreditrating(B258)</f>
        <v>AA+</v>
      </c>
      <c r="F258" s="20">
        <f ca="1">[1]!b_anal_day(B258,$A$5)/365</f>
        <v>0</v>
      </c>
      <c r="G258" s="21">
        <f ca="1">[1]!b_anal_yield_cnbd(B258,$A$5)</f>
        <v>0</v>
      </c>
      <c r="H258" s="21">
        <f t="shared" ca="1" si="12"/>
        <v>470</v>
      </c>
      <c r="I258" s="21">
        <f ca="1">[1]!b_anal_yield_cnbd(B258,$A$7)</f>
        <v>0</v>
      </c>
      <c r="J258" s="21">
        <f t="shared" ca="1" si="13"/>
        <v>0</v>
      </c>
      <c r="K258" s="19" t="str">
        <f>[1]!s_info_Nature(B258)</f>
        <v>中外合资企业</v>
      </c>
      <c r="L258" s="19" t="str">
        <f>[1]!b_info_windl1type(B258)</f>
        <v>同业存单</v>
      </c>
      <c r="M258" s="13">
        <f>[1]!b_info_couponrate(B258)</f>
        <v>2.91</v>
      </c>
      <c r="N258" s="14" t="str">
        <f>[1]!B_Info_ListedDate(B258)</f>
        <v>2016-08-25</v>
      </c>
      <c r="O258" s="14" t="str">
        <f>[1]!b_issue_firstissue(B258)</f>
        <v>2016-08-24</v>
      </c>
      <c r="P258" s="4">
        <f t="shared" ca="1" si="14"/>
        <v>42989</v>
      </c>
    </row>
    <row r="259" spans="2:16">
      <c r="B259" s="7">
        <v>111795284</v>
      </c>
      <c r="C259" s="7">
        <v>4.7</v>
      </c>
      <c r="D259" s="18" t="str">
        <f>[1]!b_info_name(B259)</f>
        <v>17广州农村商业银行CD067</v>
      </c>
      <c r="E259" s="19" t="str">
        <f>[1]!b_info_latestissurercreditrating(B259)</f>
        <v>AAA</v>
      </c>
      <c r="F259" s="20">
        <f ca="1">[1]!b_anal_day(B259,$A$5)/365</f>
        <v>0.58082191780821912</v>
      </c>
      <c r="G259" s="21">
        <f ca="1">[1]!b_anal_yield_cnbd(B259,$A$5)</f>
        <v>0</v>
      </c>
      <c r="H259" s="21">
        <f t="shared" ca="1" si="12"/>
        <v>470</v>
      </c>
      <c r="I259" s="21">
        <f ca="1">[1]!b_anal_yield_cnbd(B259,$A$7)</f>
        <v>0</v>
      </c>
      <c r="J259" s="21">
        <f t="shared" ca="1" si="13"/>
        <v>0</v>
      </c>
      <c r="K259" s="19" t="str">
        <f>[1]!s_info_Nature(B259)</f>
        <v>公众企业</v>
      </c>
      <c r="L259" s="19" t="str">
        <f>[1]!b_info_windl1type(B259)</f>
        <v>同业存单</v>
      </c>
      <c r="M259" s="13">
        <f>[1]!b_info_couponrate(B259)</f>
        <v>4.5999999999999996</v>
      </c>
      <c r="N259" s="14" t="str">
        <f>[1]!B_Info_ListedDate(B259)</f>
        <v>2017-04-10</v>
      </c>
      <c r="O259" s="14" t="str">
        <f>[1]!b_issue_firstissue(B259)</f>
        <v>2017-04-07</v>
      </c>
      <c r="P259" s="4">
        <f t="shared" ca="1" si="14"/>
        <v>42989</v>
      </c>
    </row>
    <row r="260" spans="2:16">
      <c r="B260" s="7">
        <v>111795284</v>
      </c>
      <c r="C260" s="7">
        <v>4.7</v>
      </c>
      <c r="D260" s="18" t="str">
        <f>[1]!b_info_name(B260)</f>
        <v>17广州农村商业银行CD067</v>
      </c>
      <c r="E260" s="19" t="str">
        <f>[1]!b_info_latestissurercreditrating(B260)</f>
        <v>AAA</v>
      </c>
      <c r="F260" s="20">
        <f ca="1">[1]!b_anal_day(B260,$A$5)/365</f>
        <v>0.58082191780821912</v>
      </c>
      <c r="G260" s="21">
        <f ca="1">[1]!b_anal_yield_cnbd(B260,$A$5)</f>
        <v>0</v>
      </c>
      <c r="H260" s="21">
        <f t="shared" ca="1" si="12"/>
        <v>470</v>
      </c>
      <c r="I260" s="21">
        <f ca="1">[1]!b_anal_yield_cnbd(B260,$A$7)</f>
        <v>0</v>
      </c>
      <c r="J260" s="21">
        <f t="shared" ca="1" si="13"/>
        <v>0</v>
      </c>
      <c r="K260" s="19" t="str">
        <f>[1]!s_info_Nature(B260)</f>
        <v>公众企业</v>
      </c>
      <c r="L260" s="19" t="str">
        <f>[1]!b_info_windl1type(B260)</f>
        <v>同业存单</v>
      </c>
      <c r="M260" s="13">
        <f>[1]!b_info_couponrate(B260)</f>
        <v>4.5999999999999996</v>
      </c>
      <c r="N260" s="14" t="str">
        <f>[1]!B_Info_ListedDate(B260)</f>
        <v>2017-04-10</v>
      </c>
      <c r="O260" s="14" t="str">
        <f>[1]!b_issue_firstissue(B260)</f>
        <v>2017-04-07</v>
      </c>
      <c r="P260" s="4">
        <f t="shared" ca="1" si="14"/>
        <v>42989</v>
      </c>
    </row>
    <row r="261" spans="2:16">
      <c r="B261" s="7">
        <v>111795284</v>
      </c>
      <c r="C261" s="7">
        <v>4.7</v>
      </c>
      <c r="D261" s="18" t="str">
        <f>[1]!b_info_name(B261)</f>
        <v>17广州农村商业银行CD067</v>
      </c>
      <c r="E261" s="19" t="str">
        <f>[1]!b_info_latestissurercreditrating(B261)</f>
        <v>AAA</v>
      </c>
      <c r="F261" s="20">
        <f ca="1">[1]!b_anal_day(B261,$A$5)/365</f>
        <v>0.58082191780821912</v>
      </c>
      <c r="G261" s="21">
        <f ca="1">[1]!b_anal_yield_cnbd(B261,$A$5)</f>
        <v>0</v>
      </c>
      <c r="H261" s="21">
        <f t="shared" ca="1" si="12"/>
        <v>470</v>
      </c>
      <c r="I261" s="21">
        <f ca="1">[1]!b_anal_yield_cnbd(B261,$A$7)</f>
        <v>0</v>
      </c>
      <c r="J261" s="21">
        <f t="shared" ca="1" si="13"/>
        <v>0</v>
      </c>
      <c r="K261" s="19" t="str">
        <f>[1]!s_info_Nature(B261)</f>
        <v>公众企业</v>
      </c>
      <c r="L261" s="19" t="str">
        <f>[1]!b_info_windl1type(B261)</f>
        <v>同业存单</v>
      </c>
      <c r="M261" s="13">
        <f>[1]!b_info_couponrate(B261)</f>
        <v>4.5999999999999996</v>
      </c>
      <c r="N261" s="14" t="str">
        <f>[1]!B_Info_ListedDate(B261)</f>
        <v>2017-04-10</v>
      </c>
      <c r="O261" s="14" t="str">
        <f>[1]!b_issue_firstissue(B261)</f>
        <v>2017-04-07</v>
      </c>
      <c r="P261" s="4">
        <f t="shared" ca="1" si="14"/>
        <v>42989</v>
      </c>
    </row>
    <row r="262" spans="2:16">
      <c r="B262" s="7">
        <v>11751028</v>
      </c>
      <c r="C262" s="7">
        <v>4.7</v>
      </c>
      <c r="D262" s="18" t="str">
        <f>[1]!b_info_name(B262)</f>
        <v>17京城建SCP001</v>
      </c>
      <c r="E262" s="19" t="str">
        <f>[1]!b_info_latestissurercreditrating(B262)</f>
        <v>AAA</v>
      </c>
      <c r="F262" s="20">
        <f ca="1">[1]!b_anal_day(B262,$A$5)/365</f>
        <v>0.28219178082191781</v>
      </c>
      <c r="G262" s="21">
        <f ca="1">[1]!b_anal_yield_cnbd(B262,$A$5)</f>
        <v>0</v>
      </c>
      <c r="H262" s="21">
        <f t="shared" ca="1" si="12"/>
        <v>470</v>
      </c>
      <c r="I262" s="21">
        <f ca="1">[1]!b_anal_yield_cnbd(B262,$A$7)</f>
        <v>0</v>
      </c>
      <c r="J262" s="21">
        <f t="shared" ca="1" si="13"/>
        <v>0</v>
      </c>
      <c r="K262" s="19" t="str">
        <f>[1]!s_info_Nature(B262)</f>
        <v>地方国有企业</v>
      </c>
      <c r="L262" s="19" t="str">
        <f>[1]!b_info_windl1type(B262)</f>
        <v>短期融资券</v>
      </c>
      <c r="M262" s="13">
        <f>[1]!b_info_couponrate(B262)</f>
        <v>4.47</v>
      </c>
      <c r="N262" s="14" t="str">
        <f>[1]!B_Info_ListedDate(B262)</f>
        <v>2017-04-07</v>
      </c>
      <c r="O262" s="14" t="str">
        <f>[1]!b_issue_firstissue(B262)</f>
        <v>2017-04-01</v>
      </c>
      <c r="P262" s="4">
        <f t="shared" ca="1" si="14"/>
        <v>42989</v>
      </c>
    </row>
    <row r="263" spans="2:16">
      <c r="B263" s="7">
        <v>11698644</v>
      </c>
      <c r="C263" s="7">
        <v>4.7</v>
      </c>
      <c r="D263" s="18" t="str">
        <f>[1]!b_info_name(B263)</f>
        <v>16正泰SCP005</v>
      </c>
      <c r="E263" s="19" t="str">
        <f>[1]!b_info_latestissurercreditrating(B263)</f>
        <v>AA+</v>
      </c>
      <c r="F263" s="20">
        <f ca="1">[1]!b_anal_day(B263,$A$5)/365</f>
        <v>0</v>
      </c>
      <c r="G263" s="21">
        <f ca="1">[1]!b_anal_yield_cnbd(B263,$A$5)</f>
        <v>0</v>
      </c>
      <c r="H263" s="21">
        <f t="shared" ca="1" si="12"/>
        <v>470</v>
      </c>
      <c r="I263" s="21">
        <f ca="1">[1]!b_anal_yield_cnbd(B263,$A$7)</f>
        <v>0</v>
      </c>
      <c r="J263" s="21">
        <f t="shared" ca="1" si="13"/>
        <v>0</v>
      </c>
      <c r="K263" s="19" t="str">
        <f>[1]!s_info_Nature(B263)</f>
        <v>民营企业</v>
      </c>
      <c r="L263" s="19" t="str">
        <f>[1]!b_info_windl1type(B263)</f>
        <v>短期融资券</v>
      </c>
      <c r="M263" s="13">
        <f>[1]!b_info_couponrate(B263)</f>
        <v>2.95</v>
      </c>
      <c r="N263" s="14" t="str">
        <f>[1]!B_Info_ListedDate(B263)</f>
        <v>2016-10-25</v>
      </c>
      <c r="O263" s="14" t="str">
        <f>[1]!b_issue_firstissue(B263)</f>
        <v>2016-10-20</v>
      </c>
      <c r="P263" s="4">
        <f t="shared" ca="1" si="14"/>
        <v>42989</v>
      </c>
    </row>
    <row r="264" spans="2:16">
      <c r="B264" s="7">
        <v>101651047</v>
      </c>
      <c r="C264" s="7">
        <v>4.6900000000000004</v>
      </c>
      <c r="D264" s="18" t="str">
        <f>[1]!b_info_name(B264)</f>
        <v>16中粮MTN002</v>
      </c>
      <c r="E264" s="19" t="str">
        <f>[1]!b_info_latestissurercreditrating(B264)</f>
        <v>AAA</v>
      </c>
      <c r="F264" s="20">
        <f ca="1">[1]!b_anal_day(B264,$A$5)/365</f>
        <v>2.010958904109589</v>
      </c>
      <c r="G264" s="21">
        <f ca="1">[1]!b_anal_yield_cnbd(B264,$A$5)</f>
        <v>0</v>
      </c>
      <c r="H264" s="21">
        <f t="shared" ca="1" si="12"/>
        <v>469.00000000000006</v>
      </c>
      <c r="I264" s="21">
        <f ca="1">[1]!b_anal_yield_cnbd(B264,$A$7)</f>
        <v>0</v>
      </c>
      <c r="J264" s="21">
        <f t="shared" ca="1" si="13"/>
        <v>0</v>
      </c>
      <c r="K264" s="19" t="str">
        <f>[1]!s_info_Nature(B264)</f>
        <v>中央国有企业</v>
      </c>
      <c r="L264" s="19" t="str">
        <f>[1]!b_info_windl1type(B264)</f>
        <v>中期票据</v>
      </c>
      <c r="M264" s="13">
        <f>[1]!b_info_couponrate(B264)</f>
        <v>3.05</v>
      </c>
      <c r="N264" s="14" t="str">
        <f>[1]!B_Info_ListedDate(B264)</f>
        <v>2016-09-18</v>
      </c>
      <c r="O264" s="14" t="str">
        <f>[1]!b_issue_firstissue(B264)</f>
        <v>2016-09-12</v>
      </c>
      <c r="P264" s="4">
        <f t="shared" ca="1" si="14"/>
        <v>42989</v>
      </c>
    </row>
    <row r="265" spans="2:16">
      <c r="B265" s="7">
        <v>41654043</v>
      </c>
      <c r="C265" s="7">
        <v>4.68</v>
      </c>
      <c r="D265" s="18" t="str">
        <f>[1]!b_info_name(B265)</f>
        <v>16陕延油CP001</v>
      </c>
      <c r="E265" s="19" t="str">
        <f>[1]!b_info_latestissurercreditrating(B265)</f>
        <v>AAA</v>
      </c>
      <c r="F265" s="20">
        <f ca="1">[1]!b_anal_day(B265,$A$5)/365</f>
        <v>0</v>
      </c>
      <c r="G265" s="21">
        <f ca="1">[1]!b_anal_yield_cnbd(B265,$A$5)</f>
        <v>0</v>
      </c>
      <c r="H265" s="21">
        <f t="shared" ca="1" si="12"/>
        <v>468</v>
      </c>
      <c r="I265" s="21">
        <f ca="1">[1]!b_anal_yield_cnbd(B265,$A$7)</f>
        <v>0</v>
      </c>
      <c r="J265" s="21">
        <f t="shared" ca="1" si="13"/>
        <v>0</v>
      </c>
      <c r="K265" s="19" t="str">
        <f>[1]!s_info_Nature(B265)</f>
        <v>地方国有企业</v>
      </c>
      <c r="L265" s="19" t="str">
        <f>[1]!b_info_windl1type(B265)</f>
        <v>短期融资券</v>
      </c>
      <c r="M265" s="13">
        <f>[1]!b_info_couponrate(B265)</f>
        <v>3</v>
      </c>
      <c r="N265" s="14" t="str">
        <f>[1]!B_Info_ListedDate(B265)</f>
        <v>2016-07-15</v>
      </c>
      <c r="O265" s="14" t="str">
        <f>[1]!b_issue_firstissue(B265)</f>
        <v>2016-07-13</v>
      </c>
      <c r="P265" s="4">
        <f t="shared" ca="1" si="14"/>
        <v>42989</v>
      </c>
    </row>
    <row r="266" spans="2:16">
      <c r="B266" s="7" t="s">
        <v>497</v>
      </c>
      <c r="C266" s="7">
        <v>4.67</v>
      </c>
      <c r="D266" s="18" t="str">
        <f>[1]!b_info_name(B266)</f>
        <v>13国元02</v>
      </c>
      <c r="E266" s="19" t="str">
        <f>[1]!b_info_latestissurercreditrating(B266)</f>
        <v>AAA</v>
      </c>
      <c r="F266" s="20">
        <f ca="1">[1]!b_anal_day(B266,$A$5)/365</f>
        <v>0.86849315068493149</v>
      </c>
      <c r="G266" s="21">
        <f ca="1">[1]!b_anal_yield_cnbd(B266,$A$5)</f>
        <v>0</v>
      </c>
      <c r="H266" s="21">
        <f t="shared" ca="1" si="12"/>
        <v>467</v>
      </c>
      <c r="I266" s="21">
        <f ca="1">[1]!b_anal_yield_cnbd(B266,$A$7)</f>
        <v>0</v>
      </c>
      <c r="J266" s="21">
        <f t="shared" ca="1" si="13"/>
        <v>0</v>
      </c>
      <c r="K266" s="19" t="str">
        <f>[1]!s_info_Nature(B266)</f>
        <v>地方国有企业</v>
      </c>
      <c r="L266" s="19" t="str">
        <f>[1]!b_info_windl1type(B266)</f>
        <v>金融债</v>
      </c>
      <c r="M266" s="13">
        <f>[1]!b_info_couponrate(B266)</f>
        <v>4.9000000000000004</v>
      </c>
      <c r="N266" s="14" t="str">
        <f>[1]!B_Info_ListedDate(B266)</f>
        <v>2013-08-12</v>
      </c>
      <c r="O266" s="14" t="str">
        <f>[1]!b_issue_firstissue(B266)</f>
        <v>2013-07-24</v>
      </c>
      <c r="P266" s="4">
        <f t="shared" ca="1" si="14"/>
        <v>42989</v>
      </c>
    </row>
    <row r="267" spans="2:16">
      <c r="B267" s="7">
        <v>11698752</v>
      </c>
      <c r="C267" s="7">
        <v>4.6500000000000004</v>
      </c>
      <c r="D267" s="18" t="str">
        <f>[1]!b_info_name(B267)</f>
        <v>16紫金矿业SCP009</v>
      </c>
      <c r="E267" s="19" t="str">
        <f>[1]!b_info_latestissurercreditrating(B267)</f>
        <v>AAA</v>
      </c>
      <c r="F267" s="20">
        <f ca="1">[1]!b_anal_day(B267,$A$5)/365</f>
        <v>0</v>
      </c>
      <c r="G267" s="21">
        <f ca="1">[1]!b_anal_yield_cnbd(B267,$A$5)</f>
        <v>0</v>
      </c>
      <c r="H267" s="21">
        <f t="shared" ca="1" si="12"/>
        <v>465.00000000000006</v>
      </c>
      <c r="I267" s="21">
        <f ca="1">[1]!b_anal_yield_cnbd(B267,$A$7)</f>
        <v>0</v>
      </c>
      <c r="J267" s="21">
        <f t="shared" ca="1" si="13"/>
        <v>0</v>
      </c>
      <c r="K267" s="19" t="str">
        <f>[1]!s_info_Nature(B267)</f>
        <v>地方国有企业</v>
      </c>
      <c r="L267" s="19" t="str">
        <f>[1]!b_info_windl1type(B267)</f>
        <v>短期融资券</v>
      </c>
      <c r="M267" s="13">
        <f>[1]!b_info_couponrate(B267)</f>
        <v>2.93</v>
      </c>
      <c r="N267" s="14" t="str">
        <f>[1]!B_Info_ListedDate(B267)</f>
        <v>2016-11-07</v>
      </c>
      <c r="O267" s="14" t="str">
        <f>[1]!b_issue_firstissue(B267)</f>
        <v>2016-11-03</v>
      </c>
      <c r="P267" s="4">
        <f t="shared" ca="1" si="14"/>
        <v>42989</v>
      </c>
    </row>
    <row r="268" spans="2:16">
      <c r="B268" s="7">
        <v>11698752</v>
      </c>
      <c r="C268" s="7">
        <v>4.6500000000000004</v>
      </c>
      <c r="D268" s="18" t="str">
        <f>[1]!b_info_name(B268)</f>
        <v>16紫金矿业SCP009</v>
      </c>
      <c r="E268" s="19" t="str">
        <f>[1]!b_info_latestissurercreditrating(B268)</f>
        <v>AAA</v>
      </c>
      <c r="F268" s="20">
        <f ca="1">[1]!b_anal_day(B268,$A$5)/365</f>
        <v>0</v>
      </c>
      <c r="G268" s="21">
        <f ca="1">[1]!b_anal_yield_cnbd(B268,$A$5)</f>
        <v>0</v>
      </c>
      <c r="H268" s="21">
        <f t="shared" ca="1" si="12"/>
        <v>465.00000000000006</v>
      </c>
      <c r="I268" s="21">
        <f ca="1">[1]!b_anal_yield_cnbd(B268,$A$7)</f>
        <v>0</v>
      </c>
      <c r="J268" s="21">
        <f t="shared" ca="1" si="13"/>
        <v>0</v>
      </c>
      <c r="K268" s="19" t="str">
        <f>[1]!s_info_Nature(B268)</f>
        <v>地方国有企业</v>
      </c>
      <c r="L268" s="19" t="str">
        <f>[1]!b_info_windl1type(B268)</f>
        <v>短期融资券</v>
      </c>
      <c r="M268" s="13">
        <f>[1]!b_info_couponrate(B268)</f>
        <v>2.93</v>
      </c>
      <c r="N268" s="14" t="str">
        <f>[1]!B_Info_ListedDate(B268)</f>
        <v>2016-11-07</v>
      </c>
      <c r="O268" s="14" t="str">
        <f>[1]!b_issue_firstissue(B268)</f>
        <v>2016-11-03</v>
      </c>
      <c r="P268" s="4">
        <f t="shared" ca="1" si="14"/>
        <v>42989</v>
      </c>
    </row>
    <row r="269" spans="2:16">
      <c r="B269" s="7">
        <v>101551003</v>
      </c>
      <c r="C269" s="7">
        <v>4.6399999999999997</v>
      </c>
      <c r="D269" s="18" t="str">
        <f>[1]!b_info_name(B269)</f>
        <v>15国电集MTN001</v>
      </c>
      <c r="E269" s="19" t="str">
        <f>[1]!b_info_latestissurercreditrating(B269)</f>
        <v>AAA</v>
      </c>
      <c r="F269" s="20">
        <f ca="1">[1]!b_anal_day(B269,$A$5)/365</f>
        <v>2.4</v>
      </c>
      <c r="G269" s="21">
        <f ca="1">[1]!b_anal_yield_cnbd(B269,$A$5)</f>
        <v>0</v>
      </c>
      <c r="H269" s="21">
        <f t="shared" ca="1" si="12"/>
        <v>463.99999999999994</v>
      </c>
      <c r="I269" s="21">
        <f ca="1">[1]!b_anal_yield_cnbd(B269,$A$7)</f>
        <v>0</v>
      </c>
      <c r="J269" s="21">
        <f t="shared" ca="1" si="13"/>
        <v>0</v>
      </c>
      <c r="K269" s="19" t="str">
        <f>[1]!s_info_Nature(B269)</f>
        <v>中央国有企业</v>
      </c>
      <c r="L269" s="19" t="str">
        <f>[1]!b_info_windl1type(B269)</f>
        <v>中期票据</v>
      </c>
      <c r="M269" s="13">
        <f>[1]!b_info_couponrate(B269)</f>
        <v>4.63</v>
      </c>
      <c r="N269" s="14" t="str">
        <f>[1]!B_Info_ListedDate(B269)</f>
        <v>2015-02-04</v>
      </c>
      <c r="O269" s="14" t="str">
        <f>[1]!b_issue_firstissue(B269)</f>
        <v>2015-02-02</v>
      </c>
      <c r="P269" s="4">
        <f t="shared" ca="1" si="14"/>
        <v>42989</v>
      </c>
    </row>
    <row r="270" spans="2:16">
      <c r="B270" s="7">
        <v>41669030</v>
      </c>
      <c r="C270" s="7">
        <v>4.62</v>
      </c>
      <c r="D270" s="18" t="str">
        <f>[1]!b_info_name(B270)</f>
        <v>16王府井CP002</v>
      </c>
      <c r="E270" s="19" t="str">
        <f>[1]!b_info_latestissurercreditrating(B270)</f>
        <v>AA+</v>
      </c>
      <c r="F270" s="20">
        <f ca="1">[1]!b_anal_day(B270,$A$5)/365</f>
        <v>0.25753424657534246</v>
      </c>
      <c r="G270" s="21">
        <f ca="1">[1]!b_anal_yield_cnbd(B270,$A$5)</f>
        <v>0</v>
      </c>
      <c r="H270" s="21">
        <f t="shared" ca="1" si="12"/>
        <v>462</v>
      </c>
      <c r="I270" s="21">
        <f ca="1">[1]!b_anal_yield_cnbd(B270,$A$7)</f>
        <v>0</v>
      </c>
      <c r="J270" s="21">
        <f t="shared" ca="1" si="13"/>
        <v>0</v>
      </c>
      <c r="K270" s="19" t="str">
        <f>[1]!s_info_Nature(B270)</f>
        <v>地方国有企业</v>
      </c>
      <c r="L270" s="19" t="str">
        <f>[1]!b_info_windl1type(B270)</f>
        <v>短期融资券</v>
      </c>
      <c r="M270" s="13">
        <f>[1]!b_info_couponrate(B270)</f>
        <v>3.89</v>
      </c>
      <c r="N270" s="14" t="str">
        <f>[1]!B_Info_ListedDate(B270)</f>
        <v>2016-12-14</v>
      </c>
      <c r="O270" s="14" t="str">
        <f>[1]!b_issue_firstissue(B270)</f>
        <v>2016-12-09</v>
      </c>
      <c r="P270" s="4">
        <f t="shared" ca="1" si="14"/>
        <v>42989</v>
      </c>
    </row>
    <row r="271" spans="2:16">
      <c r="B271" s="7">
        <v>41669030</v>
      </c>
      <c r="C271" s="7">
        <v>4.62</v>
      </c>
      <c r="D271" s="18" t="str">
        <f>[1]!b_info_name(B271)</f>
        <v>16王府井CP002</v>
      </c>
      <c r="E271" s="19" t="str">
        <f>[1]!b_info_latestissurercreditrating(B271)</f>
        <v>AA+</v>
      </c>
      <c r="F271" s="20">
        <f ca="1">[1]!b_anal_day(B271,$A$5)/365</f>
        <v>0.25753424657534246</v>
      </c>
      <c r="G271" s="21">
        <f ca="1">[1]!b_anal_yield_cnbd(B271,$A$5)</f>
        <v>0</v>
      </c>
      <c r="H271" s="21">
        <f t="shared" ca="1" si="12"/>
        <v>462</v>
      </c>
      <c r="I271" s="21">
        <f ca="1">[1]!b_anal_yield_cnbd(B271,$A$7)</f>
        <v>0</v>
      </c>
      <c r="J271" s="21">
        <f t="shared" ca="1" si="13"/>
        <v>0</v>
      </c>
      <c r="K271" s="19" t="str">
        <f>[1]!s_info_Nature(B271)</f>
        <v>地方国有企业</v>
      </c>
      <c r="L271" s="19" t="str">
        <f>[1]!b_info_windl1type(B271)</f>
        <v>短期融资券</v>
      </c>
      <c r="M271" s="13">
        <f>[1]!b_info_couponrate(B271)</f>
        <v>3.89</v>
      </c>
      <c r="N271" s="14" t="str">
        <f>[1]!B_Info_ListedDate(B271)</f>
        <v>2016-12-14</v>
      </c>
      <c r="O271" s="14" t="str">
        <f>[1]!b_issue_firstissue(B271)</f>
        <v>2016-12-09</v>
      </c>
      <c r="P271" s="4">
        <f t="shared" ca="1" si="14"/>
        <v>42989</v>
      </c>
    </row>
    <row r="272" spans="2:16">
      <c r="B272" s="7">
        <v>101451047</v>
      </c>
      <c r="C272" s="7">
        <v>4.5999999999999996</v>
      </c>
      <c r="D272" s="18" t="str">
        <f>[1]!b_info_name(B272)</f>
        <v>14铁道MTN002</v>
      </c>
      <c r="E272" s="19" t="str">
        <f>[1]!b_info_latestissurercreditrating(B272)</f>
        <v>AAA</v>
      </c>
      <c r="F272" s="20">
        <f ca="1">[1]!b_anal_day(B272,$A$5)/365</f>
        <v>2.1205479452054794</v>
      </c>
      <c r="G272" s="21">
        <f ca="1">[1]!b_anal_yield_cnbd(B272,$A$5)</f>
        <v>0</v>
      </c>
      <c r="H272" s="21">
        <f t="shared" ca="1" si="12"/>
        <v>459.99999999999994</v>
      </c>
      <c r="I272" s="21">
        <f ca="1">[1]!b_anal_yield_cnbd(B272,$A$7)</f>
        <v>0</v>
      </c>
      <c r="J272" s="21">
        <f t="shared" ca="1" si="13"/>
        <v>0</v>
      </c>
      <c r="K272" s="19" t="str">
        <f>[1]!s_info_Nature(B272)</f>
        <v>中央国有企业</v>
      </c>
      <c r="L272" s="19" t="str">
        <f>[1]!b_info_windl1type(B272)</f>
        <v>中期票据</v>
      </c>
      <c r="M272" s="13">
        <f>[1]!b_info_couponrate(B272)</f>
        <v>4.7300000000000004</v>
      </c>
      <c r="N272" s="14" t="str">
        <f>[1]!B_Info_ListedDate(B272)</f>
        <v>2014-10-27</v>
      </c>
      <c r="O272" s="14" t="str">
        <f>[1]!b_issue_firstissue(B272)</f>
        <v>2014-10-23</v>
      </c>
      <c r="P272" s="4">
        <f t="shared" ca="1" si="14"/>
        <v>42989</v>
      </c>
    </row>
    <row r="273" spans="2:16">
      <c r="B273" s="7">
        <v>11698575</v>
      </c>
      <c r="C273" s="7">
        <v>4.5999999999999996</v>
      </c>
      <c r="D273" s="18" t="str">
        <f>[1]!b_info_name(B273)</f>
        <v>16广晟SCP006</v>
      </c>
      <c r="E273" s="19" t="str">
        <f>[1]!b_info_latestissurercreditrating(B273)</f>
        <v>AAA</v>
      </c>
      <c r="F273" s="20">
        <f ca="1">[1]!b_anal_day(B273,$A$5)/365</f>
        <v>0</v>
      </c>
      <c r="G273" s="21">
        <f ca="1">[1]!b_anal_yield_cnbd(B273,$A$5)</f>
        <v>0</v>
      </c>
      <c r="H273" s="21">
        <f t="shared" ca="1" si="12"/>
        <v>459.99999999999994</v>
      </c>
      <c r="I273" s="21">
        <f ca="1">[1]!b_anal_yield_cnbd(B273,$A$7)</f>
        <v>0</v>
      </c>
      <c r="J273" s="21">
        <f t="shared" ca="1" si="13"/>
        <v>0</v>
      </c>
      <c r="K273" s="19" t="str">
        <f>[1]!s_info_Nature(B273)</f>
        <v>地方国有企业</v>
      </c>
      <c r="L273" s="19" t="str">
        <f>[1]!b_info_windl1type(B273)</f>
        <v>短期融资券</v>
      </c>
      <c r="M273" s="13">
        <f>[1]!b_info_couponrate(B273)</f>
        <v>2.95</v>
      </c>
      <c r="N273" s="14" t="str">
        <f>[1]!B_Info_ListedDate(B273)</f>
        <v>2016-10-18</v>
      </c>
      <c r="O273" s="14" t="str">
        <f>[1]!b_issue_firstissue(B273)</f>
        <v>2016-10-13</v>
      </c>
      <c r="P273" s="4">
        <f t="shared" ca="1" si="14"/>
        <v>42989</v>
      </c>
    </row>
    <row r="274" spans="2:16">
      <c r="B274" s="7">
        <v>111796139</v>
      </c>
      <c r="C274" s="7">
        <v>4.5999999999999996</v>
      </c>
      <c r="D274" s="18" t="str">
        <f>[1]!b_info_name(B274)</f>
        <v>17南京银行CD081</v>
      </c>
      <c r="E274" s="19" t="str">
        <f>[1]!b_info_latestissurercreditrating(B274)</f>
        <v>AAA</v>
      </c>
      <c r="F274" s="20">
        <f ca="1">[1]!b_anal_day(B274,$A$5)/365</f>
        <v>0.10684931506849316</v>
      </c>
      <c r="G274" s="21">
        <f ca="1">[1]!b_anal_yield_cnbd(B274,$A$5)</f>
        <v>0</v>
      </c>
      <c r="H274" s="21">
        <f t="shared" ca="1" si="12"/>
        <v>459.99999999999994</v>
      </c>
      <c r="I274" s="21">
        <f ca="1">[1]!b_anal_yield_cnbd(B274,$A$7)</f>
        <v>0</v>
      </c>
      <c r="J274" s="21">
        <f t="shared" ca="1" si="13"/>
        <v>0</v>
      </c>
      <c r="K274" s="19" t="str">
        <f>[1]!s_info_Nature(B274)</f>
        <v>公众企业</v>
      </c>
      <c r="L274" s="19" t="str">
        <f>[1]!b_info_windl1type(B274)</f>
        <v>同业存单</v>
      </c>
      <c r="M274" s="13">
        <f>[1]!b_info_couponrate(B274)</f>
        <v>4.5</v>
      </c>
      <c r="N274" s="14" t="str">
        <f>[1]!B_Info_ListedDate(B274)</f>
        <v>2017-04-19</v>
      </c>
      <c r="O274" s="14" t="str">
        <f>[1]!b_issue_firstissue(B274)</f>
        <v>2017-04-18</v>
      </c>
      <c r="P274" s="4">
        <f t="shared" ca="1" si="14"/>
        <v>42989</v>
      </c>
    </row>
    <row r="275" spans="2:16">
      <c r="B275" s="7" t="s">
        <v>256</v>
      </c>
      <c r="C275" s="7">
        <v>4.5999999999999996</v>
      </c>
      <c r="D275" s="18" t="str">
        <f>[1]!b_info_name(B275)</f>
        <v>15华宝债</v>
      </c>
      <c r="E275" s="19" t="str">
        <f>[1]!b_info_latestissurercreditrating(B275)</f>
        <v>AAA</v>
      </c>
      <c r="F275" s="20">
        <f ca="1">[1]!b_anal_day(B275,$A$5)/365</f>
        <v>1.1643835616438356</v>
      </c>
      <c r="G275" s="21">
        <f ca="1">[1]!b_anal_yield_cnbd(B275,$A$5)</f>
        <v>0</v>
      </c>
      <c r="H275" s="21">
        <f t="shared" ca="1" si="12"/>
        <v>459.99999999999994</v>
      </c>
      <c r="I275" s="21">
        <f ca="1">[1]!b_anal_yield_cnbd(B275,$A$7)</f>
        <v>0</v>
      </c>
      <c r="J275" s="21">
        <f t="shared" ca="1" si="13"/>
        <v>0</v>
      </c>
      <c r="K275" s="19" t="str">
        <f>[1]!s_info_Nature(B275)</f>
        <v>中央国有企业</v>
      </c>
      <c r="L275" s="19" t="str">
        <f>[1]!b_info_windl1type(B275)</f>
        <v>公司债</v>
      </c>
      <c r="M275" s="13">
        <f>[1]!b_info_couponrate(B275)</f>
        <v>3.55</v>
      </c>
      <c r="N275" s="14" t="str">
        <f>[1]!B_Info_ListedDate(B275)</f>
        <v>2015-12-08</v>
      </c>
      <c r="O275" s="14" t="str">
        <f>[1]!b_issue_firstissue(B275)</f>
        <v>2015-11-06</v>
      </c>
      <c r="P275" s="4">
        <f t="shared" ca="1" si="14"/>
        <v>42989</v>
      </c>
    </row>
    <row r="276" spans="2:16">
      <c r="B276" s="7" t="s">
        <v>634</v>
      </c>
      <c r="C276" s="7">
        <v>4.5999999999999996</v>
      </c>
      <c r="D276" s="18" t="str">
        <f>[1]!b_info_name(B276)</f>
        <v>16华泰G3</v>
      </c>
      <c r="E276" s="19" t="str">
        <f>[1]!b_info_latestissurercreditrating(B276)</f>
        <v>AAA</v>
      </c>
      <c r="F276" s="20">
        <f ca="1">[1]!b_anal_day(B276,$A$5)/365</f>
        <v>2.2602739726027399</v>
      </c>
      <c r="G276" s="21">
        <f ca="1">[1]!b_anal_yield_cnbd(B276,$A$5)</f>
        <v>0</v>
      </c>
      <c r="H276" s="21">
        <f t="shared" ca="1" si="12"/>
        <v>459.99999999999994</v>
      </c>
      <c r="I276" s="21">
        <f ca="1">[1]!b_anal_yield_cnbd(B276,$A$7)</f>
        <v>0</v>
      </c>
      <c r="J276" s="21">
        <f t="shared" ca="1" si="13"/>
        <v>0</v>
      </c>
      <c r="K276" s="19" t="str">
        <f>[1]!s_info_Nature(B276)</f>
        <v>地方国有企业</v>
      </c>
      <c r="L276" s="19" t="str">
        <f>[1]!b_info_windl1type(B276)</f>
        <v>金融债</v>
      </c>
      <c r="M276" s="13">
        <f>[1]!b_info_couponrate(B276)</f>
        <v>3.79</v>
      </c>
      <c r="N276" s="14" t="str">
        <f>[1]!B_Info_ListedDate(B276)</f>
        <v>2016-12-22</v>
      </c>
      <c r="O276" s="14" t="str">
        <f>[1]!b_issue_firstissue(B276)</f>
        <v>2016-12-12</v>
      </c>
      <c r="P276" s="4">
        <f t="shared" ca="1" si="14"/>
        <v>42989</v>
      </c>
    </row>
    <row r="277" spans="2:16">
      <c r="B277" s="7">
        <v>41662035</v>
      </c>
      <c r="C277" s="7">
        <v>4.55</v>
      </c>
      <c r="D277" s="18" t="str">
        <f>[1]!b_info_name(B277)</f>
        <v>16盐城新建CP002</v>
      </c>
      <c r="E277" s="19" t="str">
        <f>[1]!b_info_latestissurercreditrating(B277)</f>
        <v>AA</v>
      </c>
      <c r="F277" s="20">
        <f ca="1">[1]!b_anal_day(B277,$A$5)/365</f>
        <v>0</v>
      </c>
      <c r="G277" s="21">
        <f ca="1">[1]!b_anal_yield_cnbd(B277,$A$5)</f>
        <v>0</v>
      </c>
      <c r="H277" s="21">
        <f t="shared" ca="1" si="12"/>
        <v>455</v>
      </c>
      <c r="I277" s="21">
        <f ca="1">[1]!b_anal_yield_cnbd(B277,$A$7)</f>
        <v>0</v>
      </c>
      <c r="J277" s="21">
        <f t="shared" ca="1" si="13"/>
        <v>0</v>
      </c>
      <c r="K277" s="19" t="str">
        <f>[1]!s_info_Nature(B277)</f>
        <v>地方国有企业</v>
      </c>
      <c r="L277" s="19" t="str">
        <f>[1]!b_info_windl1type(B277)</f>
        <v>短期融资券</v>
      </c>
      <c r="M277" s="13">
        <f>[1]!b_info_couponrate(B277)</f>
        <v>3.5</v>
      </c>
      <c r="N277" s="14" t="str">
        <f>[1]!B_Info_ListedDate(B277)</f>
        <v>2016-06-29</v>
      </c>
      <c r="O277" s="14" t="str">
        <f>[1]!b_issue_firstissue(B277)</f>
        <v>2016-06-27</v>
      </c>
      <c r="P277" s="4">
        <f t="shared" ca="1" si="14"/>
        <v>42989</v>
      </c>
    </row>
    <row r="278" spans="2:16">
      <c r="B278" s="7">
        <v>11698708</v>
      </c>
      <c r="C278" s="7">
        <v>4.55</v>
      </c>
      <c r="D278" s="18" t="str">
        <f>[1]!b_info_name(B278)</f>
        <v>16外高桥SCP001</v>
      </c>
      <c r="E278" s="19" t="str">
        <f>[1]!b_info_latestissurercreditrating(B278)</f>
        <v>AAA</v>
      </c>
      <c r="F278" s="20">
        <f ca="1">[1]!b_anal_day(B278,$A$5)/365</f>
        <v>0</v>
      </c>
      <c r="G278" s="21">
        <f ca="1">[1]!b_anal_yield_cnbd(B278,$A$5)</f>
        <v>0</v>
      </c>
      <c r="H278" s="21">
        <f t="shared" ca="1" si="12"/>
        <v>455</v>
      </c>
      <c r="I278" s="21">
        <f ca="1">[1]!b_anal_yield_cnbd(B278,$A$7)</f>
        <v>0</v>
      </c>
      <c r="J278" s="21">
        <f t="shared" ca="1" si="13"/>
        <v>0</v>
      </c>
      <c r="K278" s="19" t="str">
        <f>[1]!s_info_Nature(B278)</f>
        <v>地方国有企业</v>
      </c>
      <c r="L278" s="19" t="str">
        <f>[1]!b_info_windl1type(B278)</f>
        <v>短期融资券</v>
      </c>
      <c r="M278" s="13">
        <f>[1]!b_info_couponrate(B278)</f>
        <v>3.02</v>
      </c>
      <c r="N278" s="14" t="str">
        <f>[1]!B_Info_ListedDate(B278)</f>
        <v>2016-10-31</v>
      </c>
      <c r="O278" s="14" t="str">
        <f>[1]!b_issue_firstissue(B278)</f>
        <v>2016-10-27</v>
      </c>
      <c r="P278" s="4">
        <f t="shared" ca="1" si="14"/>
        <v>42989</v>
      </c>
    </row>
    <row r="279" spans="2:16">
      <c r="B279" s="7">
        <v>111611293</v>
      </c>
      <c r="C279" s="7">
        <v>4.55</v>
      </c>
      <c r="D279" s="18" t="str">
        <f>[1]!b_info_name(B279)</f>
        <v>16平安CD293</v>
      </c>
      <c r="E279" s="19" t="str">
        <f>[1]!b_info_latestissurercreditrating(B279)</f>
        <v>AAA</v>
      </c>
      <c r="F279" s="20">
        <f ca="1">[1]!b_anal_day(B279,$A$5)/365</f>
        <v>0</v>
      </c>
      <c r="G279" s="21">
        <f ca="1">[1]!b_anal_yield_cnbd(B279,$A$5)</f>
        <v>0</v>
      </c>
      <c r="H279" s="21">
        <f t="shared" ca="1" si="12"/>
        <v>455</v>
      </c>
      <c r="I279" s="21">
        <f ca="1">[1]!b_anal_yield_cnbd(B279,$A$7)</f>
        <v>0</v>
      </c>
      <c r="J279" s="21">
        <f t="shared" ca="1" si="13"/>
        <v>0</v>
      </c>
      <c r="K279" s="19" t="str">
        <f>[1]!s_info_Nature(B279)</f>
        <v>公众企业</v>
      </c>
      <c r="L279" s="19" t="str">
        <f>[1]!b_info_windl1type(B279)</f>
        <v>同业存单</v>
      </c>
      <c r="M279" s="13">
        <f>[1]!b_info_couponrate(B279)</f>
        <v>2.87</v>
      </c>
      <c r="N279" s="14" t="str">
        <f>[1]!B_Info_ListedDate(B279)</f>
        <v>2016-07-26</v>
      </c>
      <c r="O279" s="14" t="str">
        <f>[1]!b_issue_firstissue(B279)</f>
        <v>2016-07-25</v>
      </c>
      <c r="P279" s="4">
        <f t="shared" ca="1" si="14"/>
        <v>42989</v>
      </c>
    </row>
    <row r="280" spans="2:16">
      <c r="B280" s="7">
        <v>111715129</v>
      </c>
      <c r="C280" s="7">
        <v>4.55</v>
      </c>
      <c r="D280" s="18" t="str">
        <f>[1]!b_info_name(B280)</f>
        <v>17民生银行CD129</v>
      </c>
      <c r="E280" s="19" t="str">
        <f>[1]!b_info_latestissurercreditrating(B280)</f>
        <v>AAA</v>
      </c>
      <c r="F280" s="20">
        <f ca="1">[1]!b_anal_day(B280,$A$5)/365</f>
        <v>0</v>
      </c>
      <c r="G280" s="21">
        <f ca="1">[1]!b_anal_yield_cnbd(B280,$A$5)</f>
        <v>0</v>
      </c>
      <c r="H280" s="21">
        <f t="shared" ca="1" si="12"/>
        <v>455</v>
      </c>
      <c r="I280" s="21">
        <f ca="1">[1]!b_anal_yield_cnbd(B280,$A$7)</f>
        <v>0</v>
      </c>
      <c r="J280" s="21">
        <f t="shared" ca="1" si="13"/>
        <v>0</v>
      </c>
      <c r="K280" s="19" t="str">
        <f>[1]!s_info_Nature(B280)</f>
        <v>公众企业</v>
      </c>
      <c r="L280" s="19" t="str">
        <f>[1]!b_info_windl1type(B280)</f>
        <v>同业存单</v>
      </c>
      <c r="M280" s="13">
        <f>[1]!b_info_couponrate(B280)</f>
        <v>4.45</v>
      </c>
      <c r="N280" s="14" t="str">
        <f>[1]!B_Info_ListedDate(B280)</f>
        <v>2017-05-02</v>
      </c>
      <c r="O280" s="14" t="str">
        <f>[1]!b_issue_firstissue(B280)</f>
        <v>2017-04-28</v>
      </c>
      <c r="P280" s="4">
        <f t="shared" ca="1" si="14"/>
        <v>42989</v>
      </c>
    </row>
    <row r="281" spans="2:16">
      <c r="B281" s="7">
        <v>111710227</v>
      </c>
      <c r="C281" s="7">
        <v>4.55</v>
      </c>
      <c r="D281" s="18" t="str">
        <f>[1]!b_info_name(B281)</f>
        <v>17兴业银行CD227</v>
      </c>
      <c r="E281" s="19" t="str">
        <f>[1]!b_info_latestissurercreditrating(B281)</f>
        <v>AAA</v>
      </c>
      <c r="F281" s="20">
        <f ca="1">[1]!b_anal_day(B281,$A$5)/365</f>
        <v>0</v>
      </c>
      <c r="G281" s="21">
        <f ca="1">[1]!b_anal_yield_cnbd(B281,$A$5)</f>
        <v>0</v>
      </c>
      <c r="H281" s="21">
        <f t="shared" ca="1" si="12"/>
        <v>455</v>
      </c>
      <c r="I281" s="21">
        <f ca="1">[1]!b_anal_yield_cnbd(B281,$A$7)</f>
        <v>0</v>
      </c>
      <c r="J281" s="21">
        <f t="shared" ca="1" si="13"/>
        <v>0</v>
      </c>
      <c r="K281" s="19" t="str">
        <f>[1]!s_info_Nature(B281)</f>
        <v>公众企业</v>
      </c>
      <c r="L281" s="19" t="str">
        <f>[1]!b_info_windl1type(B281)</f>
        <v>同业存单</v>
      </c>
      <c r="M281" s="13">
        <f>[1]!b_info_couponrate(B281)</f>
        <v>4.4301000000000004</v>
      </c>
      <c r="N281" s="14" t="str">
        <f>[1]!B_Info_ListedDate(B281)</f>
        <v>2017-05-03</v>
      </c>
      <c r="O281" s="14" t="str">
        <f>[1]!b_issue_firstissue(B281)</f>
        <v>2017-05-02</v>
      </c>
      <c r="P281" s="4">
        <f t="shared" ca="1" si="14"/>
        <v>42989</v>
      </c>
    </row>
    <row r="282" spans="2:16">
      <c r="B282" s="7">
        <v>111710227</v>
      </c>
      <c r="C282" s="7">
        <v>4.55</v>
      </c>
      <c r="D282" s="18" t="str">
        <f>[1]!b_info_name(B282)</f>
        <v>17兴业银行CD227</v>
      </c>
      <c r="E282" s="19" t="str">
        <f>[1]!b_info_latestissurercreditrating(B282)</f>
        <v>AAA</v>
      </c>
      <c r="F282" s="20">
        <f ca="1">[1]!b_anal_day(B282,$A$5)/365</f>
        <v>0</v>
      </c>
      <c r="G282" s="21">
        <f ca="1">[1]!b_anal_yield_cnbd(B282,$A$5)</f>
        <v>0</v>
      </c>
      <c r="H282" s="21">
        <f t="shared" ca="1" si="12"/>
        <v>455</v>
      </c>
      <c r="I282" s="21">
        <f ca="1">[1]!b_anal_yield_cnbd(B282,$A$7)</f>
        <v>0</v>
      </c>
      <c r="J282" s="21">
        <f t="shared" ca="1" si="13"/>
        <v>0</v>
      </c>
      <c r="K282" s="19" t="str">
        <f>[1]!s_info_Nature(B282)</f>
        <v>公众企业</v>
      </c>
      <c r="L282" s="19" t="str">
        <f>[1]!b_info_windl1type(B282)</f>
        <v>同业存单</v>
      </c>
      <c r="M282" s="13">
        <f>[1]!b_info_couponrate(B282)</f>
        <v>4.4301000000000004</v>
      </c>
      <c r="N282" s="14" t="str">
        <f>[1]!B_Info_ListedDate(B282)</f>
        <v>2017-05-03</v>
      </c>
      <c r="O282" s="14" t="str">
        <f>[1]!b_issue_firstissue(B282)</f>
        <v>2017-05-02</v>
      </c>
      <c r="P282" s="4">
        <f t="shared" ca="1" si="14"/>
        <v>42989</v>
      </c>
    </row>
    <row r="283" spans="2:16">
      <c r="B283" s="7">
        <v>111710227</v>
      </c>
      <c r="C283" s="7">
        <v>4.55</v>
      </c>
      <c r="D283" s="18" t="str">
        <f>[1]!b_info_name(B283)</f>
        <v>17兴业银行CD227</v>
      </c>
      <c r="E283" s="19" t="str">
        <f>[1]!b_info_latestissurercreditrating(B283)</f>
        <v>AAA</v>
      </c>
      <c r="F283" s="20">
        <f ca="1">[1]!b_anal_day(B283,$A$5)/365</f>
        <v>0</v>
      </c>
      <c r="G283" s="21">
        <f ca="1">[1]!b_anal_yield_cnbd(B283,$A$5)</f>
        <v>0</v>
      </c>
      <c r="H283" s="21">
        <f t="shared" ca="1" si="12"/>
        <v>455</v>
      </c>
      <c r="I283" s="21">
        <f ca="1">[1]!b_anal_yield_cnbd(B283,$A$7)</f>
        <v>0</v>
      </c>
      <c r="J283" s="21">
        <f t="shared" ca="1" si="13"/>
        <v>0</v>
      </c>
      <c r="K283" s="19" t="str">
        <f>[1]!s_info_Nature(B283)</f>
        <v>公众企业</v>
      </c>
      <c r="L283" s="19" t="str">
        <f>[1]!b_info_windl1type(B283)</f>
        <v>同业存单</v>
      </c>
      <c r="M283" s="13">
        <f>[1]!b_info_couponrate(B283)</f>
        <v>4.4301000000000004</v>
      </c>
      <c r="N283" s="14" t="str">
        <f>[1]!B_Info_ListedDate(B283)</f>
        <v>2017-05-03</v>
      </c>
      <c r="O283" s="14" t="str">
        <f>[1]!b_issue_firstissue(B283)</f>
        <v>2017-05-02</v>
      </c>
      <c r="P283" s="4">
        <f t="shared" ca="1" si="14"/>
        <v>42989</v>
      </c>
    </row>
    <row r="284" spans="2:16">
      <c r="B284" s="7">
        <v>111792491</v>
      </c>
      <c r="C284" s="7">
        <v>4.55</v>
      </c>
      <c r="D284" s="18" t="str">
        <f>[1]!b_info_name(B284)</f>
        <v>17广州农村商业银行CD022</v>
      </c>
      <c r="E284" s="19" t="str">
        <f>[1]!b_info_latestissurercreditrating(B284)</f>
        <v>AAA</v>
      </c>
      <c r="F284" s="20">
        <f ca="1">[1]!b_anal_day(B284,$A$5)/365</f>
        <v>0</v>
      </c>
      <c r="G284" s="21">
        <f ca="1">[1]!b_anal_yield_cnbd(B284,$A$5)</f>
        <v>0</v>
      </c>
      <c r="H284" s="21">
        <f t="shared" ca="1" si="12"/>
        <v>455</v>
      </c>
      <c r="I284" s="21">
        <f ca="1">[1]!b_anal_yield_cnbd(B284,$A$7)</f>
        <v>0</v>
      </c>
      <c r="J284" s="21">
        <f t="shared" ca="1" si="13"/>
        <v>0</v>
      </c>
      <c r="K284" s="19" t="str">
        <f>[1]!s_info_Nature(B284)</f>
        <v>公众企业</v>
      </c>
      <c r="L284" s="19" t="str">
        <f>[1]!b_info_windl1type(B284)</f>
        <v>同业存单</v>
      </c>
      <c r="M284" s="13">
        <f>[1]!b_info_couponrate(B284)</f>
        <v>4.55</v>
      </c>
      <c r="N284" s="14" t="str">
        <f>[1]!B_Info_ListedDate(B284)</f>
        <v>2017-02-24</v>
      </c>
      <c r="O284" s="14" t="str">
        <f>[1]!b_issue_firstissue(B284)</f>
        <v>2017-02-23</v>
      </c>
      <c r="P284" s="4">
        <f t="shared" ca="1" si="14"/>
        <v>42989</v>
      </c>
    </row>
    <row r="285" spans="2:16">
      <c r="B285" s="7">
        <v>111714009</v>
      </c>
      <c r="C285" s="7">
        <v>4.55</v>
      </c>
      <c r="D285" s="18" t="str">
        <f>[1]!b_info_name(B285)</f>
        <v>17江苏银行CD009</v>
      </c>
      <c r="E285" s="19" t="str">
        <f>[1]!b_info_latestissurercreditrating(B285)</f>
        <v>AAA</v>
      </c>
      <c r="F285" s="20">
        <f ca="1">[1]!b_anal_day(B285,$A$5)/365</f>
        <v>0</v>
      </c>
      <c r="G285" s="21">
        <f ca="1">[1]!b_anal_yield_cnbd(B285,$A$5)</f>
        <v>0</v>
      </c>
      <c r="H285" s="21">
        <f t="shared" ca="1" si="12"/>
        <v>455</v>
      </c>
      <c r="I285" s="21">
        <f ca="1">[1]!b_anal_yield_cnbd(B285,$A$7)</f>
        <v>0</v>
      </c>
      <c r="J285" s="21">
        <f t="shared" ca="1" si="13"/>
        <v>0</v>
      </c>
      <c r="K285" s="19" t="str">
        <f>[1]!s_info_Nature(B285)</f>
        <v>公众企业</v>
      </c>
      <c r="L285" s="19" t="str">
        <f>[1]!b_info_windl1type(B285)</f>
        <v>同业存单</v>
      </c>
      <c r="M285" s="13">
        <f>[1]!b_info_couponrate(B285)</f>
        <v>4</v>
      </c>
      <c r="N285" s="14" t="str">
        <f>[1]!B_Info_ListedDate(B285)</f>
        <v>2017-01-11</v>
      </c>
      <c r="O285" s="14" t="str">
        <f>[1]!b_issue_firstissue(B285)</f>
        <v>2017-01-10</v>
      </c>
      <c r="P285" s="4">
        <f t="shared" ca="1" si="14"/>
        <v>42989</v>
      </c>
    </row>
    <row r="286" spans="2:16">
      <c r="B286" s="7">
        <v>111790462</v>
      </c>
      <c r="C286" s="7">
        <v>4.55</v>
      </c>
      <c r="D286" s="18" t="str">
        <f>[1]!b_info_name(B286)</f>
        <v>17杭州银行CD012</v>
      </c>
      <c r="E286" s="19" t="str">
        <f>[1]!b_info_latestissurercreditrating(B286)</f>
        <v>AAA</v>
      </c>
      <c r="F286" s="20">
        <f ca="1">[1]!b_anal_day(B286,$A$5)/365</f>
        <v>0</v>
      </c>
      <c r="G286" s="21">
        <f ca="1">[1]!b_anal_yield_cnbd(B286,$A$5)</f>
        <v>0</v>
      </c>
      <c r="H286" s="21">
        <f t="shared" ca="1" si="12"/>
        <v>455</v>
      </c>
      <c r="I286" s="21">
        <f ca="1">[1]!b_anal_yield_cnbd(B286,$A$7)</f>
        <v>0</v>
      </c>
      <c r="J286" s="21">
        <f t="shared" ca="1" si="13"/>
        <v>0</v>
      </c>
      <c r="K286" s="19" t="str">
        <f>[1]!s_info_Nature(B286)</f>
        <v>地方国有企业</v>
      </c>
      <c r="L286" s="19" t="str">
        <f>[1]!b_info_windl1type(B286)</f>
        <v>同业存单</v>
      </c>
      <c r="M286" s="13">
        <f>[1]!b_info_couponrate(B286)</f>
        <v>3.95</v>
      </c>
      <c r="N286" s="14" t="str">
        <f>[1]!B_Info_ListedDate(B286)</f>
        <v>2017-01-17</v>
      </c>
      <c r="O286" s="14" t="str">
        <f>[1]!b_issue_firstissue(B286)</f>
        <v>2017-01-16</v>
      </c>
      <c r="P286" s="4">
        <f t="shared" ca="1" si="14"/>
        <v>42989</v>
      </c>
    </row>
    <row r="287" spans="2:16">
      <c r="B287" s="7">
        <v>11698513</v>
      </c>
      <c r="C287" s="7">
        <v>4.55</v>
      </c>
      <c r="D287" s="18" t="str">
        <f>[1]!b_info_name(B287)</f>
        <v>16陕交建SCP004</v>
      </c>
      <c r="E287" s="19" t="str">
        <f>[1]!b_info_latestissurercreditrating(B287)</f>
        <v>AAA</v>
      </c>
      <c r="F287" s="20">
        <f ca="1">[1]!b_anal_day(B287,$A$5)/365</f>
        <v>0</v>
      </c>
      <c r="G287" s="21">
        <f ca="1">[1]!b_anal_yield_cnbd(B287,$A$5)</f>
        <v>0</v>
      </c>
      <c r="H287" s="21">
        <f t="shared" ca="1" si="12"/>
        <v>455</v>
      </c>
      <c r="I287" s="21">
        <f ca="1">[1]!b_anal_yield_cnbd(B287,$A$7)</f>
        <v>0</v>
      </c>
      <c r="J287" s="21">
        <f t="shared" ca="1" si="13"/>
        <v>0</v>
      </c>
      <c r="K287" s="19" t="str">
        <f>[1]!s_info_Nature(B287)</f>
        <v>地方国有企业</v>
      </c>
      <c r="L287" s="19" t="str">
        <f>[1]!b_info_windl1type(B287)</f>
        <v>短期融资券</v>
      </c>
      <c r="M287" s="13">
        <f>[1]!b_info_couponrate(B287)</f>
        <v>2.99</v>
      </c>
      <c r="N287" s="14" t="str">
        <f>[1]!B_Info_ListedDate(B287)</f>
        <v>2016-09-28</v>
      </c>
      <c r="O287" s="14" t="str">
        <f>[1]!b_issue_firstissue(B287)</f>
        <v>2016-09-26</v>
      </c>
      <c r="P287" s="4">
        <f t="shared" ca="1" si="14"/>
        <v>42989</v>
      </c>
    </row>
    <row r="288" spans="2:16">
      <c r="B288" s="7">
        <v>11698513</v>
      </c>
      <c r="C288" s="7">
        <v>4.55</v>
      </c>
      <c r="D288" s="18" t="str">
        <f>[1]!b_info_name(B288)</f>
        <v>16陕交建SCP004</v>
      </c>
      <c r="E288" s="19" t="str">
        <f>[1]!b_info_latestissurercreditrating(B288)</f>
        <v>AAA</v>
      </c>
      <c r="F288" s="20">
        <f ca="1">[1]!b_anal_day(B288,$A$5)/365</f>
        <v>0</v>
      </c>
      <c r="G288" s="21">
        <f ca="1">[1]!b_anal_yield_cnbd(B288,$A$5)</f>
        <v>0</v>
      </c>
      <c r="H288" s="21">
        <f t="shared" ca="1" si="12"/>
        <v>455</v>
      </c>
      <c r="I288" s="21">
        <f ca="1">[1]!b_anal_yield_cnbd(B288,$A$7)</f>
        <v>0</v>
      </c>
      <c r="J288" s="21">
        <f t="shared" ca="1" si="13"/>
        <v>0</v>
      </c>
      <c r="K288" s="19" t="str">
        <f>[1]!s_info_Nature(B288)</f>
        <v>地方国有企业</v>
      </c>
      <c r="L288" s="19" t="str">
        <f>[1]!b_info_windl1type(B288)</f>
        <v>短期融资券</v>
      </c>
      <c r="M288" s="13">
        <f>[1]!b_info_couponrate(B288)</f>
        <v>2.99</v>
      </c>
      <c r="N288" s="14" t="str">
        <f>[1]!B_Info_ListedDate(B288)</f>
        <v>2016-09-28</v>
      </c>
      <c r="O288" s="14" t="str">
        <f>[1]!b_issue_firstissue(B288)</f>
        <v>2016-09-26</v>
      </c>
      <c r="P288" s="4">
        <f t="shared" ca="1" si="14"/>
        <v>42989</v>
      </c>
    </row>
    <row r="289" spans="2:16">
      <c r="B289" s="7">
        <v>11698583</v>
      </c>
      <c r="C289" s="7">
        <v>4.55</v>
      </c>
      <c r="D289" s="18" t="str">
        <f>[1]!b_info_name(B289)</f>
        <v>16振华石油SCP004</v>
      </c>
      <c r="E289" s="19" t="str">
        <f>[1]!b_info_latestissurercreditrating(B289)</f>
        <v>AAA</v>
      </c>
      <c r="F289" s="20">
        <f ca="1">[1]!b_anal_day(B289,$A$5)/365</f>
        <v>0</v>
      </c>
      <c r="G289" s="21">
        <f ca="1">[1]!b_anal_yield_cnbd(B289,$A$5)</f>
        <v>0</v>
      </c>
      <c r="H289" s="21">
        <f t="shared" ca="1" si="12"/>
        <v>455</v>
      </c>
      <c r="I289" s="21">
        <f ca="1">[1]!b_anal_yield_cnbd(B289,$A$7)</f>
        <v>0</v>
      </c>
      <c r="J289" s="21">
        <f t="shared" ca="1" si="13"/>
        <v>0</v>
      </c>
      <c r="K289" s="19" t="str">
        <f>[1]!s_info_Nature(B289)</f>
        <v>中央国有企业</v>
      </c>
      <c r="L289" s="19" t="str">
        <f>[1]!b_info_windl1type(B289)</f>
        <v>短期融资券</v>
      </c>
      <c r="M289" s="13">
        <f>[1]!b_info_couponrate(B289)</f>
        <v>2.87</v>
      </c>
      <c r="N289" s="14" t="str">
        <f>[1]!B_Info_ListedDate(B289)</f>
        <v>2016-10-17</v>
      </c>
      <c r="O289" s="14" t="str">
        <f>[1]!b_issue_firstissue(B289)</f>
        <v>2016-10-13</v>
      </c>
      <c r="P289" s="4">
        <f t="shared" ca="1" si="14"/>
        <v>42989</v>
      </c>
    </row>
    <row r="290" spans="2:16">
      <c r="B290" s="7">
        <v>111695060</v>
      </c>
      <c r="C290" s="7">
        <v>4.54</v>
      </c>
      <c r="D290" s="18" t="str">
        <f>[1]!b_info_name(B290)</f>
        <v>16郑州银行CD074</v>
      </c>
      <c r="E290" s="19" t="str">
        <f>[1]!b_info_latestissurercreditrating(B290)</f>
        <v>AAA</v>
      </c>
      <c r="F290" s="20">
        <f ca="1">[1]!b_anal_day(B290,$A$5)/365</f>
        <v>0</v>
      </c>
      <c r="G290" s="21">
        <f ca="1">[1]!b_anal_yield_cnbd(B290,$A$5)</f>
        <v>0</v>
      </c>
      <c r="H290" s="21">
        <f t="shared" ca="1" si="12"/>
        <v>454</v>
      </c>
      <c r="I290" s="21">
        <f ca="1">[1]!b_anal_yield_cnbd(B290,$A$7)</f>
        <v>0</v>
      </c>
      <c r="J290" s="21">
        <f t="shared" ca="1" si="13"/>
        <v>0</v>
      </c>
      <c r="K290" s="19" t="str">
        <f>[1]!s_info_Nature(B290)</f>
        <v>公众企业</v>
      </c>
      <c r="L290" s="19" t="str">
        <f>[1]!b_info_windl1type(B290)</f>
        <v>同业存单</v>
      </c>
      <c r="M290" s="13">
        <f>[1]!b_info_couponrate(B290)</f>
        <v>3.16</v>
      </c>
      <c r="N290" s="14" t="str">
        <f>[1]!B_Info_ListedDate(B290)</f>
        <v>2016-07-06</v>
      </c>
      <c r="O290" s="14" t="str">
        <f>[1]!b_issue_firstissue(B290)</f>
        <v>2016-07-05</v>
      </c>
      <c r="P290" s="4">
        <f t="shared" ca="1" si="14"/>
        <v>42989</v>
      </c>
    </row>
    <row r="291" spans="2:16">
      <c r="B291" s="7">
        <v>101453009</v>
      </c>
      <c r="C291" s="7">
        <v>4.54</v>
      </c>
      <c r="D291" s="18" t="str">
        <f>[1]!b_info_name(B291)</f>
        <v>14铁道MTN001</v>
      </c>
      <c r="E291" s="19" t="str">
        <f>[1]!b_info_latestissurercreditrating(B291)</f>
        <v>AAA</v>
      </c>
      <c r="F291" s="20">
        <f ca="1">[1]!b_anal_day(B291,$A$5)/365</f>
        <v>1.6164383561643836</v>
      </c>
      <c r="G291" s="21">
        <f ca="1">[1]!b_anal_yield_cnbd(B291,$A$5)</f>
        <v>0</v>
      </c>
      <c r="H291" s="21">
        <f t="shared" ca="1" si="12"/>
        <v>454</v>
      </c>
      <c r="I291" s="21">
        <f ca="1">[1]!b_anal_yield_cnbd(B291,$A$7)</f>
        <v>0</v>
      </c>
      <c r="J291" s="21">
        <f t="shared" ca="1" si="13"/>
        <v>0</v>
      </c>
      <c r="K291" s="19" t="str">
        <f>[1]!s_info_Nature(B291)</f>
        <v>中央国有企业</v>
      </c>
      <c r="L291" s="19" t="str">
        <f>[1]!b_info_windl1type(B291)</f>
        <v>中期票据</v>
      </c>
      <c r="M291" s="13">
        <f>[1]!b_info_couponrate(B291)</f>
        <v>5.7</v>
      </c>
      <c r="N291" s="14" t="str">
        <f>[1]!B_Info_ListedDate(B291)</f>
        <v>2014-04-24</v>
      </c>
      <c r="O291" s="14" t="str">
        <f>[1]!b_issue_firstissue(B291)</f>
        <v>2014-04-22</v>
      </c>
      <c r="P291" s="4">
        <f t="shared" ca="1" si="14"/>
        <v>42989</v>
      </c>
    </row>
    <row r="292" spans="2:16">
      <c r="B292" s="7">
        <v>101453009</v>
      </c>
      <c r="C292" s="7">
        <v>4.54</v>
      </c>
      <c r="D292" s="18" t="str">
        <f>[1]!b_info_name(B292)</f>
        <v>14铁道MTN001</v>
      </c>
      <c r="E292" s="19" t="str">
        <f>[1]!b_info_latestissurercreditrating(B292)</f>
        <v>AAA</v>
      </c>
      <c r="F292" s="20">
        <f ca="1">[1]!b_anal_day(B292,$A$5)/365</f>
        <v>1.6164383561643836</v>
      </c>
      <c r="G292" s="21">
        <f ca="1">[1]!b_anal_yield_cnbd(B292,$A$5)</f>
        <v>0</v>
      </c>
      <c r="H292" s="21">
        <f t="shared" ca="1" si="12"/>
        <v>454</v>
      </c>
      <c r="I292" s="21">
        <f ca="1">[1]!b_anal_yield_cnbd(B292,$A$7)</f>
        <v>0</v>
      </c>
      <c r="J292" s="21">
        <f t="shared" ca="1" si="13"/>
        <v>0</v>
      </c>
      <c r="K292" s="19" t="str">
        <f>[1]!s_info_Nature(B292)</f>
        <v>中央国有企业</v>
      </c>
      <c r="L292" s="19" t="str">
        <f>[1]!b_info_windl1type(B292)</f>
        <v>中期票据</v>
      </c>
      <c r="M292" s="13">
        <f>[1]!b_info_couponrate(B292)</f>
        <v>5.7</v>
      </c>
      <c r="N292" s="14" t="str">
        <f>[1]!B_Info_ListedDate(B292)</f>
        <v>2014-04-24</v>
      </c>
      <c r="O292" s="14" t="str">
        <f>[1]!b_issue_firstissue(B292)</f>
        <v>2014-04-22</v>
      </c>
      <c r="P292" s="4">
        <f t="shared" ca="1" si="14"/>
        <v>42989</v>
      </c>
    </row>
    <row r="293" spans="2:16">
      <c r="B293" s="7">
        <v>101554059</v>
      </c>
      <c r="C293" s="7">
        <v>4.54</v>
      </c>
      <c r="D293" s="18" t="str">
        <f>[1]!b_info_name(B293)</f>
        <v>15中粮MTN001</v>
      </c>
      <c r="E293" s="19" t="str">
        <f>[1]!b_info_latestissurercreditrating(B293)</f>
        <v>AAA</v>
      </c>
      <c r="F293" s="20">
        <f ca="1">[1]!b_anal_day(B293,$A$5)/365</f>
        <v>1</v>
      </c>
      <c r="G293" s="21">
        <f ca="1">[1]!b_anal_yield_cnbd(B293,$A$5)</f>
        <v>0</v>
      </c>
      <c r="H293" s="21">
        <f t="shared" ca="1" si="12"/>
        <v>454</v>
      </c>
      <c r="I293" s="21">
        <f ca="1">[1]!b_anal_yield_cnbd(B293,$A$7)</f>
        <v>0</v>
      </c>
      <c r="J293" s="21">
        <f t="shared" ca="1" si="13"/>
        <v>0</v>
      </c>
      <c r="K293" s="19" t="str">
        <f>[1]!s_info_Nature(B293)</f>
        <v>中央国有企业</v>
      </c>
      <c r="L293" s="19" t="str">
        <f>[1]!b_info_windl1type(B293)</f>
        <v>中期票据</v>
      </c>
      <c r="M293" s="13">
        <f>[1]!b_info_couponrate(B293)</f>
        <v>3.85</v>
      </c>
      <c r="N293" s="14" t="str">
        <f>[1]!B_Info_ListedDate(B293)</f>
        <v>2015-09-11</v>
      </c>
      <c r="O293" s="14" t="str">
        <f>[1]!b_issue_firstissue(B293)</f>
        <v>2015-09-08</v>
      </c>
      <c r="P293" s="4">
        <f t="shared" ca="1" si="14"/>
        <v>42989</v>
      </c>
    </row>
    <row r="294" spans="2:16">
      <c r="B294" s="7">
        <v>111710227</v>
      </c>
      <c r="C294" s="7">
        <v>4.53</v>
      </c>
      <c r="D294" s="18" t="str">
        <f>[1]!b_info_name(B294)</f>
        <v>17兴业银行CD227</v>
      </c>
      <c r="E294" s="19" t="str">
        <f>[1]!b_info_latestissurercreditrating(B294)</f>
        <v>AAA</v>
      </c>
      <c r="F294" s="20">
        <f ca="1">[1]!b_anal_day(B294,$A$5)/365</f>
        <v>0</v>
      </c>
      <c r="G294" s="21">
        <f ca="1">[1]!b_anal_yield_cnbd(B294,$A$5)</f>
        <v>0</v>
      </c>
      <c r="H294" s="21">
        <f t="shared" ca="1" si="12"/>
        <v>453</v>
      </c>
      <c r="I294" s="21">
        <f ca="1">[1]!b_anal_yield_cnbd(B294,$A$7)</f>
        <v>0</v>
      </c>
      <c r="J294" s="21">
        <f t="shared" ca="1" si="13"/>
        <v>0</v>
      </c>
      <c r="K294" s="19" t="str">
        <f>[1]!s_info_Nature(B294)</f>
        <v>公众企业</v>
      </c>
      <c r="L294" s="19" t="str">
        <f>[1]!b_info_windl1type(B294)</f>
        <v>同业存单</v>
      </c>
      <c r="M294" s="13">
        <f>[1]!b_info_couponrate(B294)</f>
        <v>4.4301000000000004</v>
      </c>
      <c r="N294" s="14" t="str">
        <f>[1]!B_Info_ListedDate(B294)</f>
        <v>2017-05-03</v>
      </c>
      <c r="O294" s="14" t="str">
        <f>[1]!b_issue_firstissue(B294)</f>
        <v>2017-05-02</v>
      </c>
      <c r="P294" s="4">
        <f t="shared" ca="1" si="14"/>
        <v>42989</v>
      </c>
    </row>
    <row r="295" spans="2:16">
      <c r="B295" s="7">
        <v>101472005</v>
      </c>
      <c r="C295" s="7">
        <v>4.53</v>
      </c>
      <c r="D295" s="18" t="str">
        <f>[1]!b_info_name(B295)</f>
        <v>14宁国投MTN001</v>
      </c>
      <c r="E295" s="19" t="str">
        <f>[1]!b_info_latestissurercreditrating(B295)</f>
        <v>AAA</v>
      </c>
      <c r="F295" s="20">
        <f ca="1">[1]!b_anal_day(B295,$A$5)/365</f>
        <v>0</v>
      </c>
      <c r="G295" s="21">
        <f ca="1">[1]!b_anal_yield_cnbd(B295,$A$5)</f>
        <v>0</v>
      </c>
      <c r="H295" s="21">
        <f t="shared" ca="1" si="12"/>
        <v>453</v>
      </c>
      <c r="I295" s="21">
        <f ca="1">[1]!b_anal_yield_cnbd(B295,$A$7)</f>
        <v>0</v>
      </c>
      <c r="J295" s="21">
        <f t="shared" ca="1" si="13"/>
        <v>0</v>
      </c>
      <c r="K295" s="19" t="str">
        <f>[1]!s_info_Nature(B295)</f>
        <v>地方国有企业</v>
      </c>
      <c r="L295" s="19" t="str">
        <f>[1]!b_info_windl1type(B295)</f>
        <v>中期票据</v>
      </c>
      <c r="M295" s="13">
        <f>[1]!b_info_couponrate(B295)</f>
        <v>5.83</v>
      </c>
      <c r="N295" s="14" t="str">
        <f>[1]!B_Info_ListedDate(B295)</f>
        <v>2014-06-30</v>
      </c>
      <c r="O295" s="14" t="str">
        <f>[1]!b_issue_firstissue(B295)</f>
        <v>2014-06-25</v>
      </c>
      <c r="P295" s="4">
        <f t="shared" ca="1" si="14"/>
        <v>42989</v>
      </c>
    </row>
    <row r="296" spans="2:16">
      <c r="B296" s="7">
        <v>88063</v>
      </c>
      <c r="C296" s="7">
        <v>4.5199999999999996</v>
      </c>
      <c r="D296" s="18" t="str">
        <f>[1]!b_info_name(B296)</f>
        <v>08铁道07</v>
      </c>
      <c r="E296" s="19" t="str">
        <f>[1]!b_info_latestissurercreditrating(B296)</f>
        <v>AAA</v>
      </c>
      <c r="F296" s="20">
        <f ca="1">[1]!b_anal_day(B296,$A$5)/365</f>
        <v>1.2082191780821918</v>
      </c>
      <c r="G296" s="21">
        <f ca="1">[1]!b_anal_yield_cnbd(B296,$A$5)</f>
        <v>0</v>
      </c>
      <c r="H296" s="21">
        <f t="shared" ca="1" si="12"/>
        <v>451.99999999999994</v>
      </c>
      <c r="I296" s="21">
        <f ca="1">[1]!b_anal_yield_cnbd(B296,$A$7)</f>
        <v>0</v>
      </c>
      <c r="J296" s="21">
        <f t="shared" ca="1" si="13"/>
        <v>0</v>
      </c>
      <c r="K296" s="19" t="str">
        <f>[1]!s_info_Nature(B296)</f>
        <v>中央国有企业</v>
      </c>
      <c r="L296" s="19" t="str">
        <f>[1]!b_info_windl1type(B296)</f>
        <v>政府支持机构债</v>
      </c>
      <c r="M296" s="13">
        <f>[1]!b_info_couponrate(B296)</f>
        <v>3.96</v>
      </c>
      <c r="N296" s="14" t="str">
        <f>[1]!B_Info_ListedDate(B296)</f>
        <v>2008-12-01</v>
      </c>
      <c r="O296" s="14" t="str">
        <f>[1]!b_issue_firstissue(B296)</f>
        <v>2008-11-24</v>
      </c>
      <c r="P296" s="4">
        <f t="shared" ca="1" si="14"/>
        <v>42989</v>
      </c>
    </row>
    <row r="297" spans="2:16">
      <c r="B297" s="7">
        <v>111710226</v>
      </c>
      <c r="C297" s="7">
        <v>4.5199999999999996</v>
      </c>
      <c r="D297" s="18" t="str">
        <f>[1]!b_info_name(B297)</f>
        <v>17兴业银行CD226</v>
      </c>
      <c r="E297" s="19" t="str">
        <f>[1]!b_info_latestissurercreditrating(B297)</f>
        <v>AAA</v>
      </c>
      <c r="F297" s="20">
        <f ca="1">[1]!b_anal_day(B297,$A$5)/365</f>
        <v>0</v>
      </c>
      <c r="G297" s="21">
        <f ca="1">[1]!b_anal_yield_cnbd(B297,$A$5)</f>
        <v>0</v>
      </c>
      <c r="H297" s="21">
        <f t="shared" ca="1" si="12"/>
        <v>451.99999999999994</v>
      </c>
      <c r="I297" s="21">
        <f ca="1">[1]!b_anal_yield_cnbd(B297,$A$7)</f>
        <v>0</v>
      </c>
      <c r="J297" s="21">
        <f t="shared" ca="1" si="13"/>
        <v>0</v>
      </c>
      <c r="K297" s="19" t="str">
        <f>[1]!s_info_Nature(B297)</f>
        <v>公众企业</v>
      </c>
      <c r="L297" s="19" t="str">
        <f>[1]!b_info_windl1type(B297)</f>
        <v>同业存单</v>
      </c>
      <c r="M297" s="13">
        <f>[1]!b_info_couponrate(B297)</f>
        <v>4.45</v>
      </c>
      <c r="N297" s="14" t="str">
        <f>[1]!B_Info_ListedDate(B297)</f>
        <v>2017-05-02</v>
      </c>
      <c r="O297" s="14" t="str">
        <f>[1]!b_issue_firstissue(B297)</f>
        <v>2017-04-28</v>
      </c>
      <c r="P297" s="4">
        <f t="shared" ca="1" si="14"/>
        <v>42989</v>
      </c>
    </row>
    <row r="298" spans="2:16">
      <c r="B298" s="7">
        <v>111710218</v>
      </c>
      <c r="C298" s="7">
        <v>4.51</v>
      </c>
      <c r="D298" s="18" t="str">
        <f>[1]!b_info_name(B298)</f>
        <v>17兴业银行CD218</v>
      </c>
      <c r="E298" s="19" t="str">
        <f>[1]!b_info_latestissurercreditrating(B298)</f>
        <v>AAA</v>
      </c>
      <c r="F298" s="20">
        <f ca="1">[1]!b_anal_day(B298,$A$5)/365</f>
        <v>0</v>
      </c>
      <c r="G298" s="21">
        <f ca="1">[1]!b_anal_yield_cnbd(B298,$A$5)</f>
        <v>0</v>
      </c>
      <c r="H298" s="21">
        <f t="shared" ca="1" si="12"/>
        <v>451</v>
      </c>
      <c r="I298" s="21">
        <f ca="1">[1]!b_anal_yield_cnbd(B298,$A$7)</f>
        <v>0</v>
      </c>
      <c r="J298" s="21">
        <f t="shared" ca="1" si="13"/>
        <v>0</v>
      </c>
      <c r="K298" s="19" t="str">
        <f>[1]!s_info_Nature(B298)</f>
        <v>公众企业</v>
      </c>
      <c r="L298" s="19" t="str">
        <f>[1]!b_info_windl1type(B298)</f>
        <v>同业存单</v>
      </c>
      <c r="M298" s="13">
        <f>[1]!b_info_couponrate(B298)</f>
        <v>4.4500999999999999</v>
      </c>
      <c r="N298" s="14" t="str">
        <f>[1]!B_Info_ListedDate(B298)</f>
        <v>2017-04-27</v>
      </c>
      <c r="O298" s="14" t="str">
        <f>[1]!b_issue_firstissue(B298)</f>
        <v>2017-04-26</v>
      </c>
      <c r="P298" s="4">
        <f t="shared" ca="1" si="14"/>
        <v>42989</v>
      </c>
    </row>
    <row r="299" spans="2:16">
      <c r="B299" s="7">
        <v>111710218</v>
      </c>
      <c r="C299" s="7">
        <v>4.51</v>
      </c>
      <c r="D299" s="18" t="str">
        <f>[1]!b_info_name(B299)</f>
        <v>17兴业银行CD218</v>
      </c>
      <c r="E299" s="19" t="str">
        <f>[1]!b_info_latestissurercreditrating(B299)</f>
        <v>AAA</v>
      </c>
      <c r="F299" s="20">
        <f ca="1">[1]!b_anal_day(B299,$A$5)/365</f>
        <v>0</v>
      </c>
      <c r="G299" s="21">
        <f ca="1">[1]!b_anal_yield_cnbd(B299,$A$5)</f>
        <v>0</v>
      </c>
      <c r="H299" s="21">
        <f t="shared" ca="1" si="12"/>
        <v>451</v>
      </c>
      <c r="I299" s="21">
        <f ca="1">[1]!b_anal_yield_cnbd(B299,$A$7)</f>
        <v>0</v>
      </c>
      <c r="J299" s="21">
        <f t="shared" ca="1" si="13"/>
        <v>0</v>
      </c>
      <c r="K299" s="19" t="str">
        <f>[1]!s_info_Nature(B299)</f>
        <v>公众企业</v>
      </c>
      <c r="L299" s="19" t="str">
        <f>[1]!b_info_windl1type(B299)</f>
        <v>同业存单</v>
      </c>
      <c r="M299" s="13">
        <f>[1]!b_info_couponrate(B299)</f>
        <v>4.4500999999999999</v>
      </c>
      <c r="N299" s="14" t="str">
        <f>[1]!B_Info_ListedDate(B299)</f>
        <v>2017-04-27</v>
      </c>
      <c r="O299" s="14" t="str">
        <f>[1]!b_issue_firstissue(B299)</f>
        <v>2017-04-26</v>
      </c>
      <c r="P299" s="4">
        <f t="shared" ca="1" si="14"/>
        <v>42989</v>
      </c>
    </row>
    <row r="300" spans="2:16">
      <c r="B300" s="7">
        <v>111710226</v>
      </c>
      <c r="C300" s="7">
        <v>4.51</v>
      </c>
      <c r="D300" s="18" t="str">
        <f>[1]!b_info_name(B300)</f>
        <v>17兴业银行CD226</v>
      </c>
      <c r="E300" s="19" t="str">
        <f>[1]!b_info_latestissurercreditrating(B300)</f>
        <v>AAA</v>
      </c>
      <c r="F300" s="20">
        <f ca="1">[1]!b_anal_day(B300,$A$5)/365</f>
        <v>0</v>
      </c>
      <c r="G300" s="21">
        <f ca="1">[1]!b_anal_yield_cnbd(B300,$A$5)</f>
        <v>0</v>
      </c>
      <c r="H300" s="21">
        <f t="shared" ca="1" si="12"/>
        <v>451</v>
      </c>
      <c r="I300" s="21">
        <f ca="1">[1]!b_anal_yield_cnbd(B300,$A$7)</f>
        <v>0</v>
      </c>
      <c r="J300" s="21">
        <f t="shared" ca="1" si="13"/>
        <v>0</v>
      </c>
      <c r="K300" s="19" t="str">
        <f>[1]!s_info_Nature(B300)</f>
        <v>公众企业</v>
      </c>
      <c r="L300" s="19" t="str">
        <f>[1]!b_info_windl1type(B300)</f>
        <v>同业存单</v>
      </c>
      <c r="M300" s="13">
        <f>[1]!b_info_couponrate(B300)</f>
        <v>4.45</v>
      </c>
      <c r="N300" s="14" t="str">
        <f>[1]!B_Info_ListedDate(B300)</f>
        <v>2017-05-02</v>
      </c>
      <c r="O300" s="14" t="str">
        <f>[1]!b_issue_firstissue(B300)</f>
        <v>2017-04-28</v>
      </c>
      <c r="P300" s="4">
        <f t="shared" ca="1" si="14"/>
        <v>42989</v>
      </c>
    </row>
    <row r="301" spans="2:16">
      <c r="B301" s="7">
        <v>11698702</v>
      </c>
      <c r="C301" s="7">
        <v>4.51</v>
      </c>
      <c r="D301" s="18" t="str">
        <f>[1]!b_info_name(B301)</f>
        <v>16海淀国资SCP002</v>
      </c>
      <c r="E301" s="19" t="str">
        <f>[1]!b_info_latestissurercreditrating(B301)</f>
        <v>AAA</v>
      </c>
      <c r="F301" s="20">
        <f ca="1">[1]!b_anal_day(B301,$A$5)/365</f>
        <v>0</v>
      </c>
      <c r="G301" s="21">
        <f ca="1">[1]!b_anal_yield_cnbd(B301,$A$5)</f>
        <v>0</v>
      </c>
      <c r="H301" s="21">
        <f t="shared" ca="1" si="12"/>
        <v>451</v>
      </c>
      <c r="I301" s="21">
        <f ca="1">[1]!b_anal_yield_cnbd(B301,$A$7)</f>
        <v>0</v>
      </c>
      <c r="J301" s="21">
        <f t="shared" ca="1" si="13"/>
        <v>0</v>
      </c>
      <c r="K301" s="19" t="str">
        <f>[1]!s_info_Nature(B301)</f>
        <v>地方国有企业</v>
      </c>
      <c r="L301" s="19" t="str">
        <f>[1]!b_info_windl1type(B301)</f>
        <v>短期融资券</v>
      </c>
      <c r="M301" s="13">
        <f>[1]!b_info_couponrate(B301)</f>
        <v>3.02</v>
      </c>
      <c r="N301" s="14" t="str">
        <f>[1]!B_Info_ListedDate(B301)</f>
        <v>2016-10-31</v>
      </c>
      <c r="O301" s="14" t="str">
        <f>[1]!b_issue_firstissue(B301)</f>
        <v>2016-10-27</v>
      </c>
      <c r="P301" s="4">
        <f t="shared" ca="1" si="14"/>
        <v>42989</v>
      </c>
    </row>
    <row r="302" spans="2:16">
      <c r="B302" s="7">
        <v>11698708</v>
      </c>
      <c r="C302" s="7">
        <v>4.5</v>
      </c>
      <c r="D302" s="18" t="str">
        <f>[1]!b_info_name(B302)</f>
        <v>16外高桥SCP001</v>
      </c>
      <c r="E302" s="19" t="str">
        <f>[1]!b_info_latestissurercreditrating(B302)</f>
        <v>AAA</v>
      </c>
      <c r="F302" s="20">
        <f ca="1">[1]!b_anal_day(B302,$A$5)/365</f>
        <v>0</v>
      </c>
      <c r="G302" s="21">
        <f ca="1">[1]!b_anal_yield_cnbd(B302,$A$5)</f>
        <v>0</v>
      </c>
      <c r="H302" s="21">
        <f t="shared" ca="1" si="12"/>
        <v>450</v>
      </c>
      <c r="I302" s="21">
        <f ca="1">[1]!b_anal_yield_cnbd(B302,$A$7)</f>
        <v>0</v>
      </c>
      <c r="J302" s="21">
        <f t="shared" ca="1" si="13"/>
        <v>0</v>
      </c>
      <c r="K302" s="19" t="str">
        <f>[1]!s_info_Nature(B302)</f>
        <v>地方国有企业</v>
      </c>
      <c r="L302" s="19" t="str">
        <f>[1]!b_info_windl1type(B302)</f>
        <v>短期融资券</v>
      </c>
      <c r="M302" s="13">
        <f>[1]!b_info_couponrate(B302)</f>
        <v>3.02</v>
      </c>
      <c r="N302" s="14" t="str">
        <f>[1]!B_Info_ListedDate(B302)</f>
        <v>2016-10-31</v>
      </c>
      <c r="O302" s="14" t="str">
        <f>[1]!b_issue_firstissue(B302)</f>
        <v>2016-10-27</v>
      </c>
      <c r="P302" s="4">
        <f t="shared" ca="1" si="14"/>
        <v>42989</v>
      </c>
    </row>
    <row r="303" spans="2:16">
      <c r="B303" s="7">
        <v>101472005</v>
      </c>
      <c r="C303" s="7">
        <v>4.5</v>
      </c>
      <c r="D303" s="18" t="str">
        <f>[1]!b_info_name(B303)</f>
        <v>14宁国投MTN001</v>
      </c>
      <c r="E303" s="19" t="str">
        <f>[1]!b_info_latestissurercreditrating(B303)</f>
        <v>AAA</v>
      </c>
      <c r="F303" s="20">
        <f ca="1">[1]!b_anal_day(B303,$A$5)/365</f>
        <v>0</v>
      </c>
      <c r="G303" s="21">
        <f ca="1">[1]!b_anal_yield_cnbd(B303,$A$5)</f>
        <v>0</v>
      </c>
      <c r="H303" s="21">
        <f t="shared" ca="1" si="12"/>
        <v>450</v>
      </c>
      <c r="I303" s="21">
        <f ca="1">[1]!b_anal_yield_cnbd(B303,$A$7)</f>
        <v>0</v>
      </c>
      <c r="J303" s="21">
        <f t="shared" ca="1" si="13"/>
        <v>0</v>
      </c>
      <c r="K303" s="19" t="str">
        <f>[1]!s_info_Nature(B303)</f>
        <v>地方国有企业</v>
      </c>
      <c r="L303" s="19" t="str">
        <f>[1]!b_info_windl1type(B303)</f>
        <v>中期票据</v>
      </c>
      <c r="M303" s="13">
        <f>[1]!b_info_couponrate(B303)</f>
        <v>5.83</v>
      </c>
      <c r="N303" s="14" t="str">
        <f>[1]!B_Info_ListedDate(B303)</f>
        <v>2014-06-30</v>
      </c>
      <c r="O303" s="14" t="str">
        <f>[1]!b_issue_firstissue(B303)</f>
        <v>2014-06-25</v>
      </c>
      <c r="P303" s="4">
        <f t="shared" ca="1" si="14"/>
        <v>42989</v>
      </c>
    </row>
    <row r="304" spans="2:16">
      <c r="B304" s="7">
        <v>88040</v>
      </c>
      <c r="C304" s="7">
        <v>4.5</v>
      </c>
      <c r="D304" s="18" t="str">
        <f>[1]!b_info_name(B304)</f>
        <v>08铁道01</v>
      </c>
      <c r="E304" s="19" t="str">
        <f>[1]!b_info_latestissurercreditrating(B304)</f>
        <v>AAA</v>
      </c>
      <c r="F304" s="20">
        <f ca="1">[1]!b_anal_day(B304,$A$5)/365</f>
        <v>1.0356164383561643</v>
      </c>
      <c r="G304" s="21">
        <f ca="1">[1]!b_anal_yield_cnbd(B304,$A$5)</f>
        <v>0</v>
      </c>
      <c r="H304" s="21">
        <f t="shared" ca="1" si="12"/>
        <v>450</v>
      </c>
      <c r="I304" s="21">
        <f ca="1">[1]!b_anal_yield_cnbd(B304,$A$7)</f>
        <v>0</v>
      </c>
      <c r="J304" s="21">
        <f t="shared" ca="1" si="13"/>
        <v>0</v>
      </c>
      <c r="K304" s="19" t="str">
        <f>[1]!s_info_Nature(B304)</f>
        <v>中央国有企业</v>
      </c>
      <c r="L304" s="19" t="str">
        <f>[1]!b_info_windl1type(B304)</f>
        <v>政府支持机构债</v>
      </c>
      <c r="M304" s="13">
        <f>[1]!b_info_couponrate(B304)</f>
        <v>4.59</v>
      </c>
      <c r="N304" s="14" t="str">
        <f>[1]!B_Info_ListedDate(B304)</f>
        <v>2008-09-28</v>
      </c>
      <c r="O304" s="14" t="str">
        <f>[1]!b_issue_firstissue(B304)</f>
        <v>2008-09-22</v>
      </c>
      <c r="P304" s="4">
        <f t="shared" ca="1" si="14"/>
        <v>42989</v>
      </c>
    </row>
    <row r="305" spans="2:16">
      <c r="B305" s="7">
        <v>111717025</v>
      </c>
      <c r="C305" s="7">
        <v>4.5</v>
      </c>
      <c r="D305" s="18" t="str">
        <f>[1]!b_info_name(B305)</f>
        <v>17光大银行CD025</v>
      </c>
      <c r="E305" s="19" t="str">
        <f>[1]!b_info_latestissurercreditrating(B305)</f>
        <v>AAA</v>
      </c>
      <c r="F305" s="20">
        <f ca="1">[1]!b_anal_day(B305,$A$5)/365</f>
        <v>0</v>
      </c>
      <c r="G305" s="21">
        <f ca="1">[1]!b_anal_yield_cnbd(B305,$A$5)</f>
        <v>0</v>
      </c>
      <c r="H305" s="21">
        <f t="shared" ca="1" si="12"/>
        <v>450</v>
      </c>
      <c r="I305" s="21">
        <f ca="1">[1]!b_anal_yield_cnbd(B305,$A$7)</f>
        <v>0</v>
      </c>
      <c r="J305" s="21">
        <f t="shared" ca="1" si="13"/>
        <v>0</v>
      </c>
      <c r="K305" s="19" t="str">
        <f>[1]!s_info_Nature(B305)</f>
        <v>中央国有企业</v>
      </c>
      <c r="L305" s="19" t="str">
        <f>[1]!b_info_windl1type(B305)</f>
        <v>同业存单</v>
      </c>
      <c r="M305" s="13">
        <f>[1]!b_info_couponrate(B305)</f>
        <v>4.4001999999999999</v>
      </c>
      <c r="N305" s="14" t="str">
        <f>[1]!B_Info_ListedDate(B305)</f>
        <v>2017-02-15</v>
      </c>
      <c r="O305" s="14" t="str">
        <f>[1]!b_issue_firstissue(B305)</f>
        <v>2017-02-14</v>
      </c>
      <c r="P305" s="4">
        <f t="shared" ca="1" si="14"/>
        <v>42989</v>
      </c>
    </row>
    <row r="306" spans="2:16">
      <c r="B306" s="7">
        <v>111717025</v>
      </c>
      <c r="C306" s="7">
        <v>4.5</v>
      </c>
      <c r="D306" s="18" t="str">
        <f>[1]!b_info_name(B306)</f>
        <v>17光大银行CD025</v>
      </c>
      <c r="E306" s="19" t="str">
        <f>[1]!b_info_latestissurercreditrating(B306)</f>
        <v>AAA</v>
      </c>
      <c r="F306" s="20">
        <f ca="1">[1]!b_anal_day(B306,$A$5)/365</f>
        <v>0</v>
      </c>
      <c r="G306" s="21">
        <f ca="1">[1]!b_anal_yield_cnbd(B306,$A$5)</f>
        <v>0</v>
      </c>
      <c r="H306" s="21">
        <f t="shared" ca="1" si="12"/>
        <v>450</v>
      </c>
      <c r="I306" s="21">
        <f ca="1">[1]!b_anal_yield_cnbd(B306,$A$7)</f>
        <v>0</v>
      </c>
      <c r="J306" s="21">
        <f t="shared" ca="1" si="13"/>
        <v>0</v>
      </c>
      <c r="K306" s="19" t="str">
        <f>[1]!s_info_Nature(B306)</f>
        <v>中央国有企业</v>
      </c>
      <c r="L306" s="19" t="str">
        <f>[1]!b_info_windl1type(B306)</f>
        <v>同业存单</v>
      </c>
      <c r="M306" s="13">
        <f>[1]!b_info_couponrate(B306)</f>
        <v>4.4001999999999999</v>
      </c>
      <c r="N306" s="14" t="str">
        <f>[1]!B_Info_ListedDate(B306)</f>
        <v>2017-02-15</v>
      </c>
      <c r="O306" s="14" t="str">
        <f>[1]!b_issue_firstissue(B306)</f>
        <v>2017-02-14</v>
      </c>
      <c r="P306" s="4">
        <f t="shared" ca="1" si="14"/>
        <v>42989</v>
      </c>
    </row>
    <row r="307" spans="2:16">
      <c r="B307" s="7">
        <v>111714043</v>
      </c>
      <c r="C307" s="7">
        <v>4.5</v>
      </c>
      <c r="D307" s="18" t="str">
        <f>[1]!b_info_name(B307)</f>
        <v>17江苏银行CD043</v>
      </c>
      <c r="E307" s="19" t="str">
        <f>[1]!b_info_latestissurercreditrating(B307)</f>
        <v>AAA</v>
      </c>
      <c r="F307" s="20">
        <f ca="1">[1]!b_anal_day(B307,$A$5)/365</f>
        <v>0</v>
      </c>
      <c r="G307" s="21">
        <f ca="1">[1]!b_anal_yield_cnbd(B307,$A$5)</f>
        <v>0</v>
      </c>
      <c r="H307" s="21">
        <f t="shared" ca="1" si="12"/>
        <v>450</v>
      </c>
      <c r="I307" s="21">
        <f ca="1">[1]!b_anal_yield_cnbd(B307,$A$7)</f>
        <v>0</v>
      </c>
      <c r="J307" s="21">
        <f t="shared" ca="1" si="13"/>
        <v>0</v>
      </c>
      <c r="K307" s="19" t="str">
        <f>[1]!s_info_Nature(B307)</f>
        <v>公众企业</v>
      </c>
      <c r="L307" s="19" t="str">
        <f>[1]!b_info_windl1type(B307)</f>
        <v>同业存单</v>
      </c>
      <c r="M307" s="13">
        <f>[1]!b_info_couponrate(B307)</f>
        <v>4.4000000000000004</v>
      </c>
      <c r="N307" s="14" t="str">
        <f>[1]!B_Info_ListedDate(B307)</f>
        <v>2017-02-15</v>
      </c>
      <c r="O307" s="14" t="str">
        <f>[1]!b_issue_firstissue(B307)</f>
        <v>2017-02-14</v>
      </c>
      <c r="P307" s="4">
        <f t="shared" ca="1" si="14"/>
        <v>42989</v>
      </c>
    </row>
    <row r="308" spans="2:16">
      <c r="B308" s="7">
        <v>111717036</v>
      </c>
      <c r="C308" s="7">
        <v>4.5</v>
      </c>
      <c r="D308" s="18" t="str">
        <f>[1]!b_info_name(B308)</f>
        <v>17光大银行CD036</v>
      </c>
      <c r="E308" s="19" t="str">
        <f>[1]!b_info_latestissurercreditrating(B308)</f>
        <v>AAA</v>
      </c>
      <c r="F308" s="20">
        <f ca="1">[1]!b_anal_day(B308,$A$5)/365</f>
        <v>0</v>
      </c>
      <c r="G308" s="21">
        <f ca="1">[1]!b_anal_yield_cnbd(B308,$A$5)</f>
        <v>0</v>
      </c>
      <c r="H308" s="21">
        <f t="shared" ca="1" si="12"/>
        <v>450</v>
      </c>
      <c r="I308" s="21">
        <f ca="1">[1]!b_anal_yield_cnbd(B308,$A$7)</f>
        <v>0</v>
      </c>
      <c r="J308" s="21">
        <f t="shared" ca="1" si="13"/>
        <v>0</v>
      </c>
      <c r="K308" s="19" t="str">
        <f>[1]!s_info_Nature(B308)</f>
        <v>中央国有企业</v>
      </c>
      <c r="L308" s="19" t="str">
        <f>[1]!b_info_windl1type(B308)</f>
        <v>同业存单</v>
      </c>
      <c r="M308" s="13">
        <f>[1]!b_info_couponrate(B308)</f>
        <v>4.3</v>
      </c>
      <c r="N308" s="14" t="str">
        <f>[1]!B_Info_ListedDate(B308)</f>
        <v>2017-02-23</v>
      </c>
      <c r="O308" s="14" t="str">
        <f>[1]!b_issue_firstissue(B308)</f>
        <v>2017-02-22</v>
      </c>
      <c r="P308" s="4">
        <f t="shared" ca="1" si="14"/>
        <v>42989</v>
      </c>
    </row>
    <row r="309" spans="2:16">
      <c r="B309" s="7">
        <v>111615218</v>
      </c>
      <c r="C309" s="7">
        <v>4.5</v>
      </c>
      <c r="D309" s="18" t="str">
        <f>[1]!b_info_name(B309)</f>
        <v>16民生CD218</v>
      </c>
      <c r="E309" s="19" t="str">
        <f>[1]!b_info_latestissurercreditrating(B309)</f>
        <v>AAA</v>
      </c>
      <c r="F309" s="20">
        <f ca="1">[1]!b_anal_day(B309,$A$5)/365</f>
        <v>0</v>
      </c>
      <c r="G309" s="21">
        <f ca="1">[1]!b_anal_yield_cnbd(B309,$A$5)</f>
        <v>0</v>
      </c>
      <c r="H309" s="21">
        <f t="shared" ca="1" si="12"/>
        <v>450</v>
      </c>
      <c r="I309" s="21">
        <f ca="1">[1]!b_anal_yield_cnbd(B309,$A$7)</f>
        <v>0</v>
      </c>
      <c r="J309" s="21">
        <f t="shared" ca="1" si="13"/>
        <v>0</v>
      </c>
      <c r="K309" s="19" t="str">
        <f>[1]!s_info_Nature(B309)</f>
        <v>公众企业</v>
      </c>
      <c r="L309" s="19" t="str">
        <f>[1]!b_info_windl1type(B309)</f>
        <v>同业存单</v>
      </c>
      <c r="M309" s="13">
        <f>[1]!b_info_couponrate(B309)</f>
        <v>2.9</v>
      </c>
      <c r="N309" s="14" t="str">
        <f>[1]!B_Info_ListedDate(B309)</f>
        <v>2016-08-31</v>
      </c>
      <c r="O309" s="14" t="str">
        <f>[1]!b_issue_firstissue(B309)</f>
        <v>2016-08-30</v>
      </c>
      <c r="P309" s="4">
        <f t="shared" ca="1" si="14"/>
        <v>42989</v>
      </c>
    </row>
    <row r="310" spans="2:16">
      <c r="B310" s="7">
        <v>111718100</v>
      </c>
      <c r="C310" s="7">
        <v>4.5</v>
      </c>
      <c r="D310" s="18" t="str">
        <f>[1]!b_info_name(B310)</f>
        <v>17华夏银行CD100</v>
      </c>
      <c r="E310" s="19" t="str">
        <f>[1]!b_info_latestissurercreditrating(B310)</f>
        <v>AAA</v>
      </c>
      <c r="F310" s="20">
        <f ca="1">[1]!b_anal_day(B310,$A$5)/365</f>
        <v>4.6575342465753428E-2</v>
      </c>
      <c r="G310" s="21">
        <f ca="1">[1]!b_anal_yield_cnbd(B310,$A$5)</f>
        <v>0</v>
      </c>
      <c r="H310" s="21">
        <f t="shared" ca="1" si="12"/>
        <v>450</v>
      </c>
      <c r="I310" s="21">
        <f ca="1">[1]!b_anal_yield_cnbd(B310,$A$7)</f>
        <v>0</v>
      </c>
      <c r="J310" s="21">
        <f t="shared" ca="1" si="13"/>
        <v>0</v>
      </c>
      <c r="K310" s="19" t="str">
        <f>[1]!s_info_Nature(B310)</f>
        <v>公众企业</v>
      </c>
      <c r="L310" s="19" t="str">
        <f>[1]!b_info_windl1type(B310)</f>
        <v>同业存单</v>
      </c>
      <c r="M310" s="13">
        <f>[1]!b_info_couponrate(B310)</f>
        <v>4.5998999999999999</v>
      </c>
      <c r="N310" s="14" t="str">
        <f>[1]!B_Info_ListedDate(B310)</f>
        <v>2017-03-27</v>
      </c>
      <c r="O310" s="14" t="str">
        <f>[1]!b_issue_firstissue(B310)</f>
        <v>2017-03-24</v>
      </c>
      <c r="P310" s="4">
        <f t="shared" ca="1" si="14"/>
        <v>42989</v>
      </c>
    </row>
    <row r="311" spans="2:16">
      <c r="B311" s="7">
        <v>111717025</v>
      </c>
      <c r="C311" s="7">
        <v>4.5</v>
      </c>
      <c r="D311" s="18" t="str">
        <f>[1]!b_info_name(B311)</f>
        <v>17光大银行CD025</v>
      </c>
      <c r="E311" s="19" t="str">
        <f>[1]!b_info_latestissurercreditrating(B311)</f>
        <v>AAA</v>
      </c>
      <c r="F311" s="20">
        <f ca="1">[1]!b_anal_day(B311,$A$5)/365</f>
        <v>0</v>
      </c>
      <c r="G311" s="21">
        <f ca="1">[1]!b_anal_yield_cnbd(B311,$A$5)</f>
        <v>0</v>
      </c>
      <c r="H311" s="21">
        <f t="shared" ca="1" si="12"/>
        <v>450</v>
      </c>
      <c r="I311" s="21">
        <f ca="1">[1]!b_anal_yield_cnbd(B311,$A$7)</f>
        <v>0</v>
      </c>
      <c r="J311" s="21">
        <f t="shared" ca="1" si="13"/>
        <v>0</v>
      </c>
      <c r="K311" s="19" t="str">
        <f>[1]!s_info_Nature(B311)</f>
        <v>中央国有企业</v>
      </c>
      <c r="L311" s="19" t="str">
        <f>[1]!b_info_windl1type(B311)</f>
        <v>同业存单</v>
      </c>
      <c r="M311" s="13">
        <f>[1]!b_info_couponrate(B311)</f>
        <v>4.4001999999999999</v>
      </c>
      <c r="N311" s="14" t="str">
        <f>[1]!B_Info_ListedDate(B311)</f>
        <v>2017-02-15</v>
      </c>
      <c r="O311" s="14" t="str">
        <f>[1]!b_issue_firstissue(B311)</f>
        <v>2017-02-14</v>
      </c>
      <c r="P311" s="4">
        <f t="shared" ca="1" si="14"/>
        <v>42989</v>
      </c>
    </row>
    <row r="312" spans="2:16">
      <c r="B312" s="7">
        <v>11698356</v>
      </c>
      <c r="C312" s="7">
        <v>4.5</v>
      </c>
      <c r="D312" s="18" t="str">
        <f>[1]!b_info_name(B312)</f>
        <v>16大北农科SCP001</v>
      </c>
      <c r="E312" s="19" t="str">
        <f>[1]!b_info_latestissurercreditrating(B312)</f>
        <v>AA+</v>
      </c>
      <c r="F312" s="20">
        <f ca="1">[1]!b_anal_day(B312,$A$5)/365</f>
        <v>0</v>
      </c>
      <c r="G312" s="21">
        <f ca="1">[1]!b_anal_yield_cnbd(B312,$A$5)</f>
        <v>0</v>
      </c>
      <c r="H312" s="21">
        <f t="shared" ca="1" si="12"/>
        <v>450</v>
      </c>
      <c r="I312" s="21">
        <f ca="1">[1]!b_anal_yield_cnbd(B312,$A$7)</f>
        <v>0</v>
      </c>
      <c r="J312" s="21">
        <f t="shared" ca="1" si="13"/>
        <v>0</v>
      </c>
      <c r="K312" s="19" t="str">
        <f>[1]!s_info_Nature(B312)</f>
        <v>民营企业</v>
      </c>
      <c r="L312" s="19" t="str">
        <f>[1]!b_info_windl1type(B312)</f>
        <v>短期融资券</v>
      </c>
      <c r="M312" s="13">
        <f>[1]!b_info_couponrate(B312)</f>
        <v>3.09</v>
      </c>
      <c r="N312" s="14" t="str">
        <f>[1]!B_Info_ListedDate(B312)</f>
        <v>2016-08-29</v>
      </c>
      <c r="O312" s="14" t="str">
        <f>[1]!b_issue_firstissue(B312)</f>
        <v>2016-08-25</v>
      </c>
      <c r="P312" s="4">
        <f t="shared" ca="1" si="14"/>
        <v>42989</v>
      </c>
    </row>
    <row r="313" spans="2:16">
      <c r="B313" s="7">
        <v>11698377</v>
      </c>
      <c r="C313" s="7">
        <v>4.5</v>
      </c>
      <c r="D313" s="18" t="str">
        <f>[1]!b_info_name(B313)</f>
        <v>16百业源SCP003</v>
      </c>
      <c r="E313" s="19" t="str">
        <f>[1]!b_info_latestissurercreditrating(B313)</f>
        <v>AA+</v>
      </c>
      <c r="F313" s="20">
        <f ca="1">[1]!b_anal_day(B313,$A$5)/365</f>
        <v>0</v>
      </c>
      <c r="G313" s="21">
        <f ca="1">[1]!b_anal_yield_cnbd(B313,$A$5)</f>
        <v>0</v>
      </c>
      <c r="H313" s="21">
        <f t="shared" ca="1" si="12"/>
        <v>450</v>
      </c>
      <c r="I313" s="21">
        <f ca="1">[1]!b_anal_yield_cnbd(B313,$A$7)</f>
        <v>0</v>
      </c>
      <c r="J313" s="21">
        <f t="shared" ca="1" si="13"/>
        <v>0</v>
      </c>
      <c r="K313" s="19" t="str">
        <f>[1]!s_info_Nature(B313)</f>
        <v>民营企业</v>
      </c>
      <c r="L313" s="19" t="str">
        <f>[1]!b_info_windl1type(B313)</f>
        <v>短期融资券</v>
      </c>
      <c r="M313" s="13">
        <f>[1]!b_info_couponrate(B313)</f>
        <v>3.14</v>
      </c>
      <c r="N313" s="14" t="str">
        <f>[1]!B_Info_ListedDate(B313)</f>
        <v>2016-08-30</v>
      </c>
      <c r="O313" s="14" t="str">
        <f>[1]!b_issue_firstissue(B313)</f>
        <v>2016-08-26</v>
      </c>
      <c r="P313" s="4">
        <f t="shared" ca="1" si="14"/>
        <v>42989</v>
      </c>
    </row>
    <row r="314" spans="2:16">
      <c r="B314" s="7">
        <v>11758034</v>
      </c>
      <c r="C314" s="7">
        <v>4.5</v>
      </c>
      <c r="D314" s="18" t="str">
        <f>[1]!b_info_name(B314)</f>
        <v>17广州金融SCP001</v>
      </c>
      <c r="E314" s="19" t="str">
        <f>[1]!b_info_latestissurercreditrating(B314)</f>
        <v>AAA</v>
      </c>
      <c r="F314" s="20">
        <f ca="1">[1]!b_anal_day(B314,$A$5)/365</f>
        <v>0</v>
      </c>
      <c r="G314" s="21">
        <f ca="1">[1]!b_anal_yield_cnbd(B314,$A$5)</f>
        <v>0</v>
      </c>
      <c r="H314" s="21">
        <f t="shared" ca="1" si="12"/>
        <v>450</v>
      </c>
      <c r="I314" s="21">
        <f ca="1">[1]!b_anal_yield_cnbd(B314,$A$7)</f>
        <v>0</v>
      </c>
      <c r="J314" s="21">
        <f t="shared" ca="1" si="13"/>
        <v>0</v>
      </c>
      <c r="K314" s="19" t="str">
        <f>[1]!s_info_Nature(B314)</f>
        <v>地方国有企业</v>
      </c>
      <c r="L314" s="19" t="str">
        <f>[1]!b_info_windl1type(B314)</f>
        <v>短期融资券</v>
      </c>
      <c r="M314" s="13">
        <f>[1]!b_info_couponrate(B314)</f>
        <v>4.5</v>
      </c>
      <c r="N314" s="14" t="str">
        <f>[1]!B_Info_ListedDate(B314)</f>
        <v>2017-04-20</v>
      </c>
      <c r="O314" s="14" t="str">
        <f>[1]!b_issue_firstissue(B314)</f>
        <v>2017-04-17</v>
      </c>
      <c r="P314" s="4">
        <f t="shared" ca="1" si="14"/>
        <v>42989</v>
      </c>
    </row>
    <row r="315" spans="2:16">
      <c r="B315" s="7" t="s">
        <v>544</v>
      </c>
      <c r="C315" s="7">
        <v>4.5</v>
      </c>
      <c r="D315" s="18" t="str">
        <f>[1]!b_info_name(B315)</f>
        <v>16石化01</v>
      </c>
      <c r="E315" s="19" t="str">
        <f>[1]!b_info_latestissurercreditrating(B315)</f>
        <v>AAA</v>
      </c>
      <c r="F315" s="20">
        <f ca="1">[1]!b_anal_day(B315,$A$5)/365</f>
        <v>4.0383561643835613</v>
      </c>
      <c r="G315" s="21">
        <f ca="1">[1]!b_anal_yield_cnbd(B315,$A$5)</f>
        <v>0</v>
      </c>
      <c r="H315" s="21">
        <f t="shared" ca="1" si="12"/>
        <v>450</v>
      </c>
      <c r="I315" s="21">
        <f ca="1">[1]!b_anal_yield_cnbd(B315,$A$7)</f>
        <v>0</v>
      </c>
      <c r="J315" s="21">
        <f t="shared" ca="1" si="13"/>
        <v>0</v>
      </c>
      <c r="K315" s="19" t="str">
        <f>[1]!s_info_Nature(B315)</f>
        <v>中央国有企业</v>
      </c>
      <c r="L315" s="19" t="str">
        <f>[1]!b_info_windl1type(B315)</f>
        <v>公司债</v>
      </c>
      <c r="M315" s="13">
        <f>[1]!b_info_couponrate(B315)</f>
        <v>2.83</v>
      </c>
      <c r="N315" s="14" t="str">
        <f>[1]!B_Info_ListedDate(B315)</f>
        <v>2016-10-19</v>
      </c>
      <c r="O315" s="14" t="str">
        <f>[1]!b_issue_firstissue(B315)</f>
        <v>2016-09-21</v>
      </c>
      <c r="P315" s="4">
        <f t="shared" ca="1" si="14"/>
        <v>42989</v>
      </c>
    </row>
    <row r="316" spans="2:16">
      <c r="B316" s="7">
        <v>1282329</v>
      </c>
      <c r="C316" s="7">
        <v>4.49</v>
      </c>
      <c r="D316" s="18" t="str">
        <f>[1]!b_info_name(B316)</f>
        <v>12中石油MTN4</v>
      </c>
      <c r="E316" s="19" t="str">
        <f>[1]!b_info_latestissurercreditrating(B316)</f>
        <v>AAA</v>
      </c>
      <c r="F316" s="20">
        <f ca="1">[1]!b_anal_day(B316,$A$5)/365</f>
        <v>1.0027397260273974</v>
      </c>
      <c r="G316" s="21">
        <f ca="1">[1]!b_anal_yield_cnbd(B316,$A$5)</f>
        <v>0</v>
      </c>
      <c r="H316" s="21">
        <f t="shared" ca="1" si="12"/>
        <v>449</v>
      </c>
      <c r="I316" s="21">
        <f ca="1">[1]!b_anal_yield_cnbd(B316,$A$7)</f>
        <v>0</v>
      </c>
      <c r="J316" s="21">
        <f t="shared" ca="1" si="13"/>
        <v>0</v>
      </c>
      <c r="K316" s="19" t="str">
        <f>[1]!s_info_Nature(B316)</f>
        <v>中央国有企业</v>
      </c>
      <c r="L316" s="19" t="str">
        <f>[1]!b_info_windl1type(B316)</f>
        <v>中期票据</v>
      </c>
      <c r="M316" s="13">
        <f>[1]!b_info_couponrate(B316)</f>
        <v>4.6500000000000004</v>
      </c>
      <c r="N316" s="14" t="str">
        <f>[1]!B_Info_ListedDate(B316)</f>
        <v>2012-09-12</v>
      </c>
      <c r="O316" s="14" t="str">
        <f>[1]!b_issue_firstissue(B316)</f>
        <v>2012-09-10</v>
      </c>
      <c r="P316" s="4">
        <f t="shared" ca="1" si="14"/>
        <v>42989</v>
      </c>
    </row>
    <row r="317" spans="2:16">
      <c r="B317" s="7">
        <v>111615257</v>
      </c>
      <c r="C317" s="7">
        <v>4.4800000000000004</v>
      </c>
      <c r="D317" s="18" t="str">
        <f>[1]!b_info_name(B317)</f>
        <v>16民生CD257</v>
      </c>
      <c r="E317" s="19" t="str">
        <f>[1]!b_info_latestissurercreditrating(B317)</f>
        <v>AAA</v>
      </c>
      <c r="F317" s="20">
        <f ca="1">[1]!b_anal_day(B317,$A$5)/365</f>
        <v>3.287671232876712E-2</v>
      </c>
      <c r="G317" s="21">
        <f ca="1">[1]!b_anal_yield_cnbd(B317,$A$5)</f>
        <v>0</v>
      </c>
      <c r="H317" s="21">
        <f t="shared" ref="H317:H379" ca="1" si="15">(IF(C317&lt;0.1,C317*100,C317)-G317)*100</f>
        <v>448.00000000000006</v>
      </c>
      <c r="I317" s="21">
        <f ca="1">[1]!b_anal_yield_cnbd(B317,$A$7)</f>
        <v>0</v>
      </c>
      <c r="J317" s="21">
        <f t="shared" ref="J317:J379" ca="1" si="16">(G317-I317)*100</f>
        <v>0</v>
      </c>
      <c r="K317" s="19" t="str">
        <f>[1]!s_info_Nature(B317)</f>
        <v>公众企业</v>
      </c>
      <c r="L317" s="19" t="str">
        <f>[1]!b_info_windl1type(B317)</f>
        <v>同业存单</v>
      </c>
      <c r="M317" s="13">
        <f>[1]!b_info_couponrate(B317)</f>
        <v>3.05</v>
      </c>
      <c r="N317" s="14" t="str">
        <f>[1]!B_Info_ListedDate(B317)</f>
        <v>2016-09-22</v>
      </c>
      <c r="O317" s="14" t="str">
        <f>[1]!b_issue_firstissue(B317)</f>
        <v>2016-09-21</v>
      </c>
      <c r="P317" s="4">
        <f t="shared" ref="P317:P379" ca="1" si="17">$A$2</f>
        <v>42989</v>
      </c>
    </row>
    <row r="318" spans="2:16">
      <c r="B318" s="7">
        <v>150319</v>
      </c>
      <c r="C318" s="7">
        <v>4.4800000000000004</v>
      </c>
      <c r="D318" s="18" t="str">
        <f>[1]!b_info_name(B318)</f>
        <v>15进出19</v>
      </c>
      <c r="E318" s="19">
        <f>[1]!b_info_latestissurercreditrating(B318)</f>
        <v>0</v>
      </c>
      <c r="F318" s="20">
        <f ca="1">[1]!b_anal_day(B318,$A$5)/365</f>
        <v>18.350684931506848</v>
      </c>
      <c r="G318" s="21">
        <f ca="1">[1]!b_anal_yield_cnbd(B318,$A$5)</f>
        <v>0</v>
      </c>
      <c r="H318" s="21">
        <f t="shared" ca="1" si="15"/>
        <v>448.00000000000006</v>
      </c>
      <c r="I318" s="21">
        <f ca="1">[1]!b_anal_yield_cnbd(B318,$A$7)</f>
        <v>0</v>
      </c>
      <c r="J318" s="21">
        <f t="shared" ca="1" si="16"/>
        <v>0</v>
      </c>
      <c r="K318" s="19" t="str">
        <f>[1]!s_info_Nature(B318)</f>
        <v>中央国有企业</v>
      </c>
      <c r="L318" s="19" t="str">
        <f>[1]!b_info_windl1type(B318)</f>
        <v>金融债</v>
      </c>
      <c r="M318" s="13">
        <f>[1]!b_info_couponrate(B318)</f>
        <v>3.88</v>
      </c>
      <c r="N318" s="14" t="str">
        <f>[1]!B_Info_ListedDate(B318)</f>
        <v>2016-01-14</v>
      </c>
      <c r="O318" s="14" t="str">
        <f>[1]!b_issue_firstissue(B318)</f>
        <v>2015-12-29</v>
      </c>
      <c r="P318" s="4">
        <f t="shared" ca="1" si="17"/>
        <v>42989</v>
      </c>
    </row>
    <row r="319" spans="2:16">
      <c r="B319" s="7">
        <v>150319</v>
      </c>
      <c r="C319" s="7">
        <v>4.4800000000000004</v>
      </c>
      <c r="D319" s="18" t="str">
        <f>[1]!b_info_name(B319)</f>
        <v>15进出19</v>
      </c>
      <c r="E319" s="19">
        <f>[1]!b_info_latestissurercreditrating(B319)</f>
        <v>0</v>
      </c>
      <c r="F319" s="20">
        <f ca="1">[1]!b_anal_day(B319,$A$5)/365</f>
        <v>18.350684931506848</v>
      </c>
      <c r="G319" s="21">
        <f ca="1">[1]!b_anal_yield_cnbd(B319,$A$5)</f>
        <v>0</v>
      </c>
      <c r="H319" s="21">
        <f t="shared" ca="1" si="15"/>
        <v>448.00000000000006</v>
      </c>
      <c r="I319" s="21">
        <f ca="1">[1]!b_anal_yield_cnbd(B319,$A$7)</f>
        <v>0</v>
      </c>
      <c r="J319" s="21">
        <f t="shared" ca="1" si="16"/>
        <v>0</v>
      </c>
      <c r="K319" s="19" t="str">
        <f>[1]!s_info_Nature(B319)</f>
        <v>中央国有企业</v>
      </c>
      <c r="L319" s="19" t="str">
        <f>[1]!b_info_windl1type(B319)</f>
        <v>金融债</v>
      </c>
      <c r="M319" s="13">
        <f>[1]!b_info_couponrate(B319)</f>
        <v>3.88</v>
      </c>
      <c r="N319" s="14" t="str">
        <f>[1]!B_Info_ListedDate(B319)</f>
        <v>2016-01-14</v>
      </c>
      <c r="O319" s="14" t="str">
        <f>[1]!b_issue_firstissue(B319)</f>
        <v>2015-12-29</v>
      </c>
      <c r="P319" s="4">
        <f t="shared" ca="1" si="17"/>
        <v>42989</v>
      </c>
    </row>
    <row r="320" spans="2:16">
      <c r="B320" s="7">
        <v>150319</v>
      </c>
      <c r="C320" s="7">
        <v>4.4800000000000004</v>
      </c>
      <c r="D320" s="18" t="str">
        <f>[1]!b_info_name(B320)</f>
        <v>15进出19</v>
      </c>
      <c r="E320" s="19">
        <f>[1]!b_info_latestissurercreditrating(B320)</f>
        <v>0</v>
      </c>
      <c r="F320" s="20">
        <f ca="1">[1]!b_anal_day(B320,$A$5)/365</f>
        <v>18.350684931506848</v>
      </c>
      <c r="G320" s="21">
        <f ca="1">[1]!b_anal_yield_cnbd(B320,$A$5)</f>
        <v>0</v>
      </c>
      <c r="H320" s="21">
        <f t="shared" ca="1" si="15"/>
        <v>448.00000000000006</v>
      </c>
      <c r="I320" s="21">
        <f ca="1">[1]!b_anal_yield_cnbd(B320,$A$7)</f>
        <v>0</v>
      </c>
      <c r="J320" s="21">
        <f t="shared" ca="1" si="16"/>
        <v>0</v>
      </c>
      <c r="K320" s="19" t="str">
        <f>[1]!s_info_Nature(B320)</f>
        <v>中央国有企业</v>
      </c>
      <c r="L320" s="19" t="str">
        <f>[1]!b_info_windl1type(B320)</f>
        <v>金融债</v>
      </c>
      <c r="M320" s="13">
        <f>[1]!b_info_couponrate(B320)</f>
        <v>3.88</v>
      </c>
      <c r="N320" s="14" t="str">
        <f>[1]!B_Info_ListedDate(B320)</f>
        <v>2016-01-14</v>
      </c>
      <c r="O320" s="14" t="str">
        <f>[1]!b_issue_firstissue(B320)</f>
        <v>2015-12-29</v>
      </c>
      <c r="P320" s="4">
        <f t="shared" ca="1" si="17"/>
        <v>42989</v>
      </c>
    </row>
    <row r="321" spans="2:16">
      <c r="B321" s="7">
        <v>1282329</v>
      </c>
      <c r="C321" s="7">
        <v>4.47</v>
      </c>
      <c r="D321" s="18" t="str">
        <f>[1]!b_info_name(B321)</f>
        <v>12中石油MTN4</v>
      </c>
      <c r="E321" s="19" t="str">
        <f>[1]!b_info_latestissurercreditrating(B321)</f>
        <v>AAA</v>
      </c>
      <c r="F321" s="20">
        <f ca="1">[1]!b_anal_day(B321,$A$5)/365</f>
        <v>1.0027397260273974</v>
      </c>
      <c r="G321" s="21">
        <f ca="1">[1]!b_anal_yield_cnbd(B321,$A$5)</f>
        <v>0</v>
      </c>
      <c r="H321" s="21">
        <f t="shared" ca="1" si="15"/>
        <v>447</v>
      </c>
      <c r="I321" s="21">
        <f ca="1">[1]!b_anal_yield_cnbd(B321,$A$7)</f>
        <v>0</v>
      </c>
      <c r="J321" s="21">
        <f t="shared" ca="1" si="16"/>
        <v>0</v>
      </c>
      <c r="K321" s="19" t="str">
        <f>[1]!s_info_Nature(B321)</f>
        <v>中央国有企业</v>
      </c>
      <c r="L321" s="19" t="str">
        <f>[1]!b_info_windl1type(B321)</f>
        <v>中期票据</v>
      </c>
      <c r="M321" s="13">
        <f>[1]!b_info_couponrate(B321)</f>
        <v>4.6500000000000004</v>
      </c>
      <c r="N321" s="14" t="str">
        <f>[1]!B_Info_ListedDate(B321)</f>
        <v>2012-09-12</v>
      </c>
      <c r="O321" s="14" t="str">
        <f>[1]!b_issue_firstissue(B321)</f>
        <v>2012-09-10</v>
      </c>
      <c r="P321" s="4">
        <f t="shared" ca="1" si="17"/>
        <v>42989</v>
      </c>
    </row>
    <row r="322" spans="2:16">
      <c r="B322" s="7">
        <v>170202</v>
      </c>
      <c r="C322" s="7">
        <v>4.47</v>
      </c>
      <c r="D322" s="18" t="str">
        <f>[1]!b_info_name(B322)</f>
        <v>17国开02</v>
      </c>
      <c r="E322" s="19">
        <f>[1]!b_info_latestissurercreditrating(B322)</f>
        <v>0</v>
      </c>
      <c r="F322" s="20">
        <f ca="1">[1]!b_anal_day(B322,$A$5)/365</f>
        <v>19.345205479452055</v>
      </c>
      <c r="G322" s="21">
        <f ca="1">[1]!b_anal_yield_cnbd(B322,$A$5)</f>
        <v>0</v>
      </c>
      <c r="H322" s="21">
        <f t="shared" ca="1" si="15"/>
        <v>447</v>
      </c>
      <c r="I322" s="21">
        <f ca="1">[1]!b_anal_yield_cnbd(B322,$A$7)</f>
        <v>0</v>
      </c>
      <c r="J322" s="21">
        <f t="shared" ca="1" si="16"/>
        <v>0</v>
      </c>
      <c r="K322" s="19" t="str">
        <f>[1]!s_info_Nature(B322)</f>
        <v>中央国有企业</v>
      </c>
      <c r="L322" s="19" t="str">
        <f>[1]!b_info_windl1type(B322)</f>
        <v>金融债</v>
      </c>
      <c r="M322" s="13">
        <f>[1]!b_info_couponrate(B322)</f>
        <v>4.01</v>
      </c>
      <c r="N322" s="14" t="str">
        <f>[1]!B_Info_ListedDate(B322)</f>
        <v>2017-01-11</v>
      </c>
      <c r="O322" s="14" t="str">
        <f>[1]!b_issue_firstissue(B322)</f>
        <v>2017-01-05</v>
      </c>
      <c r="P322" s="4">
        <f t="shared" ca="1" si="17"/>
        <v>42989</v>
      </c>
    </row>
    <row r="323" spans="2:16">
      <c r="B323" s="7">
        <v>170202</v>
      </c>
      <c r="C323" s="7">
        <v>4.47</v>
      </c>
      <c r="D323" s="18" t="str">
        <f>[1]!b_info_name(B323)</f>
        <v>17国开02</v>
      </c>
      <c r="E323" s="19">
        <f>[1]!b_info_latestissurercreditrating(B323)</f>
        <v>0</v>
      </c>
      <c r="F323" s="20">
        <f ca="1">[1]!b_anal_day(B323,$A$5)/365</f>
        <v>19.345205479452055</v>
      </c>
      <c r="G323" s="21">
        <f ca="1">[1]!b_anal_yield_cnbd(B323,$A$5)</f>
        <v>0</v>
      </c>
      <c r="H323" s="21">
        <f t="shared" ca="1" si="15"/>
        <v>447</v>
      </c>
      <c r="I323" s="21">
        <f ca="1">[1]!b_anal_yield_cnbd(B323,$A$7)</f>
        <v>0</v>
      </c>
      <c r="J323" s="21">
        <f t="shared" ca="1" si="16"/>
        <v>0</v>
      </c>
      <c r="K323" s="19" t="str">
        <f>[1]!s_info_Nature(B323)</f>
        <v>中央国有企业</v>
      </c>
      <c r="L323" s="19" t="str">
        <f>[1]!b_info_windl1type(B323)</f>
        <v>金融债</v>
      </c>
      <c r="M323" s="13">
        <f>[1]!b_info_couponrate(B323)</f>
        <v>4.01</v>
      </c>
      <c r="N323" s="14" t="str">
        <f>[1]!B_Info_ListedDate(B323)</f>
        <v>2017-01-11</v>
      </c>
      <c r="O323" s="14" t="str">
        <f>[1]!b_issue_firstissue(B323)</f>
        <v>2017-01-05</v>
      </c>
      <c r="P323" s="4">
        <f t="shared" ca="1" si="17"/>
        <v>42989</v>
      </c>
    </row>
    <row r="324" spans="2:16">
      <c r="B324" s="7">
        <v>1282329</v>
      </c>
      <c r="C324" s="7">
        <v>4.47</v>
      </c>
      <c r="D324" s="18" t="str">
        <f>[1]!b_info_name(B324)</f>
        <v>12中石油MTN4</v>
      </c>
      <c r="E324" s="19" t="str">
        <f>[1]!b_info_latestissurercreditrating(B324)</f>
        <v>AAA</v>
      </c>
      <c r="F324" s="20">
        <f ca="1">[1]!b_anal_day(B324,$A$5)/365</f>
        <v>1.0027397260273974</v>
      </c>
      <c r="G324" s="21">
        <f ca="1">[1]!b_anal_yield_cnbd(B324,$A$5)</f>
        <v>0</v>
      </c>
      <c r="H324" s="21">
        <f t="shared" ca="1" si="15"/>
        <v>447</v>
      </c>
      <c r="I324" s="21">
        <f ca="1">[1]!b_anal_yield_cnbd(B324,$A$7)</f>
        <v>0</v>
      </c>
      <c r="J324" s="21">
        <f t="shared" ca="1" si="16"/>
        <v>0</v>
      </c>
      <c r="K324" s="19" t="str">
        <f>[1]!s_info_Nature(B324)</f>
        <v>中央国有企业</v>
      </c>
      <c r="L324" s="19" t="str">
        <f>[1]!b_info_windl1type(B324)</f>
        <v>中期票据</v>
      </c>
      <c r="M324" s="13">
        <f>[1]!b_info_couponrate(B324)</f>
        <v>4.6500000000000004</v>
      </c>
      <c r="N324" s="14" t="str">
        <f>[1]!B_Info_ListedDate(B324)</f>
        <v>2012-09-12</v>
      </c>
      <c r="O324" s="14" t="str">
        <f>[1]!b_issue_firstissue(B324)</f>
        <v>2012-09-10</v>
      </c>
      <c r="P324" s="4">
        <f t="shared" ca="1" si="17"/>
        <v>42989</v>
      </c>
    </row>
    <row r="325" spans="2:16">
      <c r="B325" s="7">
        <v>160303</v>
      </c>
      <c r="C325" s="7">
        <v>4.47</v>
      </c>
      <c r="D325" s="18" t="str">
        <f>[1]!b_info_name(B325)</f>
        <v>16进出03</v>
      </c>
      <c r="E325" s="19">
        <f>[1]!b_info_latestissurercreditrating(B325)</f>
        <v>0</v>
      </c>
      <c r="F325" s="20">
        <f ca="1">[1]!b_anal_day(B325,$A$5)/365</f>
        <v>8.4575342465753423</v>
      </c>
      <c r="G325" s="21">
        <f ca="1">[1]!b_anal_yield_cnbd(B325,$A$5)</f>
        <v>0</v>
      </c>
      <c r="H325" s="21">
        <f t="shared" ca="1" si="15"/>
        <v>447</v>
      </c>
      <c r="I325" s="21">
        <f ca="1">[1]!b_anal_yield_cnbd(B325,$A$7)</f>
        <v>0</v>
      </c>
      <c r="J325" s="21">
        <f t="shared" ca="1" si="16"/>
        <v>0</v>
      </c>
      <c r="K325" s="19" t="str">
        <f>[1]!s_info_Nature(B325)</f>
        <v>中央国有企业</v>
      </c>
      <c r="L325" s="19" t="str">
        <f>[1]!b_info_windl1type(B325)</f>
        <v>金融债</v>
      </c>
      <c r="M325" s="13">
        <f>[1]!b_info_couponrate(B325)</f>
        <v>3.33</v>
      </c>
      <c r="N325" s="14" t="str">
        <f>[1]!B_Info_ListedDate(B325)</f>
        <v>2016-02-24</v>
      </c>
      <c r="O325" s="14" t="str">
        <f>[1]!b_issue_firstissue(B325)</f>
        <v>2016-02-18</v>
      </c>
      <c r="P325" s="4">
        <f t="shared" ca="1" si="17"/>
        <v>42989</v>
      </c>
    </row>
    <row r="326" spans="2:16">
      <c r="B326" s="7">
        <v>1282329</v>
      </c>
      <c r="C326" s="7">
        <v>4.47</v>
      </c>
      <c r="D326" s="18" t="str">
        <f>[1]!b_info_name(B326)</f>
        <v>12中石油MTN4</v>
      </c>
      <c r="E326" s="19" t="str">
        <f>[1]!b_info_latestissurercreditrating(B326)</f>
        <v>AAA</v>
      </c>
      <c r="F326" s="20">
        <f ca="1">[1]!b_anal_day(B326,$A$5)/365</f>
        <v>1.0027397260273974</v>
      </c>
      <c r="G326" s="21">
        <f ca="1">[1]!b_anal_yield_cnbd(B326,$A$5)</f>
        <v>0</v>
      </c>
      <c r="H326" s="21">
        <f t="shared" ca="1" si="15"/>
        <v>447</v>
      </c>
      <c r="I326" s="21">
        <f ca="1">[1]!b_anal_yield_cnbd(B326,$A$7)</f>
        <v>0</v>
      </c>
      <c r="J326" s="21">
        <f t="shared" ca="1" si="16"/>
        <v>0</v>
      </c>
      <c r="K326" s="19" t="str">
        <f>[1]!s_info_Nature(B326)</f>
        <v>中央国有企业</v>
      </c>
      <c r="L326" s="19" t="str">
        <f>[1]!b_info_windl1type(B326)</f>
        <v>中期票据</v>
      </c>
      <c r="M326" s="13">
        <f>[1]!b_info_couponrate(B326)</f>
        <v>4.6500000000000004</v>
      </c>
      <c r="N326" s="14" t="str">
        <f>[1]!B_Info_ListedDate(B326)</f>
        <v>2012-09-12</v>
      </c>
      <c r="O326" s="14" t="str">
        <f>[1]!b_issue_firstissue(B326)</f>
        <v>2012-09-10</v>
      </c>
      <c r="P326" s="4">
        <f t="shared" ca="1" si="17"/>
        <v>42989</v>
      </c>
    </row>
    <row r="327" spans="2:16">
      <c r="B327" s="7">
        <v>160310</v>
      </c>
      <c r="C327" s="7">
        <v>4.46</v>
      </c>
      <c r="D327" s="18" t="str">
        <f>[1]!b_info_name(B327)</f>
        <v>16进出10</v>
      </c>
      <c r="E327" s="19">
        <f>[1]!b_info_latestissurercreditrating(B327)</f>
        <v>0</v>
      </c>
      <c r="F327" s="20">
        <f ca="1">[1]!b_anal_day(B327,$A$5)/365</f>
        <v>8.9917808219178088</v>
      </c>
      <c r="G327" s="21">
        <f ca="1">[1]!b_anal_yield_cnbd(B327,$A$5)</f>
        <v>0</v>
      </c>
      <c r="H327" s="21">
        <f t="shared" ca="1" si="15"/>
        <v>446</v>
      </c>
      <c r="I327" s="21">
        <f ca="1">[1]!b_anal_yield_cnbd(B327,$A$7)</f>
        <v>0</v>
      </c>
      <c r="J327" s="21">
        <f t="shared" ca="1" si="16"/>
        <v>0</v>
      </c>
      <c r="K327" s="19" t="str">
        <f>[1]!s_info_Nature(B327)</f>
        <v>中央国有企业</v>
      </c>
      <c r="L327" s="19" t="str">
        <f>[1]!b_info_windl1type(B327)</f>
        <v>金融债</v>
      </c>
      <c r="M327" s="13">
        <f>[1]!b_info_couponrate(B327)</f>
        <v>3.18</v>
      </c>
      <c r="N327" s="14" t="str">
        <f>[1]!B_Info_ListedDate(B327)</f>
        <v>2016-09-07</v>
      </c>
      <c r="O327" s="14" t="str">
        <f>[1]!b_issue_firstissue(B327)</f>
        <v>2016-09-01</v>
      </c>
      <c r="P327" s="4">
        <f t="shared" ca="1" si="17"/>
        <v>42989</v>
      </c>
    </row>
    <row r="328" spans="2:16">
      <c r="B328" s="7">
        <v>160405</v>
      </c>
      <c r="C328" s="7">
        <v>4.46</v>
      </c>
      <c r="D328" s="18" t="str">
        <f>[1]!b_info_name(B328)</f>
        <v>16农发05</v>
      </c>
      <c r="E328" s="19">
        <f>[1]!b_info_latestissurercreditrating(B328)</f>
        <v>0</v>
      </c>
      <c r="F328" s="20">
        <f ca="1">[1]!b_anal_day(B328,$A$5)/365</f>
        <v>8.3287671232876708</v>
      </c>
      <c r="G328" s="21">
        <f ca="1">[1]!b_anal_yield_cnbd(B328,$A$5)</f>
        <v>0</v>
      </c>
      <c r="H328" s="21">
        <f t="shared" ca="1" si="15"/>
        <v>446</v>
      </c>
      <c r="I328" s="21">
        <f ca="1">[1]!b_anal_yield_cnbd(B328,$A$7)</f>
        <v>0</v>
      </c>
      <c r="J328" s="21">
        <f t="shared" ca="1" si="16"/>
        <v>0</v>
      </c>
      <c r="K328" s="19">
        <f>[1]!s_info_Nature(B328)</f>
        <v>0</v>
      </c>
      <c r="L328" s="19" t="str">
        <f>[1]!b_info_windl1type(B328)</f>
        <v>金融债</v>
      </c>
      <c r="M328" s="13">
        <f>[1]!b_info_couponrate(B328)</f>
        <v>3.33</v>
      </c>
      <c r="N328" s="14" t="str">
        <f>[1]!B_Info_ListedDate(B328)</f>
        <v>2016-01-08</v>
      </c>
      <c r="O328" s="14" t="str">
        <f>[1]!b_issue_firstissue(B328)</f>
        <v>2016-01-04</v>
      </c>
      <c r="P328" s="4">
        <f t="shared" ca="1" si="17"/>
        <v>42989</v>
      </c>
    </row>
    <row r="329" spans="2:16">
      <c r="B329" s="7">
        <v>160310</v>
      </c>
      <c r="C329" s="7">
        <v>4.46</v>
      </c>
      <c r="D329" s="18" t="str">
        <f>[1]!b_info_name(B329)</f>
        <v>16进出10</v>
      </c>
      <c r="E329" s="19">
        <f>[1]!b_info_latestissurercreditrating(B329)</f>
        <v>0</v>
      </c>
      <c r="F329" s="20">
        <f ca="1">[1]!b_anal_day(B329,$A$5)/365</f>
        <v>8.9917808219178088</v>
      </c>
      <c r="G329" s="21">
        <f ca="1">[1]!b_anal_yield_cnbd(B329,$A$5)</f>
        <v>0</v>
      </c>
      <c r="H329" s="21">
        <f t="shared" ca="1" si="15"/>
        <v>446</v>
      </c>
      <c r="I329" s="21">
        <f ca="1">[1]!b_anal_yield_cnbd(B329,$A$7)</f>
        <v>0</v>
      </c>
      <c r="J329" s="21">
        <f t="shared" ca="1" si="16"/>
        <v>0</v>
      </c>
      <c r="K329" s="19" t="str">
        <f>[1]!s_info_Nature(B329)</f>
        <v>中央国有企业</v>
      </c>
      <c r="L329" s="19" t="str">
        <f>[1]!b_info_windl1type(B329)</f>
        <v>金融债</v>
      </c>
      <c r="M329" s="13">
        <f>[1]!b_info_couponrate(B329)</f>
        <v>3.18</v>
      </c>
      <c r="N329" s="14" t="str">
        <f>[1]!B_Info_ListedDate(B329)</f>
        <v>2016-09-07</v>
      </c>
      <c r="O329" s="14" t="str">
        <f>[1]!b_issue_firstissue(B329)</f>
        <v>2016-09-01</v>
      </c>
      <c r="P329" s="4">
        <f t="shared" ca="1" si="17"/>
        <v>42989</v>
      </c>
    </row>
    <row r="330" spans="2:16">
      <c r="B330" s="7">
        <v>170303</v>
      </c>
      <c r="C330" s="7">
        <v>4.4550000000000001</v>
      </c>
      <c r="D330" s="18" t="str">
        <f>[1]!b_info_name(B330)</f>
        <v>17进出03</v>
      </c>
      <c r="E330" s="19">
        <f>[1]!b_info_latestissurercreditrating(B330)</f>
        <v>0</v>
      </c>
      <c r="F330" s="20">
        <f ca="1">[1]!b_anal_day(B330,$A$5)/365</f>
        <v>9.5287671232876718</v>
      </c>
      <c r="G330" s="21">
        <f ca="1">[1]!b_anal_yield_cnbd(B330,$A$5)</f>
        <v>0</v>
      </c>
      <c r="H330" s="21">
        <f t="shared" ca="1" si="15"/>
        <v>445.5</v>
      </c>
      <c r="I330" s="21">
        <f ca="1">[1]!b_anal_yield_cnbd(B330,$A$7)</f>
        <v>0</v>
      </c>
      <c r="J330" s="21">
        <f t="shared" ca="1" si="16"/>
        <v>0</v>
      </c>
      <c r="K330" s="19" t="str">
        <f>[1]!s_info_Nature(B330)</f>
        <v>中央国有企业</v>
      </c>
      <c r="L330" s="19" t="str">
        <f>[1]!b_info_windl1type(B330)</f>
        <v>金融债</v>
      </c>
      <c r="M330" s="13">
        <f>[1]!b_info_couponrate(B330)</f>
        <v>4.1100000000000003</v>
      </c>
      <c r="N330" s="14" t="str">
        <f>[1]!B_Info_ListedDate(B330)</f>
        <v>2017-03-22</v>
      </c>
      <c r="O330" s="14" t="str">
        <f>[1]!b_issue_firstissue(B330)</f>
        <v>2017-03-16</v>
      </c>
      <c r="P330" s="4">
        <f t="shared" ca="1" si="17"/>
        <v>42989</v>
      </c>
    </row>
    <row r="331" spans="2:16">
      <c r="B331" s="7">
        <v>170303</v>
      </c>
      <c r="C331" s="7">
        <v>4.4550000000000001</v>
      </c>
      <c r="D331" s="18" t="str">
        <f>[1]!b_info_name(B331)</f>
        <v>17进出03</v>
      </c>
      <c r="E331" s="19">
        <f>[1]!b_info_latestissurercreditrating(B331)</f>
        <v>0</v>
      </c>
      <c r="F331" s="20">
        <f ca="1">[1]!b_anal_day(B331,$A$5)/365</f>
        <v>9.5287671232876718</v>
      </c>
      <c r="G331" s="21">
        <f ca="1">[1]!b_anal_yield_cnbd(B331,$A$5)</f>
        <v>0</v>
      </c>
      <c r="H331" s="21">
        <f t="shared" ca="1" si="15"/>
        <v>445.5</v>
      </c>
      <c r="I331" s="21">
        <f ca="1">[1]!b_anal_yield_cnbd(B331,$A$7)</f>
        <v>0</v>
      </c>
      <c r="J331" s="21">
        <f t="shared" ca="1" si="16"/>
        <v>0</v>
      </c>
      <c r="K331" s="19" t="str">
        <f>[1]!s_info_Nature(B331)</f>
        <v>中央国有企业</v>
      </c>
      <c r="L331" s="19" t="str">
        <f>[1]!b_info_windl1type(B331)</f>
        <v>金融债</v>
      </c>
      <c r="M331" s="13">
        <f>[1]!b_info_couponrate(B331)</f>
        <v>4.1100000000000003</v>
      </c>
      <c r="N331" s="14" t="str">
        <f>[1]!B_Info_ListedDate(B331)</f>
        <v>2017-03-22</v>
      </c>
      <c r="O331" s="14" t="str">
        <f>[1]!b_issue_firstissue(B331)</f>
        <v>2017-03-16</v>
      </c>
      <c r="P331" s="4">
        <f t="shared" ca="1" si="17"/>
        <v>42989</v>
      </c>
    </row>
    <row r="332" spans="2:16">
      <c r="B332" s="7">
        <v>170303</v>
      </c>
      <c r="C332" s="7">
        <v>4.4550000000000001</v>
      </c>
      <c r="D332" s="18" t="str">
        <f>[1]!b_info_name(B332)</f>
        <v>17进出03</v>
      </c>
      <c r="E332" s="19">
        <f>[1]!b_info_latestissurercreditrating(B332)</f>
        <v>0</v>
      </c>
      <c r="F332" s="20">
        <f ca="1">[1]!b_anal_day(B332,$A$5)/365</f>
        <v>9.5287671232876718</v>
      </c>
      <c r="G332" s="21">
        <f ca="1">[1]!b_anal_yield_cnbd(B332,$A$5)</f>
        <v>0</v>
      </c>
      <c r="H332" s="21">
        <f t="shared" ca="1" si="15"/>
        <v>445.5</v>
      </c>
      <c r="I332" s="21">
        <f ca="1">[1]!b_anal_yield_cnbd(B332,$A$7)</f>
        <v>0</v>
      </c>
      <c r="J332" s="21">
        <f t="shared" ca="1" si="16"/>
        <v>0</v>
      </c>
      <c r="K332" s="19" t="str">
        <f>[1]!s_info_Nature(B332)</f>
        <v>中央国有企业</v>
      </c>
      <c r="L332" s="19" t="str">
        <f>[1]!b_info_windl1type(B332)</f>
        <v>金融债</v>
      </c>
      <c r="M332" s="13">
        <f>[1]!b_info_couponrate(B332)</f>
        <v>4.1100000000000003</v>
      </c>
      <c r="N332" s="14" t="str">
        <f>[1]!B_Info_ListedDate(B332)</f>
        <v>2017-03-22</v>
      </c>
      <c r="O332" s="14" t="str">
        <f>[1]!b_issue_firstissue(B332)</f>
        <v>2017-03-16</v>
      </c>
      <c r="P332" s="4">
        <f t="shared" ca="1" si="17"/>
        <v>42989</v>
      </c>
    </row>
    <row r="333" spans="2:16">
      <c r="B333" s="7">
        <v>160408</v>
      </c>
      <c r="C333" s="7">
        <v>4.4524999999999997</v>
      </c>
      <c r="D333" s="18" t="str">
        <f>[1]!b_info_name(B333)</f>
        <v>16农发08</v>
      </c>
      <c r="E333" s="19">
        <f>[1]!b_info_latestissurercreditrating(B333)</f>
        <v>0</v>
      </c>
      <c r="F333" s="20">
        <f ca="1">[1]!b_anal_day(B333,$A$5)/365</f>
        <v>8.4684931506849317</v>
      </c>
      <c r="G333" s="21">
        <f ca="1">[1]!b_anal_yield_cnbd(B333,$A$5)</f>
        <v>0</v>
      </c>
      <c r="H333" s="21">
        <f t="shared" ca="1" si="15"/>
        <v>445.24999999999994</v>
      </c>
      <c r="I333" s="21">
        <f ca="1">[1]!b_anal_yield_cnbd(B333,$A$7)</f>
        <v>0</v>
      </c>
      <c r="J333" s="21">
        <f t="shared" ca="1" si="16"/>
        <v>0</v>
      </c>
      <c r="K333" s="19">
        <f>[1]!s_info_Nature(B333)</f>
        <v>0</v>
      </c>
      <c r="L333" s="19" t="str">
        <f>[1]!b_info_windl1type(B333)</f>
        <v>金融债</v>
      </c>
      <c r="M333" s="13">
        <f>[1]!b_info_couponrate(B333)</f>
        <v>3.37</v>
      </c>
      <c r="N333" s="14" t="str">
        <f>[1]!B_Info_ListedDate(B333)</f>
        <v>2016-03-01</v>
      </c>
      <c r="O333" s="14" t="str">
        <f>[1]!b_issue_firstissue(B333)</f>
        <v>2016-02-24</v>
      </c>
      <c r="P333" s="4">
        <f t="shared" ca="1" si="17"/>
        <v>42989</v>
      </c>
    </row>
    <row r="334" spans="2:16">
      <c r="B334" s="7">
        <v>111711019</v>
      </c>
      <c r="C334" s="7">
        <v>4.45</v>
      </c>
      <c r="D334" s="18" t="str">
        <f>[1]!b_info_name(B334)</f>
        <v>17平安银行CD019</v>
      </c>
      <c r="E334" s="19" t="str">
        <f>[1]!b_info_latestissurercreditrating(B334)</f>
        <v>AAA</v>
      </c>
      <c r="F334" s="20">
        <f ca="1">[1]!b_anal_day(B334,$A$5)/365</f>
        <v>0</v>
      </c>
      <c r="G334" s="21">
        <f ca="1">[1]!b_anal_yield_cnbd(B334,$A$5)</f>
        <v>0</v>
      </c>
      <c r="H334" s="21">
        <f t="shared" ca="1" si="15"/>
        <v>445</v>
      </c>
      <c r="I334" s="21">
        <f ca="1">[1]!b_anal_yield_cnbd(B334,$A$7)</f>
        <v>0</v>
      </c>
      <c r="J334" s="21">
        <f t="shared" ca="1" si="16"/>
        <v>0</v>
      </c>
      <c r="K334" s="19" t="str">
        <f>[1]!s_info_Nature(B334)</f>
        <v>公众企业</v>
      </c>
      <c r="L334" s="19" t="str">
        <f>[1]!b_info_windl1type(B334)</f>
        <v>同业存单</v>
      </c>
      <c r="M334" s="13">
        <f>[1]!b_info_couponrate(B334)</f>
        <v>3.9</v>
      </c>
      <c r="N334" s="14" t="str">
        <f>[1]!B_Info_ListedDate(B334)</f>
        <v>2017-01-12</v>
      </c>
      <c r="O334" s="14" t="str">
        <f>[1]!b_issue_firstissue(B334)</f>
        <v>2017-01-11</v>
      </c>
      <c r="P334" s="4">
        <f t="shared" ca="1" si="17"/>
        <v>42989</v>
      </c>
    </row>
    <row r="335" spans="2:16">
      <c r="B335" s="7">
        <v>150218</v>
      </c>
      <c r="C335" s="7">
        <v>4.45</v>
      </c>
      <c r="D335" s="18" t="str">
        <f>[1]!b_info_name(B335)</f>
        <v>15国开18</v>
      </c>
      <c r="E335" s="19">
        <f>[1]!b_info_latestissurercreditrating(B335)</f>
        <v>0</v>
      </c>
      <c r="F335" s="20">
        <f ca="1">[1]!b_anal_day(B335,$A$5)/365</f>
        <v>8.0054794520547947</v>
      </c>
      <c r="G335" s="21">
        <f ca="1">[1]!b_anal_yield_cnbd(B335,$A$5)</f>
        <v>0</v>
      </c>
      <c r="H335" s="21">
        <f t="shared" ca="1" si="15"/>
        <v>445</v>
      </c>
      <c r="I335" s="21">
        <f ca="1">[1]!b_anal_yield_cnbd(B335,$A$7)</f>
        <v>0</v>
      </c>
      <c r="J335" s="21">
        <f t="shared" ca="1" si="16"/>
        <v>0</v>
      </c>
      <c r="K335" s="19" t="str">
        <f>[1]!s_info_Nature(B335)</f>
        <v>中央国有企业</v>
      </c>
      <c r="L335" s="19" t="str">
        <f>[1]!b_info_windl1type(B335)</f>
        <v>金融债</v>
      </c>
      <c r="M335" s="13">
        <f>[1]!b_info_couponrate(B335)</f>
        <v>3.74</v>
      </c>
      <c r="N335" s="14" t="str">
        <f>[1]!B_Info_ListedDate(B335)</f>
        <v>2015-09-14</v>
      </c>
      <c r="O335" s="14" t="str">
        <f>[1]!b_issue_firstissue(B335)</f>
        <v>2015-09-08</v>
      </c>
      <c r="P335" s="4">
        <f t="shared" ca="1" si="17"/>
        <v>42989</v>
      </c>
    </row>
    <row r="336" spans="2:16">
      <c r="B336" s="7">
        <v>170405</v>
      </c>
      <c r="C336" s="7">
        <v>4.45</v>
      </c>
      <c r="D336" s="18" t="str">
        <f>[1]!b_info_name(B336)</f>
        <v>17农发05</v>
      </c>
      <c r="E336" s="19">
        <f>[1]!b_info_latestissurercreditrating(B336)</f>
        <v>0</v>
      </c>
      <c r="F336" s="20">
        <f ca="1">[1]!b_anal_day(B336,$A$5)/365</f>
        <v>9.3287671232876708</v>
      </c>
      <c r="G336" s="21">
        <f ca="1">[1]!b_anal_yield_cnbd(B336,$A$5)</f>
        <v>0</v>
      </c>
      <c r="H336" s="21">
        <f t="shared" ca="1" si="15"/>
        <v>445</v>
      </c>
      <c r="I336" s="21">
        <f ca="1">[1]!b_anal_yield_cnbd(B336,$A$7)</f>
        <v>0</v>
      </c>
      <c r="J336" s="21">
        <f t="shared" ca="1" si="16"/>
        <v>0</v>
      </c>
      <c r="K336" s="19" t="str">
        <f>[1]!s_info_Nature(B336)</f>
        <v>中央国有企业</v>
      </c>
      <c r="L336" s="19" t="str">
        <f>[1]!b_info_windl1type(B336)</f>
        <v>金融债</v>
      </c>
      <c r="M336" s="13">
        <f>[1]!b_info_couponrate(B336)</f>
        <v>3.85</v>
      </c>
      <c r="N336" s="14" t="str">
        <f>[1]!B_Info_ListedDate(B336)</f>
        <v>2017-01-10</v>
      </c>
      <c r="O336" s="14" t="str">
        <f>[1]!b_issue_firstissue(B336)</f>
        <v>2017-01-04</v>
      </c>
      <c r="P336" s="4">
        <f t="shared" ca="1" si="17"/>
        <v>42989</v>
      </c>
    </row>
    <row r="337" spans="2:16">
      <c r="B337" s="7">
        <v>170303</v>
      </c>
      <c r="C337" s="7">
        <v>4.45</v>
      </c>
      <c r="D337" s="18" t="str">
        <f>[1]!b_info_name(B337)</f>
        <v>17进出03</v>
      </c>
      <c r="E337" s="19">
        <f>[1]!b_info_latestissurercreditrating(B337)</f>
        <v>0</v>
      </c>
      <c r="F337" s="20">
        <f ca="1">[1]!b_anal_day(B337,$A$5)/365</f>
        <v>9.5287671232876718</v>
      </c>
      <c r="G337" s="21">
        <f ca="1">[1]!b_anal_yield_cnbd(B337,$A$5)</f>
        <v>0</v>
      </c>
      <c r="H337" s="21">
        <f t="shared" ca="1" si="15"/>
        <v>445</v>
      </c>
      <c r="I337" s="21">
        <f ca="1">[1]!b_anal_yield_cnbd(B337,$A$7)</f>
        <v>0</v>
      </c>
      <c r="J337" s="21">
        <f t="shared" ca="1" si="16"/>
        <v>0</v>
      </c>
      <c r="K337" s="19" t="str">
        <f>[1]!s_info_Nature(B337)</f>
        <v>中央国有企业</v>
      </c>
      <c r="L337" s="19" t="str">
        <f>[1]!b_info_windl1type(B337)</f>
        <v>金融债</v>
      </c>
      <c r="M337" s="13">
        <f>[1]!b_info_couponrate(B337)</f>
        <v>4.1100000000000003</v>
      </c>
      <c r="N337" s="14" t="str">
        <f>[1]!B_Info_ListedDate(B337)</f>
        <v>2017-03-22</v>
      </c>
      <c r="O337" s="14" t="str">
        <f>[1]!b_issue_firstissue(B337)</f>
        <v>2017-03-16</v>
      </c>
      <c r="P337" s="4">
        <f t="shared" ca="1" si="17"/>
        <v>42989</v>
      </c>
    </row>
    <row r="338" spans="2:16">
      <c r="B338" s="7">
        <v>170303</v>
      </c>
      <c r="C338" s="7">
        <v>4.45</v>
      </c>
      <c r="D338" s="18" t="str">
        <f>[1]!b_info_name(B338)</f>
        <v>17进出03</v>
      </c>
      <c r="E338" s="19">
        <f>[1]!b_info_latestissurercreditrating(B338)</f>
        <v>0</v>
      </c>
      <c r="F338" s="20">
        <f ca="1">[1]!b_anal_day(B338,$A$5)/365</f>
        <v>9.5287671232876718</v>
      </c>
      <c r="G338" s="21">
        <f ca="1">[1]!b_anal_yield_cnbd(B338,$A$5)</f>
        <v>0</v>
      </c>
      <c r="H338" s="21">
        <f t="shared" ca="1" si="15"/>
        <v>445</v>
      </c>
      <c r="I338" s="21">
        <f ca="1">[1]!b_anal_yield_cnbd(B338,$A$7)</f>
        <v>0</v>
      </c>
      <c r="J338" s="21">
        <f t="shared" ca="1" si="16"/>
        <v>0</v>
      </c>
      <c r="K338" s="19" t="str">
        <f>[1]!s_info_Nature(B338)</f>
        <v>中央国有企业</v>
      </c>
      <c r="L338" s="19" t="str">
        <f>[1]!b_info_windl1type(B338)</f>
        <v>金融债</v>
      </c>
      <c r="M338" s="13">
        <f>[1]!b_info_couponrate(B338)</f>
        <v>4.1100000000000003</v>
      </c>
      <c r="N338" s="14" t="str">
        <f>[1]!B_Info_ListedDate(B338)</f>
        <v>2017-03-22</v>
      </c>
      <c r="O338" s="14" t="str">
        <f>[1]!b_issue_firstissue(B338)</f>
        <v>2017-03-16</v>
      </c>
      <c r="P338" s="4">
        <f t="shared" ca="1" si="17"/>
        <v>42989</v>
      </c>
    </row>
    <row r="339" spans="2:16">
      <c r="B339" s="7">
        <v>170303</v>
      </c>
      <c r="C339" s="7">
        <v>4.45</v>
      </c>
      <c r="D339" s="18" t="str">
        <f>[1]!b_info_name(B339)</f>
        <v>17进出03</v>
      </c>
      <c r="E339" s="19">
        <f>[1]!b_info_latestissurercreditrating(B339)</f>
        <v>0</v>
      </c>
      <c r="F339" s="20">
        <f ca="1">[1]!b_anal_day(B339,$A$5)/365</f>
        <v>9.5287671232876718</v>
      </c>
      <c r="G339" s="21">
        <f ca="1">[1]!b_anal_yield_cnbd(B339,$A$5)</f>
        <v>0</v>
      </c>
      <c r="H339" s="21">
        <f t="shared" ca="1" si="15"/>
        <v>445</v>
      </c>
      <c r="I339" s="21">
        <f ca="1">[1]!b_anal_yield_cnbd(B339,$A$7)</f>
        <v>0</v>
      </c>
      <c r="J339" s="21">
        <f t="shared" ca="1" si="16"/>
        <v>0</v>
      </c>
      <c r="K339" s="19" t="str">
        <f>[1]!s_info_Nature(B339)</f>
        <v>中央国有企业</v>
      </c>
      <c r="L339" s="19" t="str">
        <f>[1]!b_info_windl1type(B339)</f>
        <v>金融债</v>
      </c>
      <c r="M339" s="13">
        <f>[1]!b_info_couponrate(B339)</f>
        <v>4.1100000000000003</v>
      </c>
      <c r="N339" s="14" t="str">
        <f>[1]!B_Info_ListedDate(B339)</f>
        <v>2017-03-22</v>
      </c>
      <c r="O339" s="14" t="str">
        <f>[1]!b_issue_firstissue(B339)</f>
        <v>2017-03-16</v>
      </c>
      <c r="P339" s="4">
        <f t="shared" ca="1" si="17"/>
        <v>42989</v>
      </c>
    </row>
    <row r="340" spans="2:16">
      <c r="B340" s="7">
        <v>170303</v>
      </c>
      <c r="C340" s="7">
        <v>4.45</v>
      </c>
      <c r="D340" s="18" t="str">
        <f>[1]!b_info_name(B340)</f>
        <v>17进出03</v>
      </c>
      <c r="E340" s="19">
        <f>[1]!b_info_latestissurercreditrating(B340)</f>
        <v>0</v>
      </c>
      <c r="F340" s="20">
        <f ca="1">[1]!b_anal_day(B340,$A$5)/365</f>
        <v>9.5287671232876718</v>
      </c>
      <c r="G340" s="21">
        <f ca="1">[1]!b_anal_yield_cnbd(B340,$A$5)</f>
        <v>0</v>
      </c>
      <c r="H340" s="21">
        <f t="shared" ca="1" si="15"/>
        <v>445</v>
      </c>
      <c r="I340" s="21">
        <f ca="1">[1]!b_anal_yield_cnbd(B340,$A$7)</f>
        <v>0</v>
      </c>
      <c r="J340" s="21">
        <f t="shared" ca="1" si="16"/>
        <v>0</v>
      </c>
      <c r="K340" s="19" t="str">
        <f>[1]!s_info_Nature(B340)</f>
        <v>中央国有企业</v>
      </c>
      <c r="L340" s="19" t="str">
        <f>[1]!b_info_windl1type(B340)</f>
        <v>金融债</v>
      </c>
      <c r="M340" s="13">
        <f>[1]!b_info_couponrate(B340)</f>
        <v>4.1100000000000003</v>
      </c>
      <c r="N340" s="14" t="str">
        <f>[1]!B_Info_ListedDate(B340)</f>
        <v>2017-03-22</v>
      </c>
      <c r="O340" s="14" t="str">
        <f>[1]!b_issue_firstissue(B340)</f>
        <v>2017-03-16</v>
      </c>
      <c r="P340" s="4">
        <f t="shared" ca="1" si="17"/>
        <v>42989</v>
      </c>
    </row>
    <row r="341" spans="2:16">
      <c r="B341" s="7">
        <v>170303</v>
      </c>
      <c r="C341" s="7">
        <v>4.45</v>
      </c>
      <c r="D341" s="18" t="str">
        <f>[1]!b_info_name(B341)</f>
        <v>17进出03</v>
      </c>
      <c r="E341" s="19">
        <f>[1]!b_info_latestissurercreditrating(B341)</f>
        <v>0</v>
      </c>
      <c r="F341" s="20">
        <f ca="1">[1]!b_anal_day(B341,$A$5)/365</f>
        <v>9.5287671232876718</v>
      </c>
      <c r="G341" s="21">
        <f ca="1">[1]!b_anal_yield_cnbd(B341,$A$5)</f>
        <v>0</v>
      </c>
      <c r="H341" s="21">
        <f t="shared" ca="1" si="15"/>
        <v>445</v>
      </c>
      <c r="I341" s="21">
        <f ca="1">[1]!b_anal_yield_cnbd(B341,$A$7)</f>
        <v>0</v>
      </c>
      <c r="J341" s="21">
        <f t="shared" ca="1" si="16"/>
        <v>0</v>
      </c>
      <c r="K341" s="19" t="str">
        <f>[1]!s_info_Nature(B341)</f>
        <v>中央国有企业</v>
      </c>
      <c r="L341" s="19" t="str">
        <f>[1]!b_info_windl1type(B341)</f>
        <v>金融债</v>
      </c>
      <c r="M341" s="13">
        <f>[1]!b_info_couponrate(B341)</f>
        <v>4.1100000000000003</v>
      </c>
      <c r="N341" s="14" t="str">
        <f>[1]!B_Info_ListedDate(B341)</f>
        <v>2017-03-22</v>
      </c>
      <c r="O341" s="14" t="str">
        <f>[1]!b_issue_firstissue(B341)</f>
        <v>2017-03-16</v>
      </c>
      <c r="P341" s="4">
        <f t="shared" ca="1" si="17"/>
        <v>42989</v>
      </c>
    </row>
    <row r="342" spans="2:16">
      <c r="B342" s="7">
        <v>170303</v>
      </c>
      <c r="C342" s="7">
        <v>4.45</v>
      </c>
      <c r="D342" s="18" t="str">
        <f>[1]!b_info_name(B342)</f>
        <v>17进出03</v>
      </c>
      <c r="E342" s="19">
        <f>[1]!b_info_latestissurercreditrating(B342)</f>
        <v>0</v>
      </c>
      <c r="F342" s="20">
        <f ca="1">[1]!b_anal_day(B342,$A$5)/365</f>
        <v>9.5287671232876718</v>
      </c>
      <c r="G342" s="21">
        <f ca="1">[1]!b_anal_yield_cnbd(B342,$A$5)</f>
        <v>0</v>
      </c>
      <c r="H342" s="21">
        <f t="shared" ca="1" si="15"/>
        <v>445</v>
      </c>
      <c r="I342" s="21">
        <f ca="1">[1]!b_anal_yield_cnbd(B342,$A$7)</f>
        <v>0</v>
      </c>
      <c r="J342" s="21">
        <f t="shared" ca="1" si="16"/>
        <v>0</v>
      </c>
      <c r="K342" s="19" t="str">
        <f>[1]!s_info_Nature(B342)</f>
        <v>中央国有企业</v>
      </c>
      <c r="L342" s="19" t="str">
        <f>[1]!b_info_windl1type(B342)</f>
        <v>金融债</v>
      </c>
      <c r="M342" s="13">
        <f>[1]!b_info_couponrate(B342)</f>
        <v>4.1100000000000003</v>
      </c>
      <c r="N342" s="14" t="str">
        <f>[1]!B_Info_ListedDate(B342)</f>
        <v>2017-03-22</v>
      </c>
      <c r="O342" s="14" t="str">
        <f>[1]!b_issue_firstissue(B342)</f>
        <v>2017-03-16</v>
      </c>
      <c r="P342" s="4">
        <f t="shared" ca="1" si="17"/>
        <v>42989</v>
      </c>
    </row>
    <row r="343" spans="2:16">
      <c r="B343" s="7">
        <v>170303</v>
      </c>
      <c r="C343" s="7">
        <v>4.45</v>
      </c>
      <c r="D343" s="18" t="str">
        <f>[1]!b_info_name(B343)</f>
        <v>17进出03</v>
      </c>
      <c r="E343" s="19">
        <f>[1]!b_info_latestissurercreditrating(B343)</f>
        <v>0</v>
      </c>
      <c r="F343" s="20">
        <f ca="1">[1]!b_anal_day(B343,$A$5)/365</f>
        <v>9.5287671232876718</v>
      </c>
      <c r="G343" s="21">
        <f ca="1">[1]!b_anal_yield_cnbd(B343,$A$5)</f>
        <v>0</v>
      </c>
      <c r="H343" s="21">
        <f t="shared" ca="1" si="15"/>
        <v>445</v>
      </c>
      <c r="I343" s="21">
        <f ca="1">[1]!b_anal_yield_cnbd(B343,$A$7)</f>
        <v>0</v>
      </c>
      <c r="J343" s="21">
        <f t="shared" ca="1" si="16"/>
        <v>0</v>
      </c>
      <c r="K343" s="19" t="str">
        <f>[1]!s_info_Nature(B343)</f>
        <v>中央国有企业</v>
      </c>
      <c r="L343" s="19" t="str">
        <f>[1]!b_info_windl1type(B343)</f>
        <v>金融债</v>
      </c>
      <c r="M343" s="13">
        <f>[1]!b_info_couponrate(B343)</f>
        <v>4.1100000000000003</v>
      </c>
      <c r="N343" s="14" t="str">
        <f>[1]!B_Info_ListedDate(B343)</f>
        <v>2017-03-22</v>
      </c>
      <c r="O343" s="14" t="str">
        <f>[1]!b_issue_firstissue(B343)</f>
        <v>2017-03-16</v>
      </c>
      <c r="P343" s="4">
        <f t="shared" ca="1" si="17"/>
        <v>42989</v>
      </c>
    </row>
    <row r="344" spans="2:16">
      <c r="B344" s="7">
        <v>170303</v>
      </c>
      <c r="C344" s="7">
        <v>4.45</v>
      </c>
      <c r="D344" s="18" t="str">
        <f>[1]!b_info_name(B344)</f>
        <v>17进出03</v>
      </c>
      <c r="E344" s="19">
        <f>[1]!b_info_latestissurercreditrating(B344)</f>
        <v>0</v>
      </c>
      <c r="F344" s="20">
        <f ca="1">[1]!b_anal_day(B344,$A$5)/365</f>
        <v>9.5287671232876718</v>
      </c>
      <c r="G344" s="21">
        <f ca="1">[1]!b_anal_yield_cnbd(B344,$A$5)</f>
        <v>0</v>
      </c>
      <c r="H344" s="21">
        <f t="shared" ca="1" si="15"/>
        <v>445</v>
      </c>
      <c r="I344" s="21">
        <f ca="1">[1]!b_anal_yield_cnbd(B344,$A$7)</f>
        <v>0</v>
      </c>
      <c r="J344" s="21">
        <f t="shared" ca="1" si="16"/>
        <v>0</v>
      </c>
      <c r="K344" s="19" t="str">
        <f>[1]!s_info_Nature(B344)</f>
        <v>中央国有企业</v>
      </c>
      <c r="L344" s="19" t="str">
        <f>[1]!b_info_windl1type(B344)</f>
        <v>金融债</v>
      </c>
      <c r="M344" s="13">
        <f>[1]!b_info_couponrate(B344)</f>
        <v>4.1100000000000003</v>
      </c>
      <c r="N344" s="14" t="str">
        <f>[1]!B_Info_ListedDate(B344)</f>
        <v>2017-03-22</v>
      </c>
      <c r="O344" s="14" t="str">
        <f>[1]!b_issue_firstissue(B344)</f>
        <v>2017-03-16</v>
      </c>
      <c r="P344" s="4">
        <f t="shared" ca="1" si="17"/>
        <v>42989</v>
      </c>
    </row>
    <row r="345" spans="2:16">
      <c r="B345" s="7">
        <v>170303</v>
      </c>
      <c r="C345" s="7">
        <v>4.45</v>
      </c>
      <c r="D345" s="18" t="str">
        <f>[1]!b_info_name(B345)</f>
        <v>17进出03</v>
      </c>
      <c r="E345" s="19">
        <f>[1]!b_info_latestissurercreditrating(B345)</f>
        <v>0</v>
      </c>
      <c r="F345" s="20">
        <f ca="1">[1]!b_anal_day(B345,$A$5)/365</f>
        <v>9.5287671232876718</v>
      </c>
      <c r="G345" s="21">
        <f ca="1">[1]!b_anal_yield_cnbd(B345,$A$5)</f>
        <v>0</v>
      </c>
      <c r="H345" s="21">
        <f t="shared" ca="1" si="15"/>
        <v>445</v>
      </c>
      <c r="I345" s="21">
        <f ca="1">[1]!b_anal_yield_cnbd(B345,$A$7)</f>
        <v>0</v>
      </c>
      <c r="J345" s="21">
        <f t="shared" ca="1" si="16"/>
        <v>0</v>
      </c>
      <c r="K345" s="19" t="str">
        <f>[1]!s_info_Nature(B345)</f>
        <v>中央国有企业</v>
      </c>
      <c r="L345" s="19" t="str">
        <f>[1]!b_info_windl1type(B345)</f>
        <v>金融债</v>
      </c>
      <c r="M345" s="13">
        <f>[1]!b_info_couponrate(B345)</f>
        <v>4.1100000000000003</v>
      </c>
      <c r="N345" s="14" t="str">
        <f>[1]!B_Info_ListedDate(B345)</f>
        <v>2017-03-22</v>
      </c>
      <c r="O345" s="14" t="str">
        <f>[1]!b_issue_firstissue(B345)</f>
        <v>2017-03-16</v>
      </c>
      <c r="P345" s="4">
        <f t="shared" ca="1" si="17"/>
        <v>42989</v>
      </c>
    </row>
    <row r="346" spans="2:16">
      <c r="B346" s="7">
        <v>170303</v>
      </c>
      <c r="C346" s="7">
        <v>4.45</v>
      </c>
      <c r="D346" s="18" t="str">
        <f>[1]!b_info_name(B346)</f>
        <v>17进出03</v>
      </c>
      <c r="E346" s="19">
        <f>[1]!b_info_latestissurercreditrating(B346)</f>
        <v>0</v>
      </c>
      <c r="F346" s="20">
        <f ca="1">[1]!b_anal_day(B346,$A$5)/365</f>
        <v>9.5287671232876718</v>
      </c>
      <c r="G346" s="21">
        <f ca="1">[1]!b_anal_yield_cnbd(B346,$A$5)</f>
        <v>0</v>
      </c>
      <c r="H346" s="21">
        <f t="shared" ca="1" si="15"/>
        <v>445</v>
      </c>
      <c r="I346" s="21">
        <f ca="1">[1]!b_anal_yield_cnbd(B346,$A$7)</f>
        <v>0</v>
      </c>
      <c r="J346" s="21">
        <f t="shared" ca="1" si="16"/>
        <v>0</v>
      </c>
      <c r="K346" s="19" t="str">
        <f>[1]!s_info_Nature(B346)</f>
        <v>中央国有企业</v>
      </c>
      <c r="L346" s="19" t="str">
        <f>[1]!b_info_windl1type(B346)</f>
        <v>金融债</v>
      </c>
      <c r="M346" s="13">
        <f>[1]!b_info_couponrate(B346)</f>
        <v>4.1100000000000003</v>
      </c>
      <c r="N346" s="14" t="str">
        <f>[1]!B_Info_ListedDate(B346)</f>
        <v>2017-03-22</v>
      </c>
      <c r="O346" s="14" t="str">
        <f>[1]!b_issue_firstissue(B346)</f>
        <v>2017-03-16</v>
      </c>
      <c r="P346" s="4">
        <f t="shared" ca="1" si="17"/>
        <v>42989</v>
      </c>
    </row>
    <row r="347" spans="2:16">
      <c r="B347" s="7">
        <v>111711019</v>
      </c>
      <c r="C347" s="7">
        <v>4.45</v>
      </c>
      <c r="D347" s="18" t="str">
        <f>[1]!b_info_name(B347)</f>
        <v>17平安银行CD019</v>
      </c>
      <c r="E347" s="19" t="str">
        <f>[1]!b_info_latestissurercreditrating(B347)</f>
        <v>AAA</v>
      </c>
      <c r="F347" s="20">
        <f ca="1">[1]!b_anal_day(B347,$A$5)/365</f>
        <v>0</v>
      </c>
      <c r="G347" s="21">
        <f ca="1">[1]!b_anal_yield_cnbd(B347,$A$5)</f>
        <v>0</v>
      </c>
      <c r="H347" s="21">
        <f t="shared" ca="1" si="15"/>
        <v>445</v>
      </c>
      <c r="I347" s="21">
        <f ca="1">[1]!b_anal_yield_cnbd(B347,$A$7)</f>
        <v>0</v>
      </c>
      <c r="J347" s="21">
        <f t="shared" ca="1" si="16"/>
        <v>0</v>
      </c>
      <c r="K347" s="19" t="str">
        <f>[1]!s_info_Nature(B347)</f>
        <v>公众企业</v>
      </c>
      <c r="L347" s="19" t="str">
        <f>[1]!b_info_windl1type(B347)</f>
        <v>同业存单</v>
      </c>
      <c r="M347" s="13">
        <f>[1]!b_info_couponrate(B347)</f>
        <v>3.9</v>
      </c>
      <c r="N347" s="14" t="str">
        <f>[1]!B_Info_ListedDate(B347)</f>
        <v>2017-01-12</v>
      </c>
      <c r="O347" s="14" t="str">
        <f>[1]!b_issue_firstissue(B347)</f>
        <v>2017-01-11</v>
      </c>
      <c r="P347" s="4">
        <f t="shared" ca="1" si="17"/>
        <v>42989</v>
      </c>
    </row>
    <row r="348" spans="2:16">
      <c r="B348" s="7">
        <v>170405</v>
      </c>
      <c r="C348" s="7">
        <v>4.45</v>
      </c>
      <c r="D348" s="18" t="str">
        <f>[1]!b_info_name(B348)</f>
        <v>17农发05</v>
      </c>
      <c r="E348" s="19">
        <f>[1]!b_info_latestissurercreditrating(B348)</f>
        <v>0</v>
      </c>
      <c r="F348" s="20">
        <f ca="1">[1]!b_anal_day(B348,$A$5)/365</f>
        <v>9.3287671232876708</v>
      </c>
      <c r="G348" s="21">
        <f ca="1">[1]!b_anal_yield_cnbd(B348,$A$5)</f>
        <v>0</v>
      </c>
      <c r="H348" s="21">
        <f t="shared" ca="1" si="15"/>
        <v>445</v>
      </c>
      <c r="I348" s="21">
        <f ca="1">[1]!b_anal_yield_cnbd(B348,$A$7)</f>
        <v>0</v>
      </c>
      <c r="J348" s="21">
        <f t="shared" ca="1" si="16"/>
        <v>0</v>
      </c>
      <c r="K348" s="19" t="str">
        <f>[1]!s_info_Nature(B348)</f>
        <v>中央国有企业</v>
      </c>
      <c r="L348" s="19" t="str">
        <f>[1]!b_info_windl1type(B348)</f>
        <v>金融债</v>
      </c>
      <c r="M348" s="13">
        <f>[1]!b_info_couponrate(B348)</f>
        <v>3.85</v>
      </c>
      <c r="N348" s="14" t="str">
        <f>[1]!B_Info_ListedDate(B348)</f>
        <v>2017-01-10</v>
      </c>
      <c r="O348" s="14" t="str">
        <f>[1]!b_issue_firstissue(B348)</f>
        <v>2017-01-04</v>
      </c>
      <c r="P348" s="4">
        <f t="shared" ca="1" si="17"/>
        <v>42989</v>
      </c>
    </row>
    <row r="349" spans="2:16">
      <c r="B349" s="7">
        <v>170405</v>
      </c>
      <c r="C349" s="7">
        <v>4.45</v>
      </c>
      <c r="D349" s="18" t="str">
        <f>[1]!b_info_name(B349)</f>
        <v>17农发05</v>
      </c>
      <c r="E349" s="19">
        <f>[1]!b_info_latestissurercreditrating(B349)</f>
        <v>0</v>
      </c>
      <c r="F349" s="20">
        <f ca="1">[1]!b_anal_day(B349,$A$5)/365</f>
        <v>9.3287671232876708</v>
      </c>
      <c r="G349" s="21">
        <f ca="1">[1]!b_anal_yield_cnbd(B349,$A$5)</f>
        <v>0</v>
      </c>
      <c r="H349" s="21">
        <f t="shared" ca="1" si="15"/>
        <v>445</v>
      </c>
      <c r="I349" s="21">
        <f ca="1">[1]!b_anal_yield_cnbd(B349,$A$7)</f>
        <v>0</v>
      </c>
      <c r="J349" s="21">
        <f t="shared" ca="1" si="16"/>
        <v>0</v>
      </c>
      <c r="K349" s="19" t="str">
        <f>[1]!s_info_Nature(B349)</f>
        <v>中央国有企业</v>
      </c>
      <c r="L349" s="19" t="str">
        <f>[1]!b_info_windl1type(B349)</f>
        <v>金融债</v>
      </c>
      <c r="M349" s="13">
        <f>[1]!b_info_couponrate(B349)</f>
        <v>3.85</v>
      </c>
      <c r="N349" s="14" t="str">
        <f>[1]!B_Info_ListedDate(B349)</f>
        <v>2017-01-10</v>
      </c>
      <c r="O349" s="14" t="str">
        <f>[1]!b_issue_firstissue(B349)</f>
        <v>2017-01-04</v>
      </c>
      <c r="P349" s="4">
        <f t="shared" ca="1" si="17"/>
        <v>42989</v>
      </c>
    </row>
    <row r="350" spans="2:16">
      <c r="B350" s="7">
        <v>170303</v>
      </c>
      <c r="C350" s="7">
        <v>4.45</v>
      </c>
      <c r="D350" s="18" t="str">
        <f>[1]!b_info_name(B350)</f>
        <v>17进出03</v>
      </c>
      <c r="E350" s="19">
        <f>[1]!b_info_latestissurercreditrating(B350)</f>
        <v>0</v>
      </c>
      <c r="F350" s="20">
        <f ca="1">[1]!b_anal_day(B350,$A$5)/365</f>
        <v>9.5287671232876718</v>
      </c>
      <c r="G350" s="21">
        <f ca="1">[1]!b_anal_yield_cnbd(B350,$A$5)</f>
        <v>0</v>
      </c>
      <c r="H350" s="21">
        <f t="shared" ca="1" si="15"/>
        <v>445</v>
      </c>
      <c r="I350" s="21">
        <f ca="1">[1]!b_anal_yield_cnbd(B350,$A$7)</f>
        <v>0</v>
      </c>
      <c r="J350" s="21">
        <f t="shared" ca="1" si="16"/>
        <v>0</v>
      </c>
      <c r="K350" s="19" t="str">
        <f>[1]!s_info_Nature(B350)</f>
        <v>中央国有企业</v>
      </c>
      <c r="L350" s="19" t="str">
        <f>[1]!b_info_windl1type(B350)</f>
        <v>金融债</v>
      </c>
      <c r="M350" s="13">
        <f>[1]!b_info_couponrate(B350)</f>
        <v>4.1100000000000003</v>
      </c>
      <c r="N350" s="14" t="str">
        <f>[1]!B_Info_ListedDate(B350)</f>
        <v>2017-03-22</v>
      </c>
      <c r="O350" s="14" t="str">
        <f>[1]!b_issue_firstissue(B350)</f>
        <v>2017-03-16</v>
      </c>
      <c r="P350" s="4">
        <f t="shared" ca="1" si="17"/>
        <v>42989</v>
      </c>
    </row>
    <row r="351" spans="2:16">
      <c r="B351" s="7">
        <v>170303</v>
      </c>
      <c r="C351" s="7">
        <v>4.45</v>
      </c>
      <c r="D351" s="18" t="str">
        <f>[1]!b_info_name(B351)</f>
        <v>17进出03</v>
      </c>
      <c r="E351" s="19">
        <f>[1]!b_info_latestissurercreditrating(B351)</f>
        <v>0</v>
      </c>
      <c r="F351" s="20">
        <f ca="1">[1]!b_anal_day(B351,$A$5)/365</f>
        <v>9.5287671232876718</v>
      </c>
      <c r="G351" s="21">
        <f ca="1">[1]!b_anal_yield_cnbd(B351,$A$5)</f>
        <v>0</v>
      </c>
      <c r="H351" s="21">
        <f t="shared" ca="1" si="15"/>
        <v>445</v>
      </c>
      <c r="I351" s="21">
        <f ca="1">[1]!b_anal_yield_cnbd(B351,$A$7)</f>
        <v>0</v>
      </c>
      <c r="J351" s="21">
        <f t="shared" ca="1" si="16"/>
        <v>0</v>
      </c>
      <c r="K351" s="19" t="str">
        <f>[1]!s_info_Nature(B351)</f>
        <v>中央国有企业</v>
      </c>
      <c r="L351" s="19" t="str">
        <f>[1]!b_info_windl1type(B351)</f>
        <v>金融债</v>
      </c>
      <c r="M351" s="13">
        <f>[1]!b_info_couponrate(B351)</f>
        <v>4.1100000000000003</v>
      </c>
      <c r="N351" s="14" t="str">
        <f>[1]!B_Info_ListedDate(B351)</f>
        <v>2017-03-22</v>
      </c>
      <c r="O351" s="14" t="str">
        <f>[1]!b_issue_firstissue(B351)</f>
        <v>2017-03-16</v>
      </c>
      <c r="P351" s="4">
        <f t="shared" ca="1" si="17"/>
        <v>42989</v>
      </c>
    </row>
    <row r="352" spans="2:16">
      <c r="B352" s="7">
        <v>170303</v>
      </c>
      <c r="C352" s="7">
        <v>4.45</v>
      </c>
      <c r="D352" s="18" t="str">
        <f>[1]!b_info_name(B352)</f>
        <v>17进出03</v>
      </c>
      <c r="E352" s="19">
        <f>[1]!b_info_latestissurercreditrating(B352)</f>
        <v>0</v>
      </c>
      <c r="F352" s="20">
        <f ca="1">[1]!b_anal_day(B352,$A$5)/365</f>
        <v>9.5287671232876718</v>
      </c>
      <c r="G352" s="21">
        <f ca="1">[1]!b_anal_yield_cnbd(B352,$A$5)</f>
        <v>0</v>
      </c>
      <c r="H352" s="21">
        <f t="shared" ca="1" si="15"/>
        <v>445</v>
      </c>
      <c r="I352" s="21">
        <f ca="1">[1]!b_anal_yield_cnbd(B352,$A$7)</f>
        <v>0</v>
      </c>
      <c r="J352" s="21">
        <f t="shared" ca="1" si="16"/>
        <v>0</v>
      </c>
      <c r="K352" s="19" t="str">
        <f>[1]!s_info_Nature(B352)</f>
        <v>中央国有企业</v>
      </c>
      <c r="L352" s="19" t="str">
        <f>[1]!b_info_windl1type(B352)</f>
        <v>金融债</v>
      </c>
      <c r="M352" s="13">
        <f>[1]!b_info_couponrate(B352)</f>
        <v>4.1100000000000003</v>
      </c>
      <c r="N352" s="14" t="str">
        <f>[1]!B_Info_ListedDate(B352)</f>
        <v>2017-03-22</v>
      </c>
      <c r="O352" s="14" t="str">
        <f>[1]!b_issue_firstissue(B352)</f>
        <v>2017-03-16</v>
      </c>
      <c r="P352" s="4">
        <f t="shared" ca="1" si="17"/>
        <v>42989</v>
      </c>
    </row>
    <row r="353" spans="2:16">
      <c r="B353" s="7">
        <v>170303</v>
      </c>
      <c r="C353" s="7">
        <v>4.45</v>
      </c>
      <c r="D353" s="18" t="str">
        <f>[1]!b_info_name(B353)</f>
        <v>17进出03</v>
      </c>
      <c r="E353" s="19">
        <f>[1]!b_info_latestissurercreditrating(B353)</f>
        <v>0</v>
      </c>
      <c r="F353" s="20">
        <f ca="1">[1]!b_anal_day(B353,$A$5)/365</f>
        <v>9.5287671232876718</v>
      </c>
      <c r="G353" s="21">
        <f ca="1">[1]!b_anal_yield_cnbd(B353,$A$5)</f>
        <v>0</v>
      </c>
      <c r="H353" s="21">
        <f t="shared" ca="1" si="15"/>
        <v>445</v>
      </c>
      <c r="I353" s="21">
        <f ca="1">[1]!b_anal_yield_cnbd(B353,$A$7)</f>
        <v>0</v>
      </c>
      <c r="J353" s="21">
        <f t="shared" ca="1" si="16"/>
        <v>0</v>
      </c>
      <c r="K353" s="19" t="str">
        <f>[1]!s_info_Nature(B353)</f>
        <v>中央国有企业</v>
      </c>
      <c r="L353" s="19" t="str">
        <f>[1]!b_info_windl1type(B353)</f>
        <v>金融债</v>
      </c>
      <c r="M353" s="13">
        <f>[1]!b_info_couponrate(B353)</f>
        <v>4.1100000000000003</v>
      </c>
      <c r="N353" s="14" t="str">
        <f>[1]!B_Info_ListedDate(B353)</f>
        <v>2017-03-22</v>
      </c>
      <c r="O353" s="14" t="str">
        <f>[1]!b_issue_firstissue(B353)</f>
        <v>2017-03-16</v>
      </c>
      <c r="P353" s="4">
        <f t="shared" ca="1" si="17"/>
        <v>42989</v>
      </c>
    </row>
    <row r="354" spans="2:16">
      <c r="B354" s="7">
        <v>160408</v>
      </c>
      <c r="C354" s="7">
        <v>4.45</v>
      </c>
      <c r="D354" s="18" t="str">
        <f>[1]!b_info_name(B354)</f>
        <v>16农发08</v>
      </c>
      <c r="E354" s="19">
        <f>[1]!b_info_latestissurercreditrating(B354)</f>
        <v>0</v>
      </c>
      <c r="F354" s="20">
        <f ca="1">[1]!b_anal_day(B354,$A$5)/365</f>
        <v>8.4684931506849317</v>
      </c>
      <c r="G354" s="21">
        <f ca="1">[1]!b_anal_yield_cnbd(B354,$A$5)</f>
        <v>0</v>
      </c>
      <c r="H354" s="21">
        <f t="shared" ca="1" si="15"/>
        <v>445</v>
      </c>
      <c r="I354" s="21">
        <f ca="1">[1]!b_anal_yield_cnbd(B354,$A$7)</f>
        <v>0</v>
      </c>
      <c r="J354" s="21">
        <f t="shared" ca="1" si="16"/>
        <v>0</v>
      </c>
      <c r="K354" s="19">
        <f>[1]!s_info_Nature(B354)</f>
        <v>0</v>
      </c>
      <c r="L354" s="19" t="str">
        <f>[1]!b_info_windl1type(B354)</f>
        <v>金融债</v>
      </c>
      <c r="M354" s="13">
        <f>[1]!b_info_couponrate(B354)</f>
        <v>3.37</v>
      </c>
      <c r="N354" s="14" t="str">
        <f>[1]!B_Info_ListedDate(B354)</f>
        <v>2016-03-01</v>
      </c>
      <c r="O354" s="14" t="str">
        <f>[1]!b_issue_firstissue(B354)</f>
        <v>2016-02-24</v>
      </c>
      <c r="P354" s="4">
        <f t="shared" ca="1" si="17"/>
        <v>42989</v>
      </c>
    </row>
    <row r="355" spans="2:16">
      <c r="B355" s="7">
        <v>170303</v>
      </c>
      <c r="C355" s="7">
        <v>4.45</v>
      </c>
      <c r="D355" s="18" t="str">
        <f>[1]!b_info_name(B355)</f>
        <v>17进出03</v>
      </c>
      <c r="E355" s="19">
        <f>[1]!b_info_latestissurercreditrating(B355)</f>
        <v>0</v>
      </c>
      <c r="F355" s="20">
        <f ca="1">[1]!b_anal_day(B355,$A$5)/365</f>
        <v>9.5287671232876718</v>
      </c>
      <c r="G355" s="21">
        <f ca="1">[1]!b_anal_yield_cnbd(B355,$A$5)</f>
        <v>0</v>
      </c>
      <c r="H355" s="21">
        <f t="shared" ca="1" si="15"/>
        <v>445</v>
      </c>
      <c r="I355" s="21">
        <f ca="1">[1]!b_anal_yield_cnbd(B355,$A$7)</f>
        <v>0</v>
      </c>
      <c r="J355" s="21">
        <f t="shared" ca="1" si="16"/>
        <v>0</v>
      </c>
      <c r="K355" s="19" t="str">
        <f>[1]!s_info_Nature(B355)</f>
        <v>中央国有企业</v>
      </c>
      <c r="L355" s="19" t="str">
        <f>[1]!b_info_windl1type(B355)</f>
        <v>金融债</v>
      </c>
      <c r="M355" s="13">
        <f>[1]!b_info_couponrate(B355)</f>
        <v>4.1100000000000003</v>
      </c>
      <c r="N355" s="14" t="str">
        <f>[1]!B_Info_ListedDate(B355)</f>
        <v>2017-03-22</v>
      </c>
      <c r="O355" s="14" t="str">
        <f>[1]!b_issue_firstissue(B355)</f>
        <v>2017-03-16</v>
      </c>
      <c r="P355" s="4">
        <f t="shared" ca="1" si="17"/>
        <v>42989</v>
      </c>
    </row>
    <row r="356" spans="2:16">
      <c r="B356" s="7">
        <v>170303</v>
      </c>
      <c r="C356" s="7">
        <v>4.45</v>
      </c>
      <c r="D356" s="18" t="str">
        <f>[1]!b_info_name(B356)</f>
        <v>17进出03</v>
      </c>
      <c r="E356" s="19">
        <f>[1]!b_info_latestissurercreditrating(B356)</f>
        <v>0</v>
      </c>
      <c r="F356" s="20">
        <f ca="1">[1]!b_anal_day(B356,$A$5)/365</f>
        <v>9.5287671232876718</v>
      </c>
      <c r="G356" s="21">
        <f ca="1">[1]!b_anal_yield_cnbd(B356,$A$5)</f>
        <v>0</v>
      </c>
      <c r="H356" s="21">
        <f t="shared" ca="1" si="15"/>
        <v>445</v>
      </c>
      <c r="I356" s="21">
        <f ca="1">[1]!b_anal_yield_cnbd(B356,$A$7)</f>
        <v>0</v>
      </c>
      <c r="J356" s="21">
        <f t="shared" ca="1" si="16"/>
        <v>0</v>
      </c>
      <c r="K356" s="19" t="str">
        <f>[1]!s_info_Nature(B356)</f>
        <v>中央国有企业</v>
      </c>
      <c r="L356" s="19" t="str">
        <f>[1]!b_info_windl1type(B356)</f>
        <v>金融债</v>
      </c>
      <c r="M356" s="13">
        <f>[1]!b_info_couponrate(B356)</f>
        <v>4.1100000000000003</v>
      </c>
      <c r="N356" s="14" t="str">
        <f>[1]!B_Info_ListedDate(B356)</f>
        <v>2017-03-22</v>
      </c>
      <c r="O356" s="14" t="str">
        <f>[1]!b_issue_firstissue(B356)</f>
        <v>2017-03-16</v>
      </c>
      <c r="P356" s="4">
        <f t="shared" ca="1" si="17"/>
        <v>42989</v>
      </c>
    </row>
    <row r="357" spans="2:16">
      <c r="B357" s="7">
        <v>170303</v>
      </c>
      <c r="C357" s="7">
        <v>4.4450000000000003</v>
      </c>
      <c r="D357" s="18" t="str">
        <f>[1]!b_info_name(B357)</f>
        <v>17进出03</v>
      </c>
      <c r="E357" s="19">
        <f>[1]!b_info_latestissurercreditrating(B357)</f>
        <v>0</v>
      </c>
      <c r="F357" s="20">
        <f ca="1">[1]!b_anal_day(B357,$A$5)/365</f>
        <v>9.5287671232876718</v>
      </c>
      <c r="G357" s="21">
        <f ca="1">[1]!b_anal_yield_cnbd(B357,$A$5)</f>
        <v>0</v>
      </c>
      <c r="H357" s="21">
        <f t="shared" ca="1" si="15"/>
        <v>444.5</v>
      </c>
      <c r="I357" s="21">
        <f ca="1">[1]!b_anal_yield_cnbd(B357,$A$7)</f>
        <v>0</v>
      </c>
      <c r="J357" s="21">
        <f t="shared" ca="1" si="16"/>
        <v>0</v>
      </c>
      <c r="K357" s="19" t="str">
        <f>[1]!s_info_Nature(B357)</f>
        <v>中央国有企业</v>
      </c>
      <c r="L357" s="19" t="str">
        <f>[1]!b_info_windl1type(B357)</f>
        <v>金融债</v>
      </c>
      <c r="M357" s="13">
        <f>[1]!b_info_couponrate(B357)</f>
        <v>4.1100000000000003</v>
      </c>
      <c r="N357" s="14" t="str">
        <f>[1]!B_Info_ListedDate(B357)</f>
        <v>2017-03-22</v>
      </c>
      <c r="O357" s="14" t="str">
        <f>[1]!b_issue_firstissue(B357)</f>
        <v>2017-03-16</v>
      </c>
      <c r="P357" s="4">
        <f t="shared" ca="1" si="17"/>
        <v>42989</v>
      </c>
    </row>
    <row r="358" spans="2:16">
      <c r="B358" s="7">
        <v>170303</v>
      </c>
      <c r="C358" s="7">
        <v>4.4450000000000003</v>
      </c>
      <c r="D358" s="18" t="str">
        <f>[1]!b_info_name(B358)</f>
        <v>17进出03</v>
      </c>
      <c r="E358" s="19">
        <f>[1]!b_info_latestissurercreditrating(B358)</f>
        <v>0</v>
      </c>
      <c r="F358" s="20">
        <f ca="1">[1]!b_anal_day(B358,$A$5)/365</f>
        <v>9.5287671232876718</v>
      </c>
      <c r="G358" s="21">
        <f ca="1">[1]!b_anal_yield_cnbd(B358,$A$5)</f>
        <v>0</v>
      </c>
      <c r="H358" s="21">
        <f t="shared" ca="1" si="15"/>
        <v>444.5</v>
      </c>
      <c r="I358" s="21">
        <f ca="1">[1]!b_anal_yield_cnbd(B358,$A$7)</f>
        <v>0</v>
      </c>
      <c r="J358" s="21">
        <f t="shared" ca="1" si="16"/>
        <v>0</v>
      </c>
      <c r="K358" s="19" t="str">
        <f>[1]!s_info_Nature(B358)</f>
        <v>中央国有企业</v>
      </c>
      <c r="L358" s="19" t="str">
        <f>[1]!b_info_windl1type(B358)</f>
        <v>金融债</v>
      </c>
      <c r="M358" s="13">
        <f>[1]!b_info_couponrate(B358)</f>
        <v>4.1100000000000003</v>
      </c>
      <c r="N358" s="14" t="str">
        <f>[1]!B_Info_ListedDate(B358)</f>
        <v>2017-03-22</v>
      </c>
      <c r="O358" s="14" t="str">
        <f>[1]!b_issue_firstissue(B358)</f>
        <v>2017-03-16</v>
      </c>
      <c r="P358" s="4">
        <f t="shared" ca="1" si="17"/>
        <v>42989</v>
      </c>
    </row>
    <row r="359" spans="2:16">
      <c r="B359" s="7">
        <v>170405</v>
      </c>
      <c r="C359" s="7">
        <v>4.4450000000000003</v>
      </c>
      <c r="D359" s="18" t="str">
        <f>[1]!b_info_name(B359)</f>
        <v>17农发05</v>
      </c>
      <c r="E359" s="19">
        <f>[1]!b_info_latestissurercreditrating(B359)</f>
        <v>0</v>
      </c>
      <c r="F359" s="20">
        <f ca="1">[1]!b_anal_day(B359,$A$5)/365</f>
        <v>9.3287671232876708</v>
      </c>
      <c r="G359" s="21">
        <f ca="1">[1]!b_anal_yield_cnbd(B359,$A$5)</f>
        <v>0</v>
      </c>
      <c r="H359" s="21">
        <f t="shared" ca="1" si="15"/>
        <v>444.5</v>
      </c>
      <c r="I359" s="21">
        <f ca="1">[1]!b_anal_yield_cnbd(B359,$A$7)</f>
        <v>0</v>
      </c>
      <c r="J359" s="21">
        <f t="shared" ca="1" si="16"/>
        <v>0</v>
      </c>
      <c r="K359" s="19" t="str">
        <f>[1]!s_info_Nature(B359)</f>
        <v>中央国有企业</v>
      </c>
      <c r="L359" s="19" t="str">
        <f>[1]!b_info_windl1type(B359)</f>
        <v>金融债</v>
      </c>
      <c r="M359" s="13">
        <f>[1]!b_info_couponrate(B359)</f>
        <v>3.85</v>
      </c>
      <c r="N359" s="14" t="str">
        <f>[1]!B_Info_ListedDate(B359)</f>
        <v>2017-01-10</v>
      </c>
      <c r="O359" s="14" t="str">
        <f>[1]!b_issue_firstissue(B359)</f>
        <v>2017-01-04</v>
      </c>
      <c r="P359" s="4">
        <f t="shared" ca="1" si="17"/>
        <v>42989</v>
      </c>
    </row>
    <row r="360" spans="2:16">
      <c r="B360" s="7">
        <v>170303</v>
      </c>
      <c r="C360" s="7">
        <v>4.4450000000000003</v>
      </c>
      <c r="D360" s="18" t="str">
        <f>[1]!b_info_name(B360)</f>
        <v>17进出03</v>
      </c>
      <c r="E360" s="19">
        <f>[1]!b_info_latestissurercreditrating(B360)</f>
        <v>0</v>
      </c>
      <c r="F360" s="20">
        <f ca="1">[1]!b_anal_day(B360,$A$5)/365</f>
        <v>9.5287671232876718</v>
      </c>
      <c r="G360" s="21">
        <f ca="1">[1]!b_anal_yield_cnbd(B360,$A$5)</f>
        <v>0</v>
      </c>
      <c r="H360" s="21">
        <f t="shared" ca="1" si="15"/>
        <v>444.5</v>
      </c>
      <c r="I360" s="21">
        <f ca="1">[1]!b_anal_yield_cnbd(B360,$A$7)</f>
        <v>0</v>
      </c>
      <c r="J360" s="21">
        <f t="shared" ca="1" si="16"/>
        <v>0</v>
      </c>
      <c r="K360" s="19" t="str">
        <f>[1]!s_info_Nature(B360)</f>
        <v>中央国有企业</v>
      </c>
      <c r="L360" s="19" t="str">
        <f>[1]!b_info_windl1type(B360)</f>
        <v>金融债</v>
      </c>
      <c r="M360" s="13">
        <f>[1]!b_info_couponrate(B360)</f>
        <v>4.1100000000000003</v>
      </c>
      <c r="N360" s="14" t="str">
        <f>[1]!B_Info_ListedDate(B360)</f>
        <v>2017-03-22</v>
      </c>
      <c r="O360" s="14" t="str">
        <f>[1]!b_issue_firstissue(B360)</f>
        <v>2017-03-16</v>
      </c>
      <c r="P360" s="4">
        <f t="shared" ca="1" si="17"/>
        <v>42989</v>
      </c>
    </row>
    <row r="361" spans="2:16">
      <c r="B361" s="7">
        <v>170303</v>
      </c>
      <c r="C361" s="7">
        <v>4.4424999999999999</v>
      </c>
      <c r="D361" s="18" t="str">
        <f>[1]!b_info_name(B361)</f>
        <v>17进出03</v>
      </c>
      <c r="E361" s="19">
        <f>[1]!b_info_latestissurercreditrating(B361)</f>
        <v>0</v>
      </c>
      <c r="F361" s="20">
        <f ca="1">[1]!b_anal_day(B361,$A$5)/365</f>
        <v>9.5287671232876718</v>
      </c>
      <c r="G361" s="21">
        <f ca="1">[1]!b_anal_yield_cnbd(B361,$A$5)</f>
        <v>0</v>
      </c>
      <c r="H361" s="21">
        <f t="shared" ca="1" si="15"/>
        <v>444.25</v>
      </c>
      <c r="I361" s="21">
        <f ca="1">[1]!b_anal_yield_cnbd(B361,$A$7)</f>
        <v>0</v>
      </c>
      <c r="J361" s="21">
        <f t="shared" ca="1" si="16"/>
        <v>0</v>
      </c>
      <c r="K361" s="19" t="str">
        <f>[1]!s_info_Nature(B361)</f>
        <v>中央国有企业</v>
      </c>
      <c r="L361" s="19" t="str">
        <f>[1]!b_info_windl1type(B361)</f>
        <v>金融债</v>
      </c>
      <c r="M361" s="13">
        <f>[1]!b_info_couponrate(B361)</f>
        <v>4.1100000000000003</v>
      </c>
      <c r="N361" s="14" t="str">
        <f>[1]!B_Info_ListedDate(B361)</f>
        <v>2017-03-22</v>
      </c>
      <c r="O361" s="14" t="str">
        <f>[1]!b_issue_firstissue(B361)</f>
        <v>2017-03-16</v>
      </c>
      <c r="P361" s="4">
        <f t="shared" ca="1" si="17"/>
        <v>42989</v>
      </c>
    </row>
    <row r="362" spans="2:16">
      <c r="B362" s="7">
        <v>140211</v>
      </c>
      <c r="C362" s="7">
        <v>4.4400000000000004</v>
      </c>
      <c r="D362" s="18" t="str">
        <f>[1]!b_info_name(B362)</f>
        <v>14国开11</v>
      </c>
      <c r="E362" s="19">
        <f>[1]!b_info_latestissurercreditrating(B362)</f>
        <v>0</v>
      </c>
      <c r="F362" s="20">
        <f ca="1">[1]!b_anal_day(B362,$A$5)/365</f>
        <v>6.580821917808219</v>
      </c>
      <c r="G362" s="21">
        <f ca="1">[1]!b_anal_yield_cnbd(B362,$A$5)</f>
        <v>0</v>
      </c>
      <c r="H362" s="21">
        <f t="shared" ca="1" si="15"/>
        <v>444.00000000000006</v>
      </c>
      <c r="I362" s="21">
        <f ca="1">[1]!b_anal_yield_cnbd(B362,$A$7)</f>
        <v>0</v>
      </c>
      <c r="J362" s="21">
        <f t="shared" ca="1" si="16"/>
        <v>0</v>
      </c>
      <c r="K362" s="19" t="str">
        <f>[1]!s_info_Nature(B362)</f>
        <v>中央国有企业</v>
      </c>
      <c r="L362" s="19" t="str">
        <f>[1]!b_info_windl1type(B362)</f>
        <v>金融债</v>
      </c>
      <c r="M362" s="13">
        <f>[1]!b_info_couponrate(B362)</f>
        <v>5.67</v>
      </c>
      <c r="N362" s="14" t="str">
        <f>[1]!B_Info_ListedDate(B362)</f>
        <v>2014-04-14</v>
      </c>
      <c r="O362" s="14" t="str">
        <f>[1]!b_issue_firstissue(B362)</f>
        <v>2014-04-01</v>
      </c>
      <c r="P362" s="4">
        <f t="shared" ca="1" si="17"/>
        <v>42989</v>
      </c>
    </row>
    <row r="363" spans="2:16">
      <c r="B363" s="7">
        <v>150218</v>
      </c>
      <c r="C363" s="7">
        <v>4.4400000000000004</v>
      </c>
      <c r="D363" s="18" t="str">
        <f>[1]!b_info_name(B363)</f>
        <v>15国开18</v>
      </c>
      <c r="E363" s="19">
        <f>[1]!b_info_latestissurercreditrating(B363)</f>
        <v>0</v>
      </c>
      <c r="F363" s="20">
        <f ca="1">[1]!b_anal_day(B363,$A$5)/365</f>
        <v>8.0054794520547947</v>
      </c>
      <c r="G363" s="21">
        <f ca="1">[1]!b_anal_yield_cnbd(B363,$A$5)</f>
        <v>0</v>
      </c>
      <c r="H363" s="21">
        <f t="shared" ca="1" si="15"/>
        <v>444.00000000000006</v>
      </c>
      <c r="I363" s="21">
        <f ca="1">[1]!b_anal_yield_cnbd(B363,$A$7)</f>
        <v>0</v>
      </c>
      <c r="J363" s="21">
        <f t="shared" ca="1" si="16"/>
        <v>0</v>
      </c>
      <c r="K363" s="19" t="str">
        <f>[1]!s_info_Nature(B363)</f>
        <v>中央国有企业</v>
      </c>
      <c r="L363" s="19" t="str">
        <f>[1]!b_info_windl1type(B363)</f>
        <v>金融债</v>
      </c>
      <c r="M363" s="13">
        <f>[1]!b_info_couponrate(B363)</f>
        <v>3.74</v>
      </c>
      <c r="N363" s="14" t="str">
        <f>[1]!B_Info_ListedDate(B363)</f>
        <v>2015-09-14</v>
      </c>
      <c r="O363" s="14" t="str">
        <f>[1]!b_issue_firstissue(B363)</f>
        <v>2015-09-08</v>
      </c>
      <c r="P363" s="4">
        <f t="shared" ca="1" si="17"/>
        <v>42989</v>
      </c>
    </row>
    <row r="364" spans="2:16">
      <c r="B364" s="7">
        <v>150314</v>
      </c>
      <c r="C364" s="7">
        <v>4.4400000000000004</v>
      </c>
      <c r="D364" s="18" t="str">
        <f>[1]!b_info_name(B364)</f>
        <v>15进出14</v>
      </c>
      <c r="E364" s="19">
        <f>[1]!b_info_latestissurercreditrating(B364)</f>
        <v>0</v>
      </c>
      <c r="F364" s="20">
        <f ca="1">[1]!b_anal_day(B364,$A$5)/365</f>
        <v>8.0164383561643842</v>
      </c>
      <c r="G364" s="21">
        <f ca="1">[1]!b_anal_yield_cnbd(B364,$A$5)</f>
        <v>0</v>
      </c>
      <c r="H364" s="21">
        <f t="shared" ca="1" si="15"/>
        <v>444.00000000000006</v>
      </c>
      <c r="I364" s="21">
        <f ca="1">[1]!b_anal_yield_cnbd(B364,$A$7)</f>
        <v>0</v>
      </c>
      <c r="J364" s="21">
        <f t="shared" ca="1" si="16"/>
        <v>0</v>
      </c>
      <c r="K364" s="19" t="str">
        <f>[1]!s_info_Nature(B364)</f>
        <v>中央国有企业</v>
      </c>
      <c r="L364" s="19" t="str">
        <f>[1]!b_info_windl1type(B364)</f>
        <v>金融债</v>
      </c>
      <c r="M364" s="13">
        <f>[1]!b_info_couponrate(B364)</f>
        <v>3.87</v>
      </c>
      <c r="N364" s="14" t="str">
        <f>[1]!B_Info_ListedDate(B364)</f>
        <v>2015-09-16</v>
      </c>
      <c r="O364" s="14" t="str">
        <f>[1]!b_issue_firstissue(B364)</f>
        <v>2015-09-10</v>
      </c>
      <c r="P364" s="4">
        <f t="shared" ca="1" si="17"/>
        <v>42989</v>
      </c>
    </row>
    <row r="365" spans="2:16">
      <c r="B365" s="7">
        <v>170405</v>
      </c>
      <c r="C365" s="7">
        <v>4.4400000000000004</v>
      </c>
      <c r="D365" s="18" t="str">
        <f>[1]!b_info_name(B365)</f>
        <v>17农发05</v>
      </c>
      <c r="E365" s="19">
        <f>[1]!b_info_latestissurercreditrating(B365)</f>
        <v>0</v>
      </c>
      <c r="F365" s="20">
        <f ca="1">[1]!b_anal_day(B365,$A$5)/365</f>
        <v>9.3287671232876708</v>
      </c>
      <c r="G365" s="21">
        <f ca="1">[1]!b_anal_yield_cnbd(B365,$A$5)</f>
        <v>0</v>
      </c>
      <c r="H365" s="21">
        <f t="shared" ca="1" si="15"/>
        <v>444.00000000000006</v>
      </c>
      <c r="I365" s="21">
        <f ca="1">[1]!b_anal_yield_cnbd(B365,$A$7)</f>
        <v>0</v>
      </c>
      <c r="J365" s="21">
        <f t="shared" ca="1" si="16"/>
        <v>0</v>
      </c>
      <c r="K365" s="19" t="str">
        <f>[1]!s_info_Nature(B365)</f>
        <v>中央国有企业</v>
      </c>
      <c r="L365" s="19" t="str">
        <f>[1]!b_info_windl1type(B365)</f>
        <v>金融债</v>
      </c>
      <c r="M365" s="13">
        <f>[1]!b_info_couponrate(B365)</f>
        <v>3.85</v>
      </c>
      <c r="N365" s="14" t="str">
        <f>[1]!B_Info_ListedDate(B365)</f>
        <v>2017-01-10</v>
      </c>
      <c r="O365" s="14" t="str">
        <f>[1]!b_issue_firstissue(B365)</f>
        <v>2017-01-04</v>
      </c>
      <c r="P365" s="4">
        <f t="shared" ca="1" si="17"/>
        <v>42989</v>
      </c>
    </row>
    <row r="366" spans="2:16">
      <c r="B366" s="7">
        <v>170405</v>
      </c>
      <c r="C366" s="7">
        <v>4.4400000000000004</v>
      </c>
      <c r="D366" s="18" t="str">
        <f>[1]!b_info_name(B366)</f>
        <v>17农发05</v>
      </c>
      <c r="E366" s="19">
        <f>[1]!b_info_latestissurercreditrating(B366)</f>
        <v>0</v>
      </c>
      <c r="F366" s="20">
        <f ca="1">[1]!b_anal_day(B366,$A$5)/365</f>
        <v>9.3287671232876708</v>
      </c>
      <c r="G366" s="21">
        <f ca="1">[1]!b_anal_yield_cnbd(B366,$A$5)</f>
        <v>0</v>
      </c>
      <c r="H366" s="21">
        <f t="shared" ca="1" si="15"/>
        <v>444.00000000000006</v>
      </c>
      <c r="I366" s="21">
        <f ca="1">[1]!b_anal_yield_cnbd(B366,$A$7)</f>
        <v>0</v>
      </c>
      <c r="J366" s="21">
        <f t="shared" ca="1" si="16"/>
        <v>0</v>
      </c>
      <c r="K366" s="19" t="str">
        <f>[1]!s_info_Nature(B366)</f>
        <v>中央国有企业</v>
      </c>
      <c r="L366" s="19" t="str">
        <f>[1]!b_info_windl1type(B366)</f>
        <v>金融债</v>
      </c>
      <c r="M366" s="13">
        <f>[1]!b_info_couponrate(B366)</f>
        <v>3.85</v>
      </c>
      <c r="N366" s="14" t="str">
        <f>[1]!B_Info_ListedDate(B366)</f>
        <v>2017-01-10</v>
      </c>
      <c r="O366" s="14" t="str">
        <f>[1]!b_issue_firstissue(B366)</f>
        <v>2017-01-04</v>
      </c>
      <c r="P366" s="4">
        <f t="shared" ca="1" si="17"/>
        <v>42989</v>
      </c>
    </row>
    <row r="367" spans="2:16">
      <c r="B367" s="7">
        <v>170405</v>
      </c>
      <c r="C367" s="7">
        <v>4.4400000000000004</v>
      </c>
      <c r="D367" s="18" t="str">
        <f>[1]!b_info_name(B367)</f>
        <v>17农发05</v>
      </c>
      <c r="E367" s="19">
        <f>[1]!b_info_latestissurercreditrating(B367)</f>
        <v>0</v>
      </c>
      <c r="F367" s="20">
        <f ca="1">[1]!b_anal_day(B367,$A$5)/365</f>
        <v>9.3287671232876708</v>
      </c>
      <c r="G367" s="21">
        <f ca="1">[1]!b_anal_yield_cnbd(B367,$A$5)</f>
        <v>0</v>
      </c>
      <c r="H367" s="21">
        <f t="shared" ca="1" si="15"/>
        <v>444.00000000000006</v>
      </c>
      <c r="I367" s="21">
        <f ca="1">[1]!b_anal_yield_cnbd(B367,$A$7)</f>
        <v>0</v>
      </c>
      <c r="J367" s="21">
        <f t="shared" ca="1" si="16"/>
        <v>0</v>
      </c>
      <c r="K367" s="19" t="str">
        <f>[1]!s_info_Nature(B367)</f>
        <v>中央国有企业</v>
      </c>
      <c r="L367" s="19" t="str">
        <f>[1]!b_info_windl1type(B367)</f>
        <v>金融债</v>
      </c>
      <c r="M367" s="13">
        <f>[1]!b_info_couponrate(B367)</f>
        <v>3.85</v>
      </c>
      <c r="N367" s="14" t="str">
        <f>[1]!B_Info_ListedDate(B367)</f>
        <v>2017-01-10</v>
      </c>
      <c r="O367" s="14" t="str">
        <f>[1]!b_issue_firstissue(B367)</f>
        <v>2017-01-04</v>
      </c>
      <c r="P367" s="4">
        <f t="shared" ca="1" si="17"/>
        <v>42989</v>
      </c>
    </row>
    <row r="368" spans="2:16">
      <c r="B368" s="7">
        <v>170405</v>
      </c>
      <c r="C368" s="7">
        <v>4.4400000000000004</v>
      </c>
      <c r="D368" s="18" t="str">
        <f>[1]!b_info_name(B368)</f>
        <v>17农发05</v>
      </c>
      <c r="E368" s="19">
        <f>[1]!b_info_latestissurercreditrating(B368)</f>
        <v>0</v>
      </c>
      <c r="F368" s="20">
        <f ca="1">[1]!b_anal_day(B368,$A$5)/365</f>
        <v>9.3287671232876708</v>
      </c>
      <c r="G368" s="21">
        <f ca="1">[1]!b_anal_yield_cnbd(B368,$A$5)</f>
        <v>0</v>
      </c>
      <c r="H368" s="21">
        <f t="shared" ca="1" si="15"/>
        <v>444.00000000000006</v>
      </c>
      <c r="I368" s="21">
        <f ca="1">[1]!b_anal_yield_cnbd(B368,$A$7)</f>
        <v>0</v>
      </c>
      <c r="J368" s="21">
        <f t="shared" ca="1" si="16"/>
        <v>0</v>
      </c>
      <c r="K368" s="19" t="str">
        <f>[1]!s_info_Nature(B368)</f>
        <v>中央国有企业</v>
      </c>
      <c r="L368" s="19" t="str">
        <f>[1]!b_info_windl1type(B368)</f>
        <v>金融债</v>
      </c>
      <c r="M368" s="13">
        <f>[1]!b_info_couponrate(B368)</f>
        <v>3.85</v>
      </c>
      <c r="N368" s="14" t="str">
        <f>[1]!B_Info_ListedDate(B368)</f>
        <v>2017-01-10</v>
      </c>
      <c r="O368" s="14" t="str">
        <f>[1]!b_issue_firstissue(B368)</f>
        <v>2017-01-04</v>
      </c>
      <c r="P368" s="4">
        <f t="shared" ca="1" si="17"/>
        <v>42989</v>
      </c>
    </row>
    <row r="369" spans="2:16">
      <c r="B369" s="7">
        <v>150218</v>
      </c>
      <c r="C369" s="7">
        <v>4.4400000000000004</v>
      </c>
      <c r="D369" s="18" t="str">
        <f>[1]!b_info_name(B369)</f>
        <v>15国开18</v>
      </c>
      <c r="E369" s="19">
        <f>[1]!b_info_latestissurercreditrating(B369)</f>
        <v>0</v>
      </c>
      <c r="F369" s="20">
        <f ca="1">[1]!b_anal_day(B369,$A$5)/365</f>
        <v>8.0054794520547947</v>
      </c>
      <c r="G369" s="21">
        <f ca="1">[1]!b_anal_yield_cnbd(B369,$A$5)</f>
        <v>0</v>
      </c>
      <c r="H369" s="21">
        <f t="shared" ca="1" si="15"/>
        <v>444.00000000000006</v>
      </c>
      <c r="I369" s="21">
        <f ca="1">[1]!b_anal_yield_cnbd(B369,$A$7)</f>
        <v>0</v>
      </c>
      <c r="J369" s="21">
        <f t="shared" ca="1" si="16"/>
        <v>0</v>
      </c>
      <c r="K369" s="19" t="str">
        <f>[1]!s_info_Nature(B369)</f>
        <v>中央国有企业</v>
      </c>
      <c r="L369" s="19" t="str">
        <f>[1]!b_info_windl1type(B369)</f>
        <v>金融债</v>
      </c>
      <c r="M369" s="13">
        <f>[1]!b_info_couponrate(B369)</f>
        <v>3.74</v>
      </c>
      <c r="N369" s="14" t="str">
        <f>[1]!B_Info_ListedDate(B369)</f>
        <v>2015-09-14</v>
      </c>
      <c r="O369" s="14" t="str">
        <f>[1]!b_issue_firstissue(B369)</f>
        <v>2015-09-08</v>
      </c>
      <c r="P369" s="4">
        <f t="shared" ca="1" si="17"/>
        <v>42989</v>
      </c>
    </row>
    <row r="370" spans="2:16">
      <c r="B370" s="7">
        <v>150218</v>
      </c>
      <c r="C370" s="7">
        <v>4.4400000000000004</v>
      </c>
      <c r="D370" s="18" t="str">
        <f>[1]!b_info_name(B370)</f>
        <v>15国开18</v>
      </c>
      <c r="E370" s="19">
        <f>[1]!b_info_latestissurercreditrating(B370)</f>
        <v>0</v>
      </c>
      <c r="F370" s="20">
        <f ca="1">[1]!b_anal_day(B370,$A$5)/365</f>
        <v>8.0054794520547947</v>
      </c>
      <c r="G370" s="21">
        <f ca="1">[1]!b_anal_yield_cnbd(B370,$A$5)</f>
        <v>0</v>
      </c>
      <c r="H370" s="21">
        <f t="shared" ca="1" si="15"/>
        <v>444.00000000000006</v>
      </c>
      <c r="I370" s="21">
        <f ca="1">[1]!b_anal_yield_cnbd(B370,$A$7)</f>
        <v>0</v>
      </c>
      <c r="J370" s="21">
        <f t="shared" ca="1" si="16"/>
        <v>0</v>
      </c>
      <c r="K370" s="19" t="str">
        <f>[1]!s_info_Nature(B370)</f>
        <v>中央国有企业</v>
      </c>
      <c r="L370" s="19" t="str">
        <f>[1]!b_info_windl1type(B370)</f>
        <v>金融债</v>
      </c>
      <c r="M370" s="13">
        <f>[1]!b_info_couponrate(B370)</f>
        <v>3.74</v>
      </c>
      <c r="N370" s="14" t="str">
        <f>[1]!B_Info_ListedDate(B370)</f>
        <v>2015-09-14</v>
      </c>
      <c r="O370" s="14" t="str">
        <f>[1]!b_issue_firstissue(B370)</f>
        <v>2015-09-08</v>
      </c>
      <c r="P370" s="4">
        <f t="shared" ca="1" si="17"/>
        <v>42989</v>
      </c>
    </row>
    <row r="371" spans="2:16">
      <c r="B371" s="7">
        <v>160210</v>
      </c>
      <c r="C371" s="7">
        <v>4.4400000000000004</v>
      </c>
      <c r="D371" s="18" t="str">
        <f>[1]!b_info_name(B371)</f>
        <v>16国开10</v>
      </c>
      <c r="E371" s="19">
        <f>[1]!b_info_latestissurercreditrating(B371)</f>
        <v>0</v>
      </c>
      <c r="F371" s="20">
        <f ca="1">[1]!b_anal_day(B371,$A$5)/365</f>
        <v>8.5726027397260278</v>
      </c>
      <c r="G371" s="21">
        <f ca="1">[1]!b_anal_yield_cnbd(B371,$A$5)</f>
        <v>0</v>
      </c>
      <c r="H371" s="21">
        <f t="shared" ca="1" si="15"/>
        <v>444.00000000000006</v>
      </c>
      <c r="I371" s="21">
        <f ca="1">[1]!b_anal_yield_cnbd(B371,$A$7)</f>
        <v>0</v>
      </c>
      <c r="J371" s="21">
        <f t="shared" ca="1" si="16"/>
        <v>0</v>
      </c>
      <c r="K371" s="19" t="str">
        <f>[1]!s_info_Nature(B371)</f>
        <v>中央国有企业</v>
      </c>
      <c r="L371" s="19" t="str">
        <f>[1]!b_info_windl1type(B371)</f>
        <v>金融债</v>
      </c>
      <c r="M371" s="13">
        <f>[1]!b_info_couponrate(B371)</f>
        <v>3.18</v>
      </c>
      <c r="N371" s="14" t="str">
        <f>[1]!B_Info_ListedDate(B371)</f>
        <v>2016-04-07</v>
      </c>
      <c r="O371" s="14" t="str">
        <f>[1]!b_issue_firstissue(B371)</f>
        <v>2016-03-31</v>
      </c>
      <c r="P371" s="4">
        <f t="shared" ca="1" si="17"/>
        <v>42989</v>
      </c>
    </row>
    <row r="372" spans="2:16">
      <c r="B372" s="7">
        <v>160210</v>
      </c>
      <c r="C372" s="7">
        <v>4.4400000000000004</v>
      </c>
      <c r="D372" s="18" t="str">
        <f>[1]!b_info_name(B372)</f>
        <v>16国开10</v>
      </c>
      <c r="E372" s="19">
        <f>[1]!b_info_latestissurercreditrating(B372)</f>
        <v>0</v>
      </c>
      <c r="F372" s="20">
        <f ca="1">[1]!b_anal_day(B372,$A$5)/365</f>
        <v>8.5726027397260278</v>
      </c>
      <c r="G372" s="21">
        <f ca="1">[1]!b_anal_yield_cnbd(B372,$A$5)</f>
        <v>0</v>
      </c>
      <c r="H372" s="21">
        <f t="shared" ca="1" si="15"/>
        <v>444.00000000000006</v>
      </c>
      <c r="I372" s="21">
        <f ca="1">[1]!b_anal_yield_cnbd(B372,$A$7)</f>
        <v>0</v>
      </c>
      <c r="J372" s="21">
        <f t="shared" ca="1" si="16"/>
        <v>0</v>
      </c>
      <c r="K372" s="19" t="str">
        <f>[1]!s_info_Nature(B372)</f>
        <v>中央国有企业</v>
      </c>
      <c r="L372" s="19" t="str">
        <f>[1]!b_info_windl1type(B372)</f>
        <v>金融债</v>
      </c>
      <c r="M372" s="13">
        <f>[1]!b_info_couponrate(B372)</f>
        <v>3.18</v>
      </c>
      <c r="N372" s="14" t="str">
        <f>[1]!B_Info_ListedDate(B372)</f>
        <v>2016-04-07</v>
      </c>
      <c r="O372" s="14" t="str">
        <f>[1]!b_issue_firstissue(B372)</f>
        <v>2016-03-31</v>
      </c>
      <c r="P372" s="4">
        <f t="shared" ca="1" si="17"/>
        <v>42989</v>
      </c>
    </row>
    <row r="373" spans="2:16">
      <c r="B373" s="7">
        <v>170405</v>
      </c>
      <c r="C373" s="7">
        <v>4.4400000000000004</v>
      </c>
      <c r="D373" s="18" t="str">
        <f>[1]!b_info_name(B373)</f>
        <v>17农发05</v>
      </c>
      <c r="E373" s="19">
        <f>[1]!b_info_latestissurercreditrating(B373)</f>
        <v>0</v>
      </c>
      <c r="F373" s="20">
        <f ca="1">[1]!b_anal_day(B373,$A$5)/365</f>
        <v>9.3287671232876708</v>
      </c>
      <c r="G373" s="21">
        <f ca="1">[1]!b_anal_yield_cnbd(B373,$A$5)</f>
        <v>0</v>
      </c>
      <c r="H373" s="21">
        <f t="shared" ca="1" si="15"/>
        <v>444.00000000000006</v>
      </c>
      <c r="I373" s="21">
        <f ca="1">[1]!b_anal_yield_cnbd(B373,$A$7)</f>
        <v>0</v>
      </c>
      <c r="J373" s="21">
        <f t="shared" ca="1" si="16"/>
        <v>0</v>
      </c>
      <c r="K373" s="19" t="str">
        <f>[1]!s_info_Nature(B373)</f>
        <v>中央国有企业</v>
      </c>
      <c r="L373" s="19" t="str">
        <f>[1]!b_info_windl1type(B373)</f>
        <v>金融债</v>
      </c>
      <c r="M373" s="13">
        <f>[1]!b_info_couponrate(B373)</f>
        <v>3.85</v>
      </c>
      <c r="N373" s="14" t="str">
        <f>[1]!B_Info_ListedDate(B373)</f>
        <v>2017-01-10</v>
      </c>
      <c r="O373" s="14" t="str">
        <f>[1]!b_issue_firstissue(B373)</f>
        <v>2017-01-04</v>
      </c>
      <c r="P373" s="4">
        <f t="shared" ca="1" si="17"/>
        <v>42989</v>
      </c>
    </row>
    <row r="374" spans="2:16">
      <c r="B374" s="7">
        <v>170405</v>
      </c>
      <c r="C374" s="7">
        <v>4.4400000000000004</v>
      </c>
      <c r="D374" s="18" t="str">
        <f>[1]!b_info_name(B374)</f>
        <v>17农发05</v>
      </c>
      <c r="E374" s="19">
        <f>[1]!b_info_latestissurercreditrating(B374)</f>
        <v>0</v>
      </c>
      <c r="F374" s="20">
        <f ca="1">[1]!b_anal_day(B374,$A$5)/365</f>
        <v>9.3287671232876708</v>
      </c>
      <c r="G374" s="21">
        <f ca="1">[1]!b_anal_yield_cnbd(B374,$A$5)</f>
        <v>0</v>
      </c>
      <c r="H374" s="21">
        <f t="shared" ca="1" si="15"/>
        <v>444.00000000000006</v>
      </c>
      <c r="I374" s="21">
        <f ca="1">[1]!b_anal_yield_cnbd(B374,$A$7)</f>
        <v>0</v>
      </c>
      <c r="J374" s="21">
        <f t="shared" ca="1" si="16"/>
        <v>0</v>
      </c>
      <c r="K374" s="19" t="str">
        <f>[1]!s_info_Nature(B374)</f>
        <v>中央国有企业</v>
      </c>
      <c r="L374" s="19" t="str">
        <f>[1]!b_info_windl1type(B374)</f>
        <v>金融债</v>
      </c>
      <c r="M374" s="13">
        <f>[1]!b_info_couponrate(B374)</f>
        <v>3.85</v>
      </c>
      <c r="N374" s="14" t="str">
        <f>[1]!B_Info_ListedDate(B374)</f>
        <v>2017-01-10</v>
      </c>
      <c r="O374" s="14" t="str">
        <f>[1]!b_issue_firstissue(B374)</f>
        <v>2017-01-04</v>
      </c>
      <c r="P374" s="4">
        <f t="shared" ca="1" si="17"/>
        <v>42989</v>
      </c>
    </row>
    <row r="375" spans="2:16">
      <c r="B375" s="7">
        <v>170405</v>
      </c>
      <c r="C375" s="7">
        <v>4.4400000000000004</v>
      </c>
      <c r="D375" s="18" t="str">
        <f>[1]!b_info_name(B375)</f>
        <v>17农发05</v>
      </c>
      <c r="E375" s="19">
        <f>[1]!b_info_latestissurercreditrating(B375)</f>
        <v>0</v>
      </c>
      <c r="F375" s="20">
        <f ca="1">[1]!b_anal_day(B375,$A$5)/365</f>
        <v>9.3287671232876708</v>
      </c>
      <c r="G375" s="21">
        <f ca="1">[1]!b_anal_yield_cnbd(B375,$A$5)</f>
        <v>0</v>
      </c>
      <c r="H375" s="21">
        <f t="shared" ca="1" si="15"/>
        <v>444.00000000000006</v>
      </c>
      <c r="I375" s="21">
        <f ca="1">[1]!b_anal_yield_cnbd(B375,$A$7)</f>
        <v>0</v>
      </c>
      <c r="J375" s="21">
        <f t="shared" ca="1" si="16"/>
        <v>0</v>
      </c>
      <c r="K375" s="19" t="str">
        <f>[1]!s_info_Nature(B375)</f>
        <v>中央国有企业</v>
      </c>
      <c r="L375" s="19" t="str">
        <f>[1]!b_info_windl1type(B375)</f>
        <v>金融债</v>
      </c>
      <c r="M375" s="13">
        <f>[1]!b_info_couponrate(B375)</f>
        <v>3.85</v>
      </c>
      <c r="N375" s="14" t="str">
        <f>[1]!B_Info_ListedDate(B375)</f>
        <v>2017-01-10</v>
      </c>
      <c r="O375" s="14" t="str">
        <f>[1]!b_issue_firstissue(B375)</f>
        <v>2017-01-04</v>
      </c>
      <c r="P375" s="4">
        <f t="shared" ca="1" si="17"/>
        <v>42989</v>
      </c>
    </row>
    <row r="376" spans="2:16">
      <c r="B376" s="7">
        <v>170405</v>
      </c>
      <c r="C376" s="7">
        <v>4.4400000000000004</v>
      </c>
      <c r="D376" s="18" t="str">
        <f>[1]!b_info_name(B376)</f>
        <v>17农发05</v>
      </c>
      <c r="E376" s="19">
        <f>[1]!b_info_latestissurercreditrating(B376)</f>
        <v>0</v>
      </c>
      <c r="F376" s="20">
        <f ca="1">[1]!b_anal_day(B376,$A$5)/365</f>
        <v>9.3287671232876708</v>
      </c>
      <c r="G376" s="21">
        <f ca="1">[1]!b_anal_yield_cnbd(B376,$A$5)</f>
        <v>0</v>
      </c>
      <c r="H376" s="21">
        <f t="shared" ca="1" si="15"/>
        <v>444.00000000000006</v>
      </c>
      <c r="I376" s="21">
        <f ca="1">[1]!b_anal_yield_cnbd(B376,$A$7)</f>
        <v>0</v>
      </c>
      <c r="J376" s="21">
        <f t="shared" ca="1" si="16"/>
        <v>0</v>
      </c>
      <c r="K376" s="19" t="str">
        <f>[1]!s_info_Nature(B376)</f>
        <v>中央国有企业</v>
      </c>
      <c r="L376" s="19" t="str">
        <f>[1]!b_info_windl1type(B376)</f>
        <v>金融债</v>
      </c>
      <c r="M376" s="13">
        <f>[1]!b_info_couponrate(B376)</f>
        <v>3.85</v>
      </c>
      <c r="N376" s="14" t="str">
        <f>[1]!B_Info_ListedDate(B376)</f>
        <v>2017-01-10</v>
      </c>
      <c r="O376" s="14" t="str">
        <f>[1]!b_issue_firstissue(B376)</f>
        <v>2017-01-04</v>
      </c>
      <c r="P376" s="4">
        <f t="shared" ca="1" si="17"/>
        <v>42989</v>
      </c>
    </row>
    <row r="377" spans="2:16">
      <c r="B377" s="7">
        <v>170405</v>
      </c>
      <c r="C377" s="7">
        <v>4.4400000000000004</v>
      </c>
      <c r="D377" s="18" t="str">
        <f>[1]!b_info_name(B377)</f>
        <v>17农发05</v>
      </c>
      <c r="E377" s="19">
        <f>[1]!b_info_latestissurercreditrating(B377)</f>
        <v>0</v>
      </c>
      <c r="F377" s="20">
        <f ca="1">[1]!b_anal_day(B377,$A$5)/365</f>
        <v>9.3287671232876708</v>
      </c>
      <c r="G377" s="21">
        <f ca="1">[1]!b_anal_yield_cnbd(B377,$A$5)</f>
        <v>0</v>
      </c>
      <c r="H377" s="21">
        <f t="shared" ca="1" si="15"/>
        <v>444.00000000000006</v>
      </c>
      <c r="I377" s="21">
        <f ca="1">[1]!b_anal_yield_cnbd(B377,$A$7)</f>
        <v>0</v>
      </c>
      <c r="J377" s="21">
        <f t="shared" ca="1" si="16"/>
        <v>0</v>
      </c>
      <c r="K377" s="19" t="str">
        <f>[1]!s_info_Nature(B377)</f>
        <v>中央国有企业</v>
      </c>
      <c r="L377" s="19" t="str">
        <f>[1]!b_info_windl1type(B377)</f>
        <v>金融债</v>
      </c>
      <c r="M377" s="13">
        <f>[1]!b_info_couponrate(B377)</f>
        <v>3.85</v>
      </c>
      <c r="N377" s="14" t="str">
        <f>[1]!B_Info_ListedDate(B377)</f>
        <v>2017-01-10</v>
      </c>
      <c r="O377" s="14" t="str">
        <f>[1]!b_issue_firstissue(B377)</f>
        <v>2017-01-04</v>
      </c>
      <c r="P377" s="4">
        <f t="shared" ca="1" si="17"/>
        <v>42989</v>
      </c>
    </row>
    <row r="378" spans="2:16">
      <c r="B378" s="7">
        <v>170405</v>
      </c>
      <c r="C378" s="7">
        <v>4.4400000000000004</v>
      </c>
      <c r="D378" s="18" t="str">
        <f>[1]!b_info_name(B378)</f>
        <v>17农发05</v>
      </c>
      <c r="E378" s="19">
        <f>[1]!b_info_latestissurercreditrating(B378)</f>
        <v>0</v>
      </c>
      <c r="F378" s="20">
        <f ca="1">[1]!b_anal_day(B378,$A$5)/365</f>
        <v>9.3287671232876708</v>
      </c>
      <c r="G378" s="21">
        <f ca="1">[1]!b_anal_yield_cnbd(B378,$A$5)</f>
        <v>0</v>
      </c>
      <c r="H378" s="21">
        <f t="shared" ca="1" si="15"/>
        <v>444.00000000000006</v>
      </c>
      <c r="I378" s="21">
        <f ca="1">[1]!b_anal_yield_cnbd(B378,$A$7)</f>
        <v>0</v>
      </c>
      <c r="J378" s="21">
        <f t="shared" ca="1" si="16"/>
        <v>0</v>
      </c>
      <c r="K378" s="19" t="str">
        <f>[1]!s_info_Nature(B378)</f>
        <v>中央国有企业</v>
      </c>
      <c r="L378" s="19" t="str">
        <f>[1]!b_info_windl1type(B378)</f>
        <v>金融债</v>
      </c>
      <c r="M378" s="13">
        <f>[1]!b_info_couponrate(B378)</f>
        <v>3.85</v>
      </c>
      <c r="N378" s="14" t="str">
        <f>[1]!B_Info_ListedDate(B378)</f>
        <v>2017-01-10</v>
      </c>
      <c r="O378" s="14" t="str">
        <f>[1]!b_issue_firstissue(B378)</f>
        <v>2017-01-04</v>
      </c>
      <c r="P378" s="4">
        <f t="shared" ca="1" si="17"/>
        <v>42989</v>
      </c>
    </row>
    <row r="379" spans="2:16">
      <c r="B379" s="7">
        <v>170405</v>
      </c>
      <c r="C379" s="7">
        <v>4.4400000000000004</v>
      </c>
      <c r="D379" s="18" t="str">
        <f>[1]!b_info_name(B379)</f>
        <v>17农发05</v>
      </c>
      <c r="E379" s="19">
        <f>[1]!b_info_latestissurercreditrating(B379)</f>
        <v>0</v>
      </c>
      <c r="F379" s="20">
        <f ca="1">[1]!b_anal_day(B379,$A$5)/365</f>
        <v>9.3287671232876708</v>
      </c>
      <c r="G379" s="21">
        <f ca="1">[1]!b_anal_yield_cnbd(B379,$A$5)</f>
        <v>0</v>
      </c>
      <c r="H379" s="21">
        <f t="shared" ca="1" si="15"/>
        <v>444.00000000000006</v>
      </c>
      <c r="I379" s="21">
        <f ca="1">[1]!b_anal_yield_cnbd(B379,$A$7)</f>
        <v>0</v>
      </c>
      <c r="J379" s="21">
        <f t="shared" ca="1" si="16"/>
        <v>0</v>
      </c>
      <c r="K379" s="19" t="str">
        <f>[1]!s_info_Nature(B379)</f>
        <v>中央国有企业</v>
      </c>
      <c r="L379" s="19" t="str">
        <f>[1]!b_info_windl1type(B379)</f>
        <v>金融债</v>
      </c>
      <c r="M379" s="13">
        <f>[1]!b_info_couponrate(B379)</f>
        <v>3.85</v>
      </c>
      <c r="N379" s="14" t="str">
        <f>[1]!B_Info_ListedDate(B379)</f>
        <v>2017-01-10</v>
      </c>
      <c r="O379" s="14" t="str">
        <f>[1]!b_issue_firstissue(B379)</f>
        <v>2017-01-04</v>
      </c>
      <c r="P379" s="4">
        <f t="shared" ca="1" si="17"/>
        <v>42989</v>
      </c>
    </row>
    <row r="380" spans="2:16">
      <c r="B380" s="7">
        <v>170405</v>
      </c>
      <c r="C380" s="7">
        <v>4.4400000000000004</v>
      </c>
      <c r="D380" s="18" t="str">
        <f>[1]!b_info_name(B380)</f>
        <v>17农发05</v>
      </c>
      <c r="E380" s="19">
        <f>[1]!b_info_latestissurercreditrating(B380)</f>
        <v>0</v>
      </c>
      <c r="F380" s="20">
        <f ca="1">[1]!b_anal_day(B380,$A$5)/365</f>
        <v>9.3287671232876708</v>
      </c>
      <c r="G380" s="21">
        <f ca="1">[1]!b_anal_yield_cnbd(B380,$A$5)</f>
        <v>0</v>
      </c>
      <c r="H380" s="21">
        <f t="shared" ref="H380:H396" ca="1" si="18">(IF(C380&lt;0.1,C380*100,C380)-G380)*100</f>
        <v>444.00000000000006</v>
      </c>
      <c r="I380" s="21">
        <f ca="1">[1]!b_anal_yield_cnbd(B380,$A$7)</f>
        <v>0</v>
      </c>
      <c r="J380" s="21">
        <f t="shared" ref="J380:J396" ca="1" si="19">(G380-I380)*100</f>
        <v>0</v>
      </c>
      <c r="K380" s="19" t="str">
        <f>[1]!s_info_Nature(B380)</f>
        <v>中央国有企业</v>
      </c>
      <c r="L380" s="19" t="str">
        <f>[1]!b_info_windl1type(B380)</f>
        <v>金融债</v>
      </c>
      <c r="M380" s="13">
        <f>[1]!b_info_couponrate(B380)</f>
        <v>3.85</v>
      </c>
      <c r="N380" s="14" t="str">
        <f>[1]!B_Info_ListedDate(B380)</f>
        <v>2017-01-10</v>
      </c>
      <c r="O380" s="14" t="str">
        <f>[1]!b_issue_firstissue(B380)</f>
        <v>2017-01-04</v>
      </c>
      <c r="P380" s="4">
        <f t="shared" ref="P380:P396" ca="1" si="20">$A$2</f>
        <v>42989</v>
      </c>
    </row>
    <row r="381" spans="2:16">
      <c r="B381" s="7">
        <v>170405</v>
      </c>
      <c r="C381" s="7">
        <v>4.4400000000000004</v>
      </c>
      <c r="D381" s="18" t="str">
        <f>[1]!b_info_name(B381)</f>
        <v>17农发05</v>
      </c>
      <c r="E381" s="19">
        <f>[1]!b_info_latestissurercreditrating(B381)</f>
        <v>0</v>
      </c>
      <c r="F381" s="20">
        <f ca="1">[1]!b_anal_day(B381,$A$5)/365</f>
        <v>9.3287671232876708</v>
      </c>
      <c r="G381" s="21">
        <f ca="1">[1]!b_anal_yield_cnbd(B381,$A$5)</f>
        <v>0</v>
      </c>
      <c r="H381" s="21">
        <f t="shared" ca="1" si="18"/>
        <v>444.00000000000006</v>
      </c>
      <c r="I381" s="21">
        <f ca="1">[1]!b_anal_yield_cnbd(B381,$A$7)</f>
        <v>0</v>
      </c>
      <c r="J381" s="21">
        <f t="shared" ca="1" si="19"/>
        <v>0</v>
      </c>
      <c r="K381" s="19" t="str">
        <f>[1]!s_info_Nature(B381)</f>
        <v>中央国有企业</v>
      </c>
      <c r="L381" s="19" t="str">
        <f>[1]!b_info_windl1type(B381)</f>
        <v>金融债</v>
      </c>
      <c r="M381" s="13">
        <f>[1]!b_info_couponrate(B381)</f>
        <v>3.85</v>
      </c>
      <c r="N381" s="14" t="str">
        <f>[1]!B_Info_ListedDate(B381)</f>
        <v>2017-01-10</v>
      </c>
      <c r="O381" s="14" t="str">
        <f>[1]!b_issue_firstissue(B381)</f>
        <v>2017-01-04</v>
      </c>
      <c r="P381" s="4">
        <f t="shared" ca="1" si="20"/>
        <v>42989</v>
      </c>
    </row>
    <row r="382" spans="2:16">
      <c r="B382" s="7">
        <v>170405</v>
      </c>
      <c r="C382" s="7">
        <v>4.4400000000000004</v>
      </c>
      <c r="D382" s="18" t="str">
        <f>[1]!b_info_name(B382)</f>
        <v>17农发05</v>
      </c>
      <c r="E382" s="19">
        <f>[1]!b_info_latestissurercreditrating(B382)</f>
        <v>0</v>
      </c>
      <c r="F382" s="20">
        <f ca="1">[1]!b_anal_day(B382,$A$5)/365</f>
        <v>9.3287671232876708</v>
      </c>
      <c r="G382" s="21">
        <f ca="1">[1]!b_anal_yield_cnbd(B382,$A$5)</f>
        <v>0</v>
      </c>
      <c r="H382" s="21">
        <f t="shared" ca="1" si="18"/>
        <v>444.00000000000006</v>
      </c>
      <c r="I382" s="21">
        <f ca="1">[1]!b_anal_yield_cnbd(B382,$A$7)</f>
        <v>0</v>
      </c>
      <c r="J382" s="21">
        <f t="shared" ca="1" si="19"/>
        <v>0</v>
      </c>
      <c r="K382" s="19" t="str">
        <f>[1]!s_info_Nature(B382)</f>
        <v>中央国有企业</v>
      </c>
      <c r="L382" s="19" t="str">
        <f>[1]!b_info_windl1type(B382)</f>
        <v>金融债</v>
      </c>
      <c r="M382" s="13">
        <f>[1]!b_info_couponrate(B382)</f>
        <v>3.85</v>
      </c>
      <c r="N382" s="14" t="str">
        <f>[1]!B_Info_ListedDate(B382)</f>
        <v>2017-01-10</v>
      </c>
      <c r="O382" s="14" t="str">
        <f>[1]!b_issue_firstissue(B382)</f>
        <v>2017-01-04</v>
      </c>
      <c r="P382" s="4">
        <f t="shared" ca="1" si="20"/>
        <v>42989</v>
      </c>
    </row>
    <row r="383" spans="2:16">
      <c r="B383" s="7">
        <v>170405</v>
      </c>
      <c r="C383" s="7">
        <v>4.4400000000000004</v>
      </c>
      <c r="D383" s="18" t="str">
        <f>[1]!b_info_name(B383)</f>
        <v>17农发05</v>
      </c>
      <c r="E383" s="19">
        <f>[1]!b_info_latestissurercreditrating(B383)</f>
        <v>0</v>
      </c>
      <c r="F383" s="20">
        <f ca="1">[1]!b_anal_day(B383,$A$5)/365</f>
        <v>9.3287671232876708</v>
      </c>
      <c r="G383" s="21">
        <f ca="1">[1]!b_anal_yield_cnbd(B383,$A$5)</f>
        <v>0</v>
      </c>
      <c r="H383" s="21">
        <f t="shared" ca="1" si="18"/>
        <v>444.00000000000006</v>
      </c>
      <c r="I383" s="21">
        <f ca="1">[1]!b_anal_yield_cnbd(B383,$A$7)</f>
        <v>0</v>
      </c>
      <c r="J383" s="21">
        <f t="shared" ca="1" si="19"/>
        <v>0</v>
      </c>
      <c r="K383" s="19" t="str">
        <f>[1]!s_info_Nature(B383)</f>
        <v>中央国有企业</v>
      </c>
      <c r="L383" s="19" t="str">
        <f>[1]!b_info_windl1type(B383)</f>
        <v>金融债</v>
      </c>
      <c r="M383" s="13">
        <f>[1]!b_info_couponrate(B383)</f>
        <v>3.85</v>
      </c>
      <c r="N383" s="14" t="str">
        <f>[1]!B_Info_ListedDate(B383)</f>
        <v>2017-01-10</v>
      </c>
      <c r="O383" s="14" t="str">
        <f>[1]!b_issue_firstissue(B383)</f>
        <v>2017-01-04</v>
      </c>
      <c r="P383" s="4">
        <f t="shared" ca="1" si="20"/>
        <v>42989</v>
      </c>
    </row>
    <row r="384" spans="2:16">
      <c r="B384" s="7">
        <v>170405</v>
      </c>
      <c r="C384" s="7">
        <v>4.4400000000000004</v>
      </c>
      <c r="D384" s="18" t="str">
        <f>[1]!b_info_name(B384)</f>
        <v>17农发05</v>
      </c>
      <c r="E384" s="19">
        <f>[1]!b_info_latestissurercreditrating(B384)</f>
        <v>0</v>
      </c>
      <c r="F384" s="20">
        <f ca="1">[1]!b_anal_day(B384,$A$5)/365</f>
        <v>9.3287671232876708</v>
      </c>
      <c r="G384" s="21">
        <f ca="1">[1]!b_anal_yield_cnbd(B384,$A$5)</f>
        <v>0</v>
      </c>
      <c r="H384" s="21">
        <f t="shared" ca="1" si="18"/>
        <v>444.00000000000006</v>
      </c>
      <c r="I384" s="21">
        <f ca="1">[1]!b_anal_yield_cnbd(B384,$A$7)</f>
        <v>0</v>
      </c>
      <c r="J384" s="21">
        <f t="shared" ca="1" si="19"/>
        <v>0</v>
      </c>
      <c r="K384" s="19" t="str">
        <f>[1]!s_info_Nature(B384)</f>
        <v>中央国有企业</v>
      </c>
      <c r="L384" s="19" t="str">
        <f>[1]!b_info_windl1type(B384)</f>
        <v>金融债</v>
      </c>
      <c r="M384" s="13">
        <f>[1]!b_info_couponrate(B384)</f>
        <v>3.85</v>
      </c>
      <c r="N384" s="14" t="str">
        <f>[1]!B_Info_ListedDate(B384)</f>
        <v>2017-01-10</v>
      </c>
      <c r="O384" s="14" t="str">
        <f>[1]!b_issue_firstissue(B384)</f>
        <v>2017-01-04</v>
      </c>
      <c r="P384" s="4">
        <f t="shared" ca="1" si="20"/>
        <v>42989</v>
      </c>
    </row>
    <row r="385" spans="2:16">
      <c r="B385" s="7">
        <v>170405</v>
      </c>
      <c r="C385" s="7">
        <v>4.4400000000000004</v>
      </c>
      <c r="D385" s="18" t="str">
        <f>[1]!b_info_name(B385)</f>
        <v>17农发05</v>
      </c>
      <c r="E385" s="19">
        <f>[1]!b_info_latestissurercreditrating(B385)</f>
        <v>0</v>
      </c>
      <c r="F385" s="20">
        <f ca="1">[1]!b_anal_day(B385,$A$5)/365</f>
        <v>9.3287671232876708</v>
      </c>
      <c r="G385" s="21">
        <f ca="1">[1]!b_anal_yield_cnbd(B385,$A$5)</f>
        <v>0</v>
      </c>
      <c r="H385" s="21">
        <f t="shared" ca="1" si="18"/>
        <v>444.00000000000006</v>
      </c>
      <c r="I385" s="21">
        <f ca="1">[1]!b_anal_yield_cnbd(B385,$A$7)</f>
        <v>0</v>
      </c>
      <c r="J385" s="21">
        <f t="shared" ca="1" si="19"/>
        <v>0</v>
      </c>
      <c r="K385" s="19" t="str">
        <f>[1]!s_info_Nature(B385)</f>
        <v>中央国有企业</v>
      </c>
      <c r="L385" s="19" t="str">
        <f>[1]!b_info_windl1type(B385)</f>
        <v>金融债</v>
      </c>
      <c r="M385" s="13">
        <f>[1]!b_info_couponrate(B385)</f>
        <v>3.85</v>
      </c>
      <c r="N385" s="14" t="str">
        <f>[1]!B_Info_ListedDate(B385)</f>
        <v>2017-01-10</v>
      </c>
      <c r="O385" s="14" t="str">
        <f>[1]!b_issue_firstissue(B385)</f>
        <v>2017-01-04</v>
      </c>
      <c r="P385" s="4">
        <f t="shared" ca="1" si="20"/>
        <v>42989</v>
      </c>
    </row>
    <row r="386" spans="2:16">
      <c r="B386" s="7">
        <v>170405</v>
      </c>
      <c r="C386" s="7">
        <v>4.4400000000000004</v>
      </c>
      <c r="D386" s="18" t="str">
        <f>[1]!b_info_name(B386)</f>
        <v>17农发05</v>
      </c>
      <c r="E386" s="19">
        <f>[1]!b_info_latestissurercreditrating(B386)</f>
        <v>0</v>
      </c>
      <c r="F386" s="20">
        <f ca="1">[1]!b_anal_day(B386,$A$5)/365</f>
        <v>9.3287671232876708</v>
      </c>
      <c r="G386" s="21">
        <f ca="1">[1]!b_anal_yield_cnbd(B386,$A$5)</f>
        <v>0</v>
      </c>
      <c r="H386" s="21">
        <f t="shared" ca="1" si="18"/>
        <v>444.00000000000006</v>
      </c>
      <c r="I386" s="21">
        <f ca="1">[1]!b_anal_yield_cnbd(B386,$A$7)</f>
        <v>0</v>
      </c>
      <c r="J386" s="21">
        <f t="shared" ca="1" si="19"/>
        <v>0</v>
      </c>
      <c r="K386" s="19" t="str">
        <f>[1]!s_info_Nature(B386)</f>
        <v>中央国有企业</v>
      </c>
      <c r="L386" s="19" t="str">
        <f>[1]!b_info_windl1type(B386)</f>
        <v>金融债</v>
      </c>
      <c r="M386" s="13">
        <f>[1]!b_info_couponrate(B386)</f>
        <v>3.85</v>
      </c>
      <c r="N386" s="14" t="str">
        <f>[1]!B_Info_ListedDate(B386)</f>
        <v>2017-01-10</v>
      </c>
      <c r="O386" s="14" t="str">
        <f>[1]!b_issue_firstissue(B386)</f>
        <v>2017-01-04</v>
      </c>
      <c r="P386" s="4">
        <f t="shared" ca="1" si="20"/>
        <v>42989</v>
      </c>
    </row>
    <row r="387" spans="2:16">
      <c r="B387" s="7">
        <v>170405</v>
      </c>
      <c r="C387" s="7">
        <v>4.4400000000000004</v>
      </c>
      <c r="D387" s="18" t="str">
        <f>[1]!b_info_name(B387)</f>
        <v>17农发05</v>
      </c>
      <c r="E387" s="19">
        <f>[1]!b_info_latestissurercreditrating(B387)</f>
        <v>0</v>
      </c>
      <c r="F387" s="20">
        <f ca="1">[1]!b_anal_day(B387,$A$5)/365</f>
        <v>9.3287671232876708</v>
      </c>
      <c r="G387" s="21">
        <f ca="1">[1]!b_anal_yield_cnbd(B387,$A$5)</f>
        <v>0</v>
      </c>
      <c r="H387" s="21">
        <f t="shared" ca="1" si="18"/>
        <v>444.00000000000006</v>
      </c>
      <c r="I387" s="21">
        <f ca="1">[1]!b_anal_yield_cnbd(B387,$A$7)</f>
        <v>0</v>
      </c>
      <c r="J387" s="21">
        <f t="shared" ca="1" si="19"/>
        <v>0</v>
      </c>
      <c r="K387" s="19" t="str">
        <f>[1]!s_info_Nature(B387)</f>
        <v>中央国有企业</v>
      </c>
      <c r="L387" s="19" t="str">
        <f>[1]!b_info_windl1type(B387)</f>
        <v>金融债</v>
      </c>
      <c r="M387" s="13">
        <f>[1]!b_info_couponrate(B387)</f>
        <v>3.85</v>
      </c>
      <c r="N387" s="14" t="str">
        <f>[1]!B_Info_ListedDate(B387)</f>
        <v>2017-01-10</v>
      </c>
      <c r="O387" s="14" t="str">
        <f>[1]!b_issue_firstissue(B387)</f>
        <v>2017-01-04</v>
      </c>
      <c r="P387" s="4">
        <f t="shared" ca="1" si="20"/>
        <v>42989</v>
      </c>
    </row>
    <row r="388" spans="2:16">
      <c r="B388" s="7">
        <v>170405</v>
      </c>
      <c r="C388" s="7">
        <v>4.4400000000000004</v>
      </c>
      <c r="D388" s="18" t="str">
        <f>[1]!b_info_name(B388)</f>
        <v>17农发05</v>
      </c>
      <c r="E388" s="19">
        <f>[1]!b_info_latestissurercreditrating(B388)</f>
        <v>0</v>
      </c>
      <c r="F388" s="20">
        <f ca="1">[1]!b_anal_day(B388,$A$5)/365</f>
        <v>9.3287671232876708</v>
      </c>
      <c r="G388" s="21">
        <f ca="1">[1]!b_anal_yield_cnbd(B388,$A$5)</f>
        <v>0</v>
      </c>
      <c r="H388" s="21">
        <f t="shared" ca="1" si="18"/>
        <v>444.00000000000006</v>
      </c>
      <c r="I388" s="21">
        <f ca="1">[1]!b_anal_yield_cnbd(B388,$A$7)</f>
        <v>0</v>
      </c>
      <c r="J388" s="21">
        <f t="shared" ca="1" si="19"/>
        <v>0</v>
      </c>
      <c r="K388" s="19" t="str">
        <f>[1]!s_info_Nature(B388)</f>
        <v>中央国有企业</v>
      </c>
      <c r="L388" s="19" t="str">
        <f>[1]!b_info_windl1type(B388)</f>
        <v>金融债</v>
      </c>
      <c r="M388" s="13">
        <f>[1]!b_info_couponrate(B388)</f>
        <v>3.85</v>
      </c>
      <c r="N388" s="14" t="str">
        <f>[1]!B_Info_ListedDate(B388)</f>
        <v>2017-01-10</v>
      </c>
      <c r="O388" s="14" t="str">
        <f>[1]!b_issue_firstissue(B388)</f>
        <v>2017-01-04</v>
      </c>
      <c r="P388" s="4">
        <f t="shared" ca="1" si="20"/>
        <v>42989</v>
      </c>
    </row>
    <row r="389" spans="2:16">
      <c r="B389" s="7">
        <v>170405</v>
      </c>
      <c r="C389" s="7">
        <v>4.4400000000000004</v>
      </c>
      <c r="D389" s="18" t="str">
        <f>[1]!b_info_name(B389)</f>
        <v>17农发05</v>
      </c>
      <c r="E389" s="19">
        <f>[1]!b_info_latestissurercreditrating(B389)</f>
        <v>0</v>
      </c>
      <c r="F389" s="20">
        <f ca="1">[1]!b_anal_day(B389,$A$5)/365</f>
        <v>9.3287671232876708</v>
      </c>
      <c r="G389" s="21">
        <f ca="1">[1]!b_anal_yield_cnbd(B389,$A$5)</f>
        <v>0</v>
      </c>
      <c r="H389" s="21">
        <f t="shared" ca="1" si="18"/>
        <v>444.00000000000006</v>
      </c>
      <c r="I389" s="21">
        <f ca="1">[1]!b_anal_yield_cnbd(B389,$A$7)</f>
        <v>0</v>
      </c>
      <c r="J389" s="21">
        <f t="shared" ca="1" si="19"/>
        <v>0</v>
      </c>
      <c r="K389" s="19" t="str">
        <f>[1]!s_info_Nature(B389)</f>
        <v>中央国有企业</v>
      </c>
      <c r="L389" s="19" t="str">
        <f>[1]!b_info_windl1type(B389)</f>
        <v>金融债</v>
      </c>
      <c r="M389" s="13">
        <f>[1]!b_info_couponrate(B389)</f>
        <v>3.85</v>
      </c>
      <c r="N389" s="14" t="str">
        <f>[1]!B_Info_ListedDate(B389)</f>
        <v>2017-01-10</v>
      </c>
      <c r="O389" s="14" t="str">
        <f>[1]!b_issue_firstissue(B389)</f>
        <v>2017-01-04</v>
      </c>
      <c r="P389" s="4">
        <f t="shared" ca="1" si="20"/>
        <v>42989</v>
      </c>
    </row>
    <row r="390" spans="2:16">
      <c r="B390" s="7">
        <v>170405</v>
      </c>
      <c r="C390" s="7">
        <v>4.4400000000000004</v>
      </c>
      <c r="D390" s="18" t="str">
        <f>[1]!b_info_name(B390)</f>
        <v>17农发05</v>
      </c>
      <c r="E390" s="19">
        <f>[1]!b_info_latestissurercreditrating(B390)</f>
        <v>0</v>
      </c>
      <c r="F390" s="20">
        <f ca="1">[1]!b_anal_day(B390,$A$5)/365</f>
        <v>9.3287671232876708</v>
      </c>
      <c r="G390" s="21">
        <f ca="1">[1]!b_anal_yield_cnbd(B390,$A$5)</f>
        <v>0</v>
      </c>
      <c r="H390" s="21">
        <f t="shared" ca="1" si="18"/>
        <v>444.00000000000006</v>
      </c>
      <c r="I390" s="21">
        <f ca="1">[1]!b_anal_yield_cnbd(B390,$A$7)</f>
        <v>0</v>
      </c>
      <c r="J390" s="21">
        <f t="shared" ca="1" si="19"/>
        <v>0</v>
      </c>
      <c r="K390" s="19" t="str">
        <f>[1]!s_info_Nature(B390)</f>
        <v>中央国有企业</v>
      </c>
      <c r="L390" s="19" t="str">
        <f>[1]!b_info_windl1type(B390)</f>
        <v>金融债</v>
      </c>
      <c r="M390" s="13">
        <f>[1]!b_info_couponrate(B390)</f>
        <v>3.85</v>
      </c>
      <c r="N390" s="14" t="str">
        <f>[1]!B_Info_ListedDate(B390)</f>
        <v>2017-01-10</v>
      </c>
      <c r="O390" s="14" t="str">
        <f>[1]!b_issue_firstissue(B390)</f>
        <v>2017-01-04</v>
      </c>
      <c r="P390" s="4">
        <f t="shared" ca="1" si="20"/>
        <v>42989</v>
      </c>
    </row>
    <row r="391" spans="2:16">
      <c r="B391" s="7">
        <v>170405</v>
      </c>
      <c r="C391" s="7">
        <v>4.4400000000000004</v>
      </c>
      <c r="D391" s="18" t="str">
        <f>[1]!b_info_name(B391)</f>
        <v>17农发05</v>
      </c>
      <c r="E391" s="19">
        <f>[1]!b_info_latestissurercreditrating(B391)</f>
        <v>0</v>
      </c>
      <c r="F391" s="20">
        <f ca="1">[1]!b_anal_day(B391,$A$5)/365</f>
        <v>9.3287671232876708</v>
      </c>
      <c r="G391" s="21">
        <f ca="1">[1]!b_anal_yield_cnbd(B391,$A$5)</f>
        <v>0</v>
      </c>
      <c r="H391" s="21">
        <f t="shared" ca="1" si="18"/>
        <v>444.00000000000006</v>
      </c>
      <c r="I391" s="21">
        <f ca="1">[1]!b_anal_yield_cnbd(B391,$A$7)</f>
        <v>0</v>
      </c>
      <c r="J391" s="21">
        <f t="shared" ca="1" si="19"/>
        <v>0</v>
      </c>
      <c r="K391" s="19" t="str">
        <f>[1]!s_info_Nature(B391)</f>
        <v>中央国有企业</v>
      </c>
      <c r="L391" s="19" t="str">
        <f>[1]!b_info_windl1type(B391)</f>
        <v>金融债</v>
      </c>
      <c r="M391" s="13">
        <f>[1]!b_info_couponrate(B391)</f>
        <v>3.85</v>
      </c>
      <c r="N391" s="14" t="str">
        <f>[1]!B_Info_ListedDate(B391)</f>
        <v>2017-01-10</v>
      </c>
      <c r="O391" s="14" t="str">
        <f>[1]!b_issue_firstissue(B391)</f>
        <v>2017-01-04</v>
      </c>
      <c r="P391" s="4">
        <f t="shared" ca="1" si="20"/>
        <v>42989</v>
      </c>
    </row>
    <row r="392" spans="2:16">
      <c r="B392" s="7">
        <v>170405</v>
      </c>
      <c r="C392" s="7">
        <v>4.4400000000000004</v>
      </c>
      <c r="D392" s="18" t="str">
        <f>[1]!b_info_name(B392)</f>
        <v>17农发05</v>
      </c>
      <c r="E392" s="19">
        <f>[1]!b_info_latestissurercreditrating(B392)</f>
        <v>0</v>
      </c>
      <c r="F392" s="20">
        <f ca="1">[1]!b_anal_day(B392,$A$5)/365</f>
        <v>9.3287671232876708</v>
      </c>
      <c r="G392" s="21">
        <f ca="1">[1]!b_anal_yield_cnbd(B392,$A$5)</f>
        <v>0</v>
      </c>
      <c r="H392" s="21">
        <f t="shared" ca="1" si="18"/>
        <v>444.00000000000006</v>
      </c>
      <c r="I392" s="21">
        <f ca="1">[1]!b_anal_yield_cnbd(B392,$A$7)</f>
        <v>0</v>
      </c>
      <c r="J392" s="21">
        <f t="shared" ca="1" si="19"/>
        <v>0</v>
      </c>
      <c r="K392" s="19" t="str">
        <f>[1]!s_info_Nature(B392)</f>
        <v>中央国有企业</v>
      </c>
      <c r="L392" s="19" t="str">
        <f>[1]!b_info_windl1type(B392)</f>
        <v>金融债</v>
      </c>
      <c r="M392" s="13">
        <f>[1]!b_info_couponrate(B392)</f>
        <v>3.85</v>
      </c>
      <c r="N392" s="14" t="str">
        <f>[1]!B_Info_ListedDate(B392)</f>
        <v>2017-01-10</v>
      </c>
      <c r="O392" s="14" t="str">
        <f>[1]!b_issue_firstissue(B392)</f>
        <v>2017-01-04</v>
      </c>
      <c r="P392" s="4">
        <f t="shared" ca="1" si="20"/>
        <v>42989</v>
      </c>
    </row>
    <row r="393" spans="2:16">
      <c r="B393" s="7">
        <v>170405</v>
      </c>
      <c r="C393" s="7">
        <v>4.4400000000000004</v>
      </c>
      <c r="D393" s="18" t="str">
        <f>[1]!b_info_name(B393)</f>
        <v>17农发05</v>
      </c>
      <c r="E393" s="19">
        <f>[1]!b_info_latestissurercreditrating(B393)</f>
        <v>0</v>
      </c>
      <c r="F393" s="20">
        <f ca="1">[1]!b_anal_day(B393,$A$5)/365</f>
        <v>9.3287671232876708</v>
      </c>
      <c r="G393" s="21">
        <f ca="1">[1]!b_anal_yield_cnbd(B393,$A$5)</f>
        <v>0</v>
      </c>
      <c r="H393" s="21">
        <f t="shared" ca="1" si="18"/>
        <v>444.00000000000006</v>
      </c>
      <c r="I393" s="21">
        <f ca="1">[1]!b_anal_yield_cnbd(B393,$A$7)</f>
        <v>0</v>
      </c>
      <c r="J393" s="21">
        <f t="shared" ca="1" si="19"/>
        <v>0</v>
      </c>
      <c r="K393" s="19" t="str">
        <f>[1]!s_info_Nature(B393)</f>
        <v>中央国有企业</v>
      </c>
      <c r="L393" s="19" t="str">
        <f>[1]!b_info_windl1type(B393)</f>
        <v>金融债</v>
      </c>
      <c r="M393" s="13">
        <f>[1]!b_info_couponrate(B393)</f>
        <v>3.85</v>
      </c>
      <c r="N393" s="14" t="str">
        <f>[1]!B_Info_ListedDate(B393)</f>
        <v>2017-01-10</v>
      </c>
      <c r="O393" s="14" t="str">
        <f>[1]!b_issue_firstissue(B393)</f>
        <v>2017-01-04</v>
      </c>
      <c r="P393" s="4">
        <f t="shared" ca="1" si="20"/>
        <v>42989</v>
      </c>
    </row>
    <row r="394" spans="2:16">
      <c r="B394" s="7">
        <v>170405</v>
      </c>
      <c r="C394" s="7">
        <v>4.4400000000000004</v>
      </c>
      <c r="D394" s="18" t="str">
        <f>[1]!b_info_name(B394)</f>
        <v>17农发05</v>
      </c>
      <c r="E394" s="19">
        <f>[1]!b_info_latestissurercreditrating(B394)</f>
        <v>0</v>
      </c>
      <c r="F394" s="20">
        <f ca="1">[1]!b_anal_day(B394,$A$5)/365</f>
        <v>9.3287671232876708</v>
      </c>
      <c r="G394" s="21">
        <f ca="1">[1]!b_anal_yield_cnbd(B394,$A$5)</f>
        <v>0</v>
      </c>
      <c r="H394" s="21">
        <f t="shared" ca="1" si="18"/>
        <v>444.00000000000006</v>
      </c>
      <c r="I394" s="21">
        <f ca="1">[1]!b_anal_yield_cnbd(B394,$A$7)</f>
        <v>0</v>
      </c>
      <c r="J394" s="21">
        <f t="shared" ca="1" si="19"/>
        <v>0</v>
      </c>
      <c r="K394" s="19" t="str">
        <f>[1]!s_info_Nature(B394)</f>
        <v>中央国有企业</v>
      </c>
      <c r="L394" s="19" t="str">
        <f>[1]!b_info_windl1type(B394)</f>
        <v>金融债</v>
      </c>
      <c r="M394" s="13">
        <f>[1]!b_info_couponrate(B394)</f>
        <v>3.85</v>
      </c>
      <c r="N394" s="14" t="str">
        <f>[1]!B_Info_ListedDate(B394)</f>
        <v>2017-01-10</v>
      </c>
      <c r="O394" s="14" t="str">
        <f>[1]!b_issue_firstissue(B394)</f>
        <v>2017-01-04</v>
      </c>
      <c r="P394" s="4">
        <f t="shared" ca="1" si="20"/>
        <v>42989</v>
      </c>
    </row>
    <row r="395" spans="2:16">
      <c r="B395" s="7">
        <v>170405</v>
      </c>
      <c r="C395" s="7">
        <v>4.4400000000000004</v>
      </c>
      <c r="D395" s="18" t="str">
        <f>[1]!b_info_name(B395)</f>
        <v>17农发05</v>
      </c>
      <c r="E395" s="19">
        <f>[1]!b_info_latestissurercreditrating(B395)</f>
        <v>0</v>
      </c>
      <c r="F395" s="20">
        <f ca="1">[1]!b_anal_day(B395,$A$5)/365</f>
        <v>9.3287671232876708</v>
      </c>
      <c r="G395" s="21">
        <f ca="1">[1]!b_anal_yield_cnbd(B395,$A$5)</f>
        <v>0</v>
      </c>
      <c r="H395" s="21">
        <f t="shared" ca="1" si="18"/>
        <v>444.00000000000006</v>
      </c>
      <c r="I395" s="21">
        <f ca="1">[1]!b_anal_yield_cnbd(B395,$A$7)</f>
        <v>0</v>
      </c>
      <c r="J395" s="21">
        <f t="shared" ca="1" si="19"/>
        <v>0</v>
      </c>
      <c r="K395" s="19" t="str">
        <f>[1]!s_info_Nature(B395)</f>
        <v>中央国有企业</v>
      </c>
      <c r="L395" s="19" t="str">
        <f>[1]!b_info_windl1type(B395)</f>
        <v>金融债</v>
      </c>
      <c r="M395" s="13">
        <f>[1]!b_info_couponrate(B395)</f>
        <v>3.85</v>
      </c>
      <c r="N395" s="14" t="str">
        <f>[1]!B_Info_ListedDate(B395)</f>
        <v>2017-01-10</v>
      </c>
      <c r="O395" s="14" t="str">
        <f>[1]!b_issue_firstissue(B395)</f>
        <v>2017-01-04</v>
      </c>
      <c r="P395" s="4">
        <f t="shared" ca="1" si="20"/>
        <v>42989</v>
      </c>
    </row>
    <row r="396" spans="2:16">
      <c r="B396" s="7">
        <v>170303</v>
      </c>
      <c r="C396" s="7">
        <v>4.4400000000000004</v>
      </c>
      <c r="D396" s="18" t="str">
        <f>[1]!b_info_name(B396)</f>
        <v>17进出03</v>
      </c>
      <c r="E396" s="19">
        <f>[1]!b_info_latestissurercreditrating(B396)</f>
        <v>0</v>
      </c>
      <c r="F396" s="20">
        <f ca="1">[1]!b_anal_day(B396,$A$5)/365</f>
        <v>9.5287671232876718</v>
      </c>
      <c r="G396" s="21">
        <f ca="1">[1]!b_anal_yield_cnbd(B396,$A$5)</f>
        <v>0</v>
      </c>
      <c r="H396" s="21">
        <f t="shared" ca="1" si="18"/>
        <v>444.00000000000006</v>
      </c>
      <c r="I396" s="21">
        <f ca="1">[1]!b_anal_yield_cnbd(B396,$A$7)</f>
        <v>0</v>
      </c>
      <c r="J396" s="21">
        <f t="shared" ca="1" si="19"/>
        <v>0</v>
      </c>
      <c r="K396" s="19" t="str">
        <f>[1]!s_info_Nature(B396)</f>
        <v>中央国有企业</v>
      </c>
      <c r="L396" s="19" t="str">
        <f>[1]!b_info_windl1type(B396)</f>
        <v>金融债</v>
      </c>
      <c r="M396" s="13">
        <f>[1]!b_info_couponrate(B396)</f>
        <v>4.1100000000000003</v>
      </c>
      <c r="N396" s="14" t="str">
        <f>[1]!B_Info_ListedDate(B396)</f>
        <v>2017-03-22</v>
      </c>
      <c r="O396" s="14" t="str">
        <f>[1]!b_issue_firstissue(B396)</f>
        <v>2017-03-16</v>
      </c>
      <c r="P396" s="4">
        <f t="shared" ca="1" si="20"/>
        <v>42989</v>
      </c>
    </row>
    <row r="397" spans="2:16">
      <c r="B397" s="7">
        <v>150218</v>
      </c>
      <c r="C397" s="7">
        <v>4.4400000000000004</v>
      </c>
      <c r="D397" s="18" t="str">
        <f>[1]!b_info_name(B397)</f>
        <v>15国开18</v>
      </c>
      <c r="E397" s="19">
        <f>[1]!b_info_latestissurercreditrating(B397)</f>
        <v>0</v>
      </c>
      <c r="F397" s="20">
        <f ca="1">[1]!b_anal_day(B397,$A$5)/365</f>
        <v>8.0054794520547947</v>
      </c>
      <c r="G397" s="21">
        <f ca="1">[1]!b_anal_yield_cnbd(B397,$A$5)</f>
        <v>0</v>
      </c>
      <c r="H397" s="21">
        <f t="shared" ref="H397:H460" ca="1" si="21">(IF(C397&lt;0.1,C397*100,C397)-G397)*100</f>
        <v>444.00000000000006</v>
      </c>
      <c r="I397" s="21">
        <f ca="1">[1]!b_anal_yield_cnbd(B397,$A$7)</f>
        <v>0</v>
      </c>
      <c r="J397" s="21">
        <f t="shared" ref="J397:J460" ca="1" si="22">(G397-I397)*100</f>
        <v>0</v>
      </c>
      <c r="K397" s="19" t="str">
        <f>[1]!s_info_Nature(B397)</f>
        <v>中央国有企业</v>
      </c>
      <c r="L397" s="19" t="str">
        <f>[1]!b_info_windl1type(B397)</f>
        <v>金融债</v>
      </c>
      <c r="M397" s="13">
        <f>[1]!b_info_couponrate(B397)</f>
        <v>3.74</v>
      </c>
      <c r="N397" s="14" t="str">
        <f>[1]!B_Info_ListedDate(B397)</f>
        <v>2015-09-14</v>
      </c>
      <c r="O397" s="14" t="str">
        <f>[1]!b_issue_firstissue(B397)</f>
        <v>2015-09-08</v>
      </c>
      <c r="P397" s="4">
        <f t="shared" ref="P397:P460" ca="1" si="23">$A$2</f>
        <v>42989</v>
      </c>
    </row>
    <row r="398" spans="2:16">
      <c r="B398" s="7">
        <v>150314</v>
      </c>
      <c r="C398" s="7">
        <v>4.4400000000000004</v>
      </c>
      <c r="D398" s="18" t="str">
        <f>[1]!b_info_name(B398)</f>
        <v>15进出14</v>
      </c>
      <c r="E398" s="19">
        <f>[1]!b_info_latestissurercreditrating(B398)</f>
        <v>0</v>
      </c>
      <c r="F398" s="20">
        <f ca="1">[1]!b_anal_day(B398,$A$5)/365</f>
        <v>8.0164383561643842</v>
      </c>
      <c r="G398" s="21">
        <f ca="1">[1]!b_anal_yield_cnbd(B398,$A$5)</f>
        <v>0</v>
      </c>
      <c r="H398" s="21">
        <f t="shared" ca="1" si="21"/>
        <v>444.00000000000006</v>
      </c>
      <c r="I398" s="21">
        <f ca="1">[1]!b_anal_yield_cnbd(B398,$A$7)</f>
        <v>0</v>
      </c>
      <c r="J398" s="21">
        <f t="shared" ca="1" si="22"/>
        <v>0</v>
      </c>
      <c r="K398" s="19" t="str">
        <f>[1]!s_info_Nature(B398)</f>
        <v>中央国有企业</v>
      </c>
      <c r="L398" s="19" t="str">
        <f>[1]!b_info_windl1type(B398)</f>
        <v>金融债</v>
      </c>
      <c r="M398" s="13">
        <f>[1]!b_info_couponrate(B398)</f>
        <v>3.87</v>
      </c>
      <c r="N398" s="14" t="str">
        <f>[1]!B_Info_ListedDate(B398)</f>
        <v>2015-09-16</v>
      </c>
      <c r="O398" s="14" t="str">
        <f>[1]!b_issue_firstissue(B398)</f>
        <v>2015-09-10</v>
      </c>
      <c r="P398" s="4">
        <f t="shared" ca="1" si="23"/>
        <v>42989</v>
      </c>
    </row>
    <row r="399" spans="2:16">
      <c r="B399" s="7">
        <v>170405</v>
      </c>
      <c r="C399" s="7">
        <v>4.4400000000000004</v>
      </c>
      <c r="D399" s="18" t="str">
        <f>[1]!b_info_name(B399)</f>
        <v>17农发05</v>
      </c>
      <c r="E399" s="19">
        <f>[1]!b_info_latestissurercreditrating(B399)</f>
        <v>0</v>
      </c>
      <c r="F399" s="20">
        <f ca="1">[1]!b_anal_day(B399,$A$5)/365</f>
        <v>9.3287671232876708</v>
      </c>
      <c r="G399" s="21">
        <f ca="1">[1]!b_anal_yield_cnbd(B399,$A$5)</f>
        <v>0</v>
      </c>
      <c r="H399" s="21">
        <f t="shared" ca="1" si="21"/>
        <v>444.00000000000006</v>
      </c>
      <c r="I399" s="21">
        <f ca="1">[1]!b_anal_yield_cnbd(B399,$A$7)</f>
        <v>0</v>
      </c>
      <c r="J399" s="21">
        <f t="shared" ca="1" si="22"/>
        <v>0</v>
      </c>
      <c r="K399" s="19" t="str">
        <f>[1]!s_info_Nature(B399)</f>
        <v>中央国有企业</v>
      </c>
      <c r="L399" s="19" t="str">
        <f>[1]!b_info_windl1type(B399)</f>
        <v>金融债</v>
      </c>
      <c r="M399" s="13">
        <f>[1]!b_info_couponrate(B399)</f>
        <v>3.85</v>
      </c>
      <c r="N399" s="14" t="str">
        <f>[1]!B_Info_ListedDate(B399)</f>
        <v>2017-01-10</v>
      </c>
      <c r="O399" s="14" t="str">
        <f>[1]!b_issue_firstissue(B399)</f>
        <v>2017-01-04</v>
      </c>
      <c r="P399" s="4">
        <f t="shared" ca="1" si="23"/>
        <v>42989</v>
      </c>
    </row>
    <row r="400" spans="2:16">
      <c r="B400" s="7">
        <v>170405</v>
      </c>
      <c r="C400" s="7">
        <v>4.4400000000000004</v>
      </c>
      <c r="D400" s="18" t="str">
        <f>[1]!b_info_name(B400)</f>
        <v>17农发05</v>
      </c>
      <c r="E400" s="19">
        <f>[1]!b_info_latestissurercreditrating(B400)</f>
        <v>0</v>
      </c>
      <c r="F400" s="20">
        <f ca="1">[1]!b_anal_day(B400,$A$5)/365</f>
        <v>9.3287671232876708</v>
      </c>
      <c r="G400" s="21">
        <f ca="1">[1]!b_anal_yield_cnbd(B400,$A$5)</f>
        <v>0</v>
      </c>
      <c r="H400" s="21">
        <f t="shared" ca="1" si="21"/>
        <v>444.00000000000006</v>
      </c>
      <c r="I400" s="21">
        <f ca="1">[1]!b_anal_yield_cnbd(B400,$A$7)</f>
        <v>0</v>
      </c>
      <c r="J400" s="21">
        <f t="shared" ca="1" si="22"/>
        <v>0</v>
      </c>
      <c r="K400" s="19" t="str">
        <f>[1]!s_info_Nature(B400)</f>
        <v>中央国有企业</v>
      </c>
      <c r="L400" s="19" t="str">
        <f>[1]!b_info_windl1type(B400)</f>
        <v>金融债</v>
      </c>
      <c r="M400" s="13">
        <f>[1]!b_info_couponrate(B400)</f>
        <v>3.85</v>
      </c>
      <c r="N400" s="14" t="str">
        <f>[1]!B_Info_ListedDate(B400)</f>
        <v>2017-01-10</v>
      </c>
      <c r="O400" s="14" t="str">
        <f>[1]!b_issue_firstissue(B400)</f>
        <v>2017-01-04</v>
      </c>
      <c r="P400" s="4">
        <f t="shared" ca="1" si="23"/>
        <v>42989</v>
      </c>
    </row>
    <row r="401" spans="2:16">
      <c r="B401" s="7">
        <v>170405</v>
      </c>
      <c r="C401" s="7">
        <v>4.4400000000000004</v>
      </c>
      <c r="D401" s="18" t="str">
        <f>[1]!b_info_name(B401)</f>
        <v>17农发05</v>
      </c>
      <c r="E401" s="19">
        <f>[1]!b_info_latestissurercreditrating(B401)</f>
        <v>0</v>
      </c>
      <c r="F401" s="20">
        <f ca="1">[1]!b_anal_day(B401,$A$5)/365</f>
        <v>9.3287671232876708</v>
      </c>
      <c r="G401" s="21">
        <f ca="1">[1]!b_anal_yield_cnbd(B401,$A$5)</f>
        <v>0</v>
      </c>
      <c r="H401" s="21">
        <f t="shared" ca="1" si="21"/>
        <v>444.00000000000006</v>
      </c>
      <c r="I401" s="21">
        <f ca="1">[1]!b_anal_yield_cnbd(B401,$A$7)</f>
        <v>0</v>
      </c>
      <c r="J401" s="21">
        <f t="shared" ca="1" si="22"/>
        <v>0</v>
      </c>
      <c r="K401" s="19" t="str">
        <f>[1]!s_info_Nature(B401)</f>
        <v>中央国有企业</v>
      </c>
      <c r="L401" s="19" t="str">
        <f>[1]!b_info_windl1type(B401)</f>
        <v>金融债</v>
      </c>
      <c r="M401" s="13">
        <f>[1]!b_info_couponrate(B401)</f>
        <v>3.85</v>
      </c>
      <c r="N401" s="14" t="str">
        <f>[1]!B_Info_ListedDate(B401)</f>
        <v>2017-01-10</v>
      </c>
      <c r="O401" s="14" t="str">
        <f>[1]!b_issue_firstissue(B401)</f>
        <v>2017-01-04</v>
      </c>
      <c r="P401" s="4">
        <f t="shared" ca="1" si="23"/>
        <v>42989</v>
      </c>
    </row>
    <row r="402" spans="2:16">
      <c r="B402" s="7">
        <v>170405</v>
      </c>
      <c r="C402" s="7">
        <v>4.4400000000000004</v>
      </c>
      <c r="D402" s="18" t="str">
        <f>[1]!b_info_name(B402)</f>
        <v>17农发05</v>
      </c>
      <c r="E402" s="19">
        <f>[1]!b_info_latestissurercreditrating(B402)</f>
        <v>0</v>
      </c>
      <c r="F402" s="20">
        <f ca="1">[1]!b_anal_day(B402,$A$5)/365</f>
        <v>9.3287671232876708</v>
      </c>
      <c r="G402" s="21">
        <f ca="1">[1]!b_anal_yield_cnbd(B402,$A$5)</f>
        <v>0</v>
      </c>
      <c r="H402" s="21">
        <f t="shared" ca="1" si="21"/>
        <v>444.00000000000006</v>
      </c>
      <c r="I402" s="21">
        <f ca="1">[1]!b_anal_yield_cnbd(B402,$A$7)</f>
        <v>0</v>
      </c>
      <c r="J402" s="21">
        <f t="shared" ca="1" si="22"/>
        <v>0</v>
      </c>
      <c r="K402" s="19" t="str">
        <f>[1]!s_info_Nature(B402)</f>
        <v>中央国有企业</v>
      </c>
      <c r="L402" s="19" t="str">
        <f>[1]!b_info_windl1type(B402)</f>
        <v>金融债</v>
      </c>
      <c r="M402" s="13">
        <f>[1]!b_info_couponrate(B402)</f>
        <v>3.85</v>
      </c>
      <c r="N402" s="14" t="str">
        <f>[1]!B_Info_ListedDate(B402)</f>
        <v>2017-01-10</v>
      </c>
      <c r="O402" s="14" t="str">
        <f>[1]!b_issue_firstissue(B402)</f>
        <v>2017-01-04</v>
      </c>
      <c r="P402" s="4">
        <f t="shared" ca="1" si="23"/>
        <v>42989</v>
      </c>
    </row>
    <row r="403" spans="2:16">
      <c r="B403" s="7">
        <v>170405</v>
      </c>
      <c r="C403" s="7">
        <v>4.4375</v>
      </c>
      <c r="D403" s="18" t="str">
        <f>[1]!b_info_name(B403)</f>
        <v>17农发05</v>
      </c>
      <c r="E403" s="19">
        <f>[1]!b_info_latestissurercreditrating(B403)</f>
        <v>0</v>
      </c>
      <c r="F403" s="20">
        <f ca="1">[1]!b_anal_day(B403,$A$5)/365</f>
        <v>9.3287671232876708</v>
      </c>
      <c r="G403" s="21">
        <f ca="1">[1]!b_anal_yield_cnbd(B403,$A$5)</f>
        <v>0</v>
      </c>
      <c r="H403" s="21">
        <f t="shared" ca="1" si="21"/>
        <v>443.75</v>
      </c>
      <c r="I403" s="21">
        <f ca="1">[1]!b_anal_yield_cnbd(B403,$A$7)</f>
        <v>0</v>
      </c>
      <c r="J403" s="21">
        <f t="shared" ca="1" si="22"/>
        <v>0</v>
      </c>
      <c r="K403" s="19" t="str">
        <f>[1]!s_info_Nature(B403)</f>
        <v>中央国有企业</v>
      </c>
      <c r="L403" s="19" t="str">
        <f>[1]!b_info_windl1type(B403)</f>
        <v>金融债</v>
      </c>
      <c r="M403" s="13">
        <f>[1]!b_info_couponrate(B403)</f>
        <v>3.85</v>
      </c>
      <c r="N403" s="14" t="str">
        <f>[1]!B_Info_ListedDate(B403)</f>
        <v>2017-01-10</v>
      </c>
      <c r="O403" s="14" t="str">
        <f>[1]!b_issue_firstissue(B403)</f>
        <v>2017-01-04</v>
      </c>
      <c r="P403" s="4">
        <f t="shared" ca="1" si="23"/>
        <v>42989</v>
      </c>
    </row>
    <row r="404" spans="2:16">
      <c r="B404" s="7">
        <v>101652024</v>
      </c>
      <c r="C404" s="7">
        <v>4.43</v>
      </c>
      <c r="D404" s="18" t="str">
        <f>[1]!b_info_name(B404)</f>
        <v>16铁道MTN002</v>
      </c>
      <c r="E404" s="19" t="str">
        <f>[1]!b_info_latestissurercreditrating(B404)</f>
        <v>AAA</v>
      </c>
      <c r="F404" s="20">
        <f ca="1">[1]!b_anal_day(B404,$A$5)/365</f>
        <v>3.7452054794520548</v>
      </c>
      <c r="G404" s="21">
        <f ca="1">[1]!b_anal_yield_cnbd(B404,$A$5)</f>
        <v>0</v>
      </c>
      <c r="H404" s="21">
        <f t="shared" ca="1" si="21"/>
        <v>443</v>
      </c>
      <c r="I404" s="21">
        <f ca="1">[1]!b_anal_yield_cnbd(B404,$A$7)</f>
        <v>0</v>
      </c>
      <c r="J404" s="21">
        <f t="shared" ca="1" si="22"/>
        <v>0</v>
      </c>
      <c r="K404" s="19" t="str">
        <f>[1]!s_info_Nature(B404)</f>
        <v>中央国有企业</v>
      </c>
      <c r="L404" s="19" t="str">
        <f>[1]!b_info_windl1type(B404)</f>
        <v>中期票据</v>
      </c>
      <c r="M404" s="13">
        <f>[1]!b_info_couponrate(B404)</f>
        <v>3.46</v>
      </c>
      <c r="N404" s="14" t="str">
        <f>[1]!B_Info_ListedDate(B404)</f>
        <v>2016-06-12</v>
      </c>
      <c r="O404" s="14" t="str">
        <f>[1]!b_issue_firstissue(B404)</f>
        <v>2016-06-07</v>
      </c>
      <c r="P404" s="4">
        <f t="shared" ca="1" si="23"/>
        <v>42989</v>
      </c>
    </row>
    <row r="405" spans="2:16">
      <c r="B405" s="7">
        <v>170201</v>
      </c>
      <c r="C405" s="7">
        <v>4.4249999999999998</v>
      </c>
      <c r="D405" s="18" t="str">
        <f>[1]!b_info_name(B405)</f>
        <v>17国开01</v>
      </c>
      <c r="E405" s="19">
        <f>[1]!b_info_latestissurercreditrating(B405)</f>
        <v>0</v>
      </c>
      <c r="F405" s="20">
        <f ca="1">[1]!b_anal_day(B405,$A$5)/365</f>
        <v>6.3342465753424655</v>
      </c>
      <c r="G405" s="21">
        <f ca="1">[1]!b_anal_yield_cnbd(B405,$A$5)</f>
        <v>0</v>
      </c>
      <c r="H405" s="21">
        <f t="shared" ca="1" si="21"/>
        <v>442.5</v>
      </c>
      <c r="I405" s="21">
        <f ca="1">[1]!b_anal_yield_cnbd(B405,$A$7)</f>
        <v>0</v>
      </c>
      <c r="J405" s="21">
        <f t="shared" ca="1" si="22"/>
        <v>0</v>
      </c>
      <c r="K405" s="19" t="str">
        <f>[1]!s_info_Nature(B405)</f>
        <v>中央国有企业</v>
      </c>
      <c r="L405" s="19" t="str">
        <f>[1]!b_info_windl1type(B405)</f>
        <v>金融债</v>
      </c>
      <c r="M405" s="13">
        <f>[1]!b_info_couponrate(B405)</f>
        <v>3.85</v>
      </c>
      <c r="N405" s="14" t="str">
        <f>[1]!B_Info_ListedDate(B405)</f>
        <v>2017-01-11</v>
      </c>
      <c r="O405" s="14" t="str">
        <f>[1]!b_issue_firstissue(B405)</f>
        <v>2017-01-05</v>
      </c>
      <c r="P405" s="4">
        <f t="shared" ca="1" si="23"/>
        <v>42989</v>
      </c>
    </row>
    <row r="406" spans="2:16">
      <c r="B406" s="7">
        <v>170201</v>
      </c>
      <c r="C406" s="7">
        <v>4.4249999999999998</v>
      </c>
      <c r="D406" s="18" t="str">
        <f>[1]!b_info_name(B406)</f>
        <v>17国开01</v>
      </c>
      <c r="E406" s="19">
        <f>[1]!b_info_latestissurercreditrating(B406)</f>
        <v>0</v>
      </c>
      <c r="F406" s="20">
        <f ca="1">[1]!b_anal_day(B406,$A$5)/365</f>
        <v>6.3342465753424655</v>
      </c>
      <c r="G406" s="21">
        <f ca="1">[1]!b_anal_yield_cnbd(B406,$A$5)</f>
        <v>0</v>
      </c>
      <c r="H406" s="21">
        <f t="shared" ca="1" si="21"/>
        <v>442.5</v>
      </c>
      <c r="I406" s="21">
        <f ca="1">[1]!b_anal_yield_cnbd(B406,$A$7)</f>
        <v>0</v>
      </c>
      <c r="J406" s="21">
        <f t="shared" ca="1" si="22"/>
        <v>0</v>
      </c>
      <c r="K406" s="19" t="str">
        <f>[1]!s_info_Nature(B406)</f>
        <v>中央国有企业</v>
      </c>
      <c r="L406" s="19" t="str">
        <f>[1]!b_info_windl1type(B406)</f>
        <v>金融债</v>
      </c>
      <c r="M406" s="13">
        <f>[1]!b_info_couponrate(B406)</f>
        <v>3.85</v>
      </c>
      <c r="N406" s="14" t="str">
        <f>[1]!B_Info_ListedDate(B406)</f>
        <v>2017-01-11</v>
      </c>
      <c r="O406" s="14" t="str">
        <f>[1]!b_issue_firstissue(B406)</f>
        <v>2017-01-05</v>
      </c>
      <c r="P406" s="4">
        <f t="shared" ca="1" si="23"/>
        <v>42989</v>
      </c>
    </row>
    <row r="407" spans="2:16">
      <c r="B407" s="7">
        <v>1282313</v>
      </c>
      <c r="C407" s="7">
        <v>4.42</v>
      </c>
      <c r="D407" s="18" t="str">
        <f>[1]!b_info_name(B407)</f>
        <v>12中节能MTN1</v>
      </c>
      <c r="E407" s="19" t="str">
        <f>[1]!b_info_latestissurercreditrating(B407)</f>
        <v>AAA</v>
      </c>
      <c r="F407" s="20">
        <f ca="1">[1]!b_anal_day(B407,$A$5)/365</f>
        <v>0</v>
      </c>
      <c r="G407" s="21">
        <f ca="1">[1]!b_anal_yield_cnbd(B407,$A$5)</f>
        <v>0</v>
      </c>
      <c r="H407" s="21">
        <f t="shared" ca="1" si="21"/>
        <v>442</v>
      </c>
      <c r="I407" s="21">
        <f ca="1">[1]!b_anal_yield_cnbd(B407,$A$7)</f>
        <v>0</v>
      </c>
      <c r="J407" s="21">
        <f t="shared" ca="1" si="22"/>
        <v>0</v>
      </c>
      <c r="K407" s="19" t="str">
        <f>[1]!s_info_Nature(B407)</f>
        <v>中央国有企业</v>
      </c>
      <c r="L407" s="19" t="str">
        <f>[1]!b_info_windl1type(B407)</f>
        <v>中期票据</v>
      </c>
      <c r="M407" s="13">
        <f>[1]!b_info_couponrate(B407)</f>
        <v>4.78</v>
      </c>
      <c r="N407" s="14" t="str">
        <f>[1]!B_Info_ListedDate(B407)</f>
        <v>2012-09-05</v>
      </c>
      <c r="O407" s="14" t="str">
        <f>[1]!b_issue_firstissue(B407)</f>
        <v>2012-08-31</v>
      </c>
      <c r="P407" s="4">
        <f t="shared" ca="1" si="23"/>
        <v>42989</v>
      </c>
    </row>
    <row r="408" spans="2:16">
      <c r="B408" s="7">
        <v>1282313</v>
      </c>
      <c r="C408" s="7">
        <v>4.42</v>
      </c>
      <c r="D408" s="18" t="str">
        <f>[1]!b_info_name(B408)</f>
        <v>12中节能MTN1</v>
      </c>
      <c r="E408" s="19" t="str">
        <f>[1]!b_info_latestissurercreditrating(B408)</f>
        <v>AAA</v>
      </c>
      <c r="F408" s="20">
        <f ca="1">[1]!b_anal_day(B408,$A$5)/365</f>
        <v>0</v>
      </c>
      <c r="G408" s="21">
        <f ca="1">[1]!b_anal_yield_cnbd(B408,$A$5)</f>
        <v>0</v>
      </c>
      <c r="H408" s="21">
        <f t="shared" ca="1" si="21"/>
        <v>442</v>
      </c>
      <c r="I408" s="21">
        <f ca="1">[1]!b_anal_yield_cnbd(B408,$A$7)</f>
        <v>0</v>
      </c>
      <c r="J408" s="21">
        <f t="shared" ca="1" si="22"/>
        <v>0</v>
      </c>
      <c r="K408" s="19" t="str">
        <f>[1]!s_info_Nature(B408)</f>
        <v>中央国有企业</v>
      </c>
      <c r="L408" s="19" t="str">
        <f>[1]!b_info_windl1type(B408)</f>
        <v>中期票据</v>
      </c>
      <c r="M408" s="13">
        <f>[1]!b_info_couponrate(B408)</f>
        <v>4.78</v>
      </c>
      <c r="N408" s="14" t="str">
        <f>[1]!B_Info_ListedDate(B408)</f>
        <v>2012-09-05</v>
      </c>
      <c r="O408" s="14" t="str">
        <f>[1]!b_issue_firstissue(B408)</f>
        <v>2012-08-31</v>
      </c>
      <c r="P408" s="4">
        <f t="shared" ca="1" si="23"/>
        <v>42989</v>
      </c>
    </row>
    <row r="409" spans="2:16">
      <c r="B409" s="7">
        <v>1282313</v>
      </c>
      <c r="C409" s="7">
        <v>4.42</v>
      </c>
      <c r="D409" s="18" t="str">
        <f>[1]!b_info_name(B409)</f>
        <v>12中节能MTN1</v>
      </c>
      <c r="E409" s="19" t="str">
        <f>[1]!b_info_latestissurercreditrating(B409)</f>
        <v>AAA</v>
      </c>
      <c r="F409" s="20">
        <f ca="1">[1]!b_anal_day(B409,$A$5)/365</f>
        <v>0</v>
      </c>
      <c r="G409" s="21">
        <f ca="1">[1]!b_anal_yield_cnbd(B409,$A$5)</f>
        <v>0</v>
      </c>
      <c r="H409" s="21">
        <f t="shared" ca="1" si="21"/>
        <v>442</v>
      </c>
      <c r="I409" s="21">
        <f ca="1">[1]!b_anal_yield_cnbd(B409,$A$7)</f>
        <v>0</v>
      </c>
      <c r="J409" s="21">
        <f t="shared" ca="1" si="22"/>
        <v>0</v>
      </c>
      <c r="K409" s="19" t="str">
        <f>[1]!s_info_Nature(B409)</f>
        <v>中央国有企业</v>
      </c>
      <c r="L409" s="19" t="str">
        <f>[1]!b_info_windl1type(B409)</f>
        <v>中期票据</v>
      </c>
      <c r="M409" s="13">
        <f>[1]!b_info_couponrate(B409)</f>
        <v>4.78</v>
      </c>
      <c r="N409" s="14" t="str">
        <f>[1]!B_Info_ListedDate(B409)</f>
        <v>2012-09-05</v>
      </c>
      <c r="O409" s="14" t="str">
        <f>[1]!b_issue_firstissue(B409)</f>
        <v>2012-08-31</v>
      </c>
      <c r="P409" s="4">
        <f t="shared" ca="1" si="23"/>
        <v>42989</v>
      </c>
    </row>
    <row r="410" spans="2:16">
      <c r="B410" s="7">
        <v>1282313</v>
      </c>
      <c r="C410" s="7">
        <v>4.42</v>
      </c>
      <c r="D410" s="18" t="str">
        <f>[1]!b_info_name(B410)</f>
        <v>12中节能MTN1</v>
      </c>
      <c r="E410" s="19" t="str">
        <f>[1]!b_info_latestissurercreditrating(B410)</f>
        <v>AAA</v>
      </c>
      <c r="F410" s="20">
        <f ca="1">[1]!b_anal_day(B410,$A$5)/365</f>
        <v>0</v>
      </c>
      <c r="G410" s="21">
        <f ca="1">[1]!b_anal_yield_cnbd(B410,$A$5)</f>
        <v>0</v>
      </c>
      <c r="H410" s="21">
        <f t="shared" ca="1" si="21"/>
        <v>442</v>
      </c>
      <c r="I410" s="21">
        <f ca="1">[1]!b_anal_yield_cnbd(B410,$A$7)</f>
        <v>0</v>
      </c>
      <c r="J410" s="21">
        <f t="shared" ca="1" si="22"/>
        <v>0</v>
      </c>
      <c r="K410" s="19" t="str">
        <f>[1]!s_info_Nature(B410)</f>
        <v>中央国有企业</v>
      </c>
      <c r="L410" s="19" t="str">
        <f>[1]!b_info_windl1type(B410)</f>
        <v>中期票据</v>
      </c>
      <c r="M410" s="13">
        <f>[1]!b_info_couponrate(B410)</f>
        <v>4.78</v>
      </c>
      <c r="N410" s="14" t="str">
        <f>[1]!B_Info_ListedDate(B410)</f>
        <v>2012-09-05</v>
      </c>
      <c r="O410" s="14" t="str">
        <f>[1]!b_issue_firstissue(B410)</f>
        <v>2012-08-31</v>
      </c>
      <c r="P410" s="4">
        <f t="shared" ca="1" si="23"/>
        <v>42989</v>
      </c>
    </row>
    <row r="411" spans="2:16">
      <c r="B411" s="7">
        <v>127464</v>
      </c>
      <c r="C411" s="7">
        <v>4.42</v>
      </c>
      <c r="D411" s="18" t="str">
        <f>[1]!b_info_name(B411)</f>
        <v>16京投01</v>
      </c>
      <c r="E411" s="19" t="str">
        <f>[1]!b_info_latestissurercreditrating(B411)</f>
        <v>AAA</v>
      </c>
      <c r="F411" s="20">
        <f ca="1">[1]!b_anal_day(B411,$A$5)/365</f>
        <v>4.1479452054794521</v>
      </c>
      <c r="G411" s="21">
        <f ca="1">[1]!b_anal_yield_cnbd(B411,$A$5)</f>
        <v>0</v>
      </c>
      <c r="H411" s="21">
        <f t="shared" ca="1" si="21"/>
        <v>442</v>
      </c>
      <c r="I411" s="21">
        <f ca="1">[1]!b_anal_yield_cnbd(B411,$A$7)</f>
        <v>0</v>
      </c>
      <c r="J411" s="21">
        <f t="shared" ca="1" si="22"/>
        <v>0</v>
      </c>
      <c r="K411" s="19" t="str">
        <f>[1]!s_info_Nature(B411)</f>
        <v>地方国有企业</v>
      </c>
      <c r="L411" s="19" t="str">
        <f>[1]!b_info_windl1type(B411)</f>
        <v>企业债</v>
      </c>
      <c r="M411" s="13">
        <f>[1]!b_info_couponrate(B411)</f>
        <v>2.99</v>
      </c>
      <c r="N411" s="14" t="str">
        <f>[1]!B_Info_ListedDate(B411)</f>
        <v>2016-11-17</v>
      </c>
      <c r="O411" s="14" t="str">
        <f>[1]!b_issue_firstissue(B411)</f>
        <v>2016-11-01</v>
      </c>
      <c r="P411" s="4">
        <f t="shared" ca="1" si="23"/>
        <v>42989</v>
      </c>
    </row>
    <row r="412" spans="2:16">
      <c r="B412" s="7">
        <v>160207</v>
      </c>
      <c r="C412" s="7">
        <v>4.42</v>
      </c>
      <c r="D412" s="18" t="str">
        <f>[1]!b_info_name(B412)</f>
        <v>16国开07</v>
      </c>
      <c r="E412" s="19">
        <f>[1]!b_info_latestissurercreditrating(B412)</f>
        <v>0</v>
      </c>
      <c r="F412" s="20">
        <f ca="1">[1]!b_anal_day(B412,$A$5)/365</f>
        <v>5.463013698630137</v>
      </c>
      <c r="G412" s="21">
        <f ca="1">[1]!b_anal_yield_cnbd(B412,$A$5)</f>
        <v>0</v>
      </c>
      <c r="H412" s="21">
        <f t="shared" ca="1" si="21"/>
        <v>442</v>
      </c>
      <c r="I412" s="21">
        <f ca="1">[1]!b_anal_yield_cnbd(B412,$A$7)</f>
        <v>0</v>
      </c>
      <c r="J412" s="21">
        <f t="shared" ca="1" si="22"/>
        <v>0</v>
      </c>
      <c r="K412" s="19" t="str">
        <f>[1]!s_info_Nature(B412)</f>
        <v>中央国有企业</v>
      </c>
      <c r="L412" s="19" t="str">
        <f>[1]!b_info_windl1type(B412)</f>
        <v>金融债</v>
      </c>
      <c r="M412" s="13">
        <f>[1]!b_info_couponrate(B412)</f>
        <v>3.24</v>
      </c>
      <c r="N412" s="14" t="str">
        <f>[1]!B_Info_ListedDate(B412)</f>
        <v>2016-02-29</v>
      </c>
      <c r="O412" s="14" t="str">
        <f>[1]!b_issue_firstissue(B412)</f>
        <v>2016-02-23</v>
      </c>
      <c r="P412" s="4">
        <f t="shared" ca="1" si="23"/>
        <v>42989</v>
      </c>
    </row>
    <row r="413" spans="2:16">
      <c r="B413" s="7">
        <v>170201</v>
      </c>
      <c r="C413" s="7">
        <v>4.42</v>
      </c>
      <c r="D413" s="18" t="str">
        <f>[1]!b_info_name(B413)</f>
        <v>17国开01</v>
      </c>
      <c r="E413" s="19">
        <f>[1]!b_info_latestissurercreditrating(B413)</f>
        <v>0</v>
      </c>
      <c r="F413" s="20">
        <f ca="1">[1]!b_anal_day(B413,$A$5)/365</f>
        <v>6.3342465753424655</v>
      </c>
      <c r="G413" s="21">
        <f ca="1">[1]!b_anal_yield_cnbd(B413,$A$5)</f>
        <v>0</v>
      </c>
      <c r="H413" s="21">
        <f t="shared" ca="1" si="21"/>
        <v>442</v>
      </c>
      <c r="I413" s="21">
        <f ca="1">[1]!b_anal_yield_cnbd(B413,$A$7)</f>
        <v>0</v>
      </c>
      <c r="J413" s="21">
        <f t="shared" ca="1" si="22"/>
        <v>0</v>
      </c>
      <c r="K413" s="19" t="str">
        <f>[1]!s_info_Nature(B413)</f>
        <v>中央国有企业</v>
      </c>
      <c r="L413" s="19" t="str">
        <f>[1]!b_info_windl1type(B413)</f>
        <v>金融债</v>
      </c>
      <c r="M413" s="13">
        <f>[1]!b_info_couponrate(B413)</f>
        <v>3.85</v>
      </c>
      <c r="N413" s="14" t="str">
        <f>[1]!B_Info_ListedDate(B413)</f>
        <v>2017-01-11</v>
      </c>
      <c r="O413" s="14" t="str">
        <f>[1]!b_issue_firstissue(B413)</f>
        <v>2017-01-05</v>
      </c>
      <c r="P413" s="4">
        <f t="shared" ca="1" si="23"/>
        <v>42989</v>
      </c>
    </row>
    <row r="414" spans="2:16">
      <c r="B414" s="7">
        <v>160210</v>
      </c>
      <c r="C414" s="7">
        <v>4.42</v>
      </c>
      <c r="D414" s="18" t="str">
        <f>[1]!b_info_name(B414)</f>
        <v>16国开10</v>
      </c>
      <c r="E414" s="19">
        <f>[1]!b_info_latestissurercreditrating(B414)</f>
        <v>0</v>
      </c>
      <c r="F414" s="20">
        <f ca="1">[1]!b_anal_day(B414,$A$5)/365</f>
        <v>8.5726027397260278</v>
      </c>
      <c r="G414" s="21">
        <f ca="1">[1]!b_anal_yield_cnbd(B414,$A$5)</f>
        <v>0</v>
      </c>
      <c r="H414" s="21">
        <f t="shared" ca="1" si="21"/>
        <v>442</v>
      </c>
      <c r="I414" s="21">
        <f ca="1">[1]!b_anal_yield_cnbd(B414,$A$7)</f>
        <v>0</v>
      </c>
      <c r="J414" s="21">
        <f t="shared" ca="1" si="22"/>
        <v>0</v>
      </c>
      <c r="K414" s="19" t="str">
        <f>[1]!s_info_Nature(B414)</f>
        <v>中央国有企业</v>
      </c>
      <c r="L414" s="19" t="str">
        <f>[1]!b_info_windl1type(B414)</f>
        <v>金融债</v>
      </c>
      <c r="M414" s="13">
        <f>[1]!b_info_couponrate(B414)</f>
        <v>3.18</v>
      </c>
      <c r="N414" s="14" t="str">
        <f>[1]!B_Info_ListedDate(B414)</f>
        <v>2016-04-07</v>
      </c>
      <c r="O414" s="14" t="str">
        <f>[1]!b_issue_firstissue(B414)</f>
        <v>2016-03-31</v>
      </c>
      <c r="P414" s="4">
        <f t="shared" ca="1" si="23"/>
        <v>42989</v>
      </c>
    </row>
    <row r="415" spans="2:16">
      <c r="B415" s="7">
        <v>11698353</v>
      </c>
      <c r="C415" s="7">
        <v>4.41</v>
      </c>
      <c r="D415" s="18" t="str">
        <f>[1]!b_info_name(B415)</f>
        <v>16首钢SCP003</v>
      </c>
      <c r="E415" s="19" t="str">
        <f>[1]!b_info_latestissurercreditrating(B415)</f>
        <v>AAA</v>
      </c>
      <c r="F415" s="20">
        <f ca="1">[1]!b_anal_day(B415,$A$5)/365</f>
        <v>0</v>
      </c>
      <c r="G415" s="21">
        <f ca="1">[1]!b_anal_yield_cnbd(B415,$A$5)</f>
        <v>0</v>
      </c>
      <c r="H415" s="21">
        <f t="shared" ca="1" si="21"/>
        <v>441</v>
      </c>
      <c r="I415" s="21">
        <f ca="1">[1]!b_anal_yield_cnbd(B415,$A$7)</f>
        <v>0</v>
      </c>
      <c r="J415" s="21">
        <f t="shared" ca="1" si="22"/>
        <v>0</v>
      </c>
      <c r="K415" s="19" t="str">
        <f>[1]!s_info_Nature(B415)</f>
        <v>地方国有企业</v>
      </c>
      <c r="L415" s="19" t="str">
        <f>[1]!b_info_windl1type(B415)</f>
        <v>短期融资券</v>
      </c>
      <c r="M415" s="13">
        <f>[1]!b_info_couponrate(B415)</f>
        <v>3.34</v>
      </c>
      <c r="N415" s="14" t="str">
        <f>[1]!B_Info_ListedDate(B415)</f>
        <v>2016-08-29</v>
      </c>
      <c r="O415" s="14" t="str">
        <f>[1]!b_issue_firstissue(B415)</f>
        <v>2016-08-24</v>
      </c>
      <c r="P415" s="4">
        <f t="shared" ca="1" si="23"/>
        <v>42989</v>
      </c>
    </row>
    <row r="416" spans="2:16">
      <c r="B416" s="7">
        <v>11698382</v>
      </c>
      <c r="C416" s="7">
        <v>4.4000000000000004</v>
      </c>
      <c r="D416" s="18" t="str">
        <f>[1]!b_info_name(B416)</f>
        <v>16杭金投SCP003</v>
      </c>
      <c r="E416" s="19" t="str">
        <f>[1]!b_info_latestissurercreditrating(B416)</f>
        <v>AAA</v>
      </c>
      <c r="F416" s="20">
        <f ca="1">[1]!b_anal_day(B416,$A$5)/365</f>
        <v>0</v>
      </c>
      <c r="G416" s="21">
        <f ca="1">[1]!b_anal_yield_cnbd(B416,$A$5)</f>
        <v>0</v>
      </c>
      <c r="H416" s="21">
        <f t="shared" ca="1" si="21"/>
        <v>440.00000000000006</v>
      </c>
      <c r="I416" s="21">
        <f ca="1">[1]!b_anal_yield_cnbd(B416,$A$7)</f>
        <v>0</v>
      </c>
      <c r="J416" s="21">
        <f t="shared" ca="1" si="22"/>
        <v>0</v>
      </c>
      <c r="K416" s="19" t="str">
        <f>[1]!s_info_Nature(B416)</f>
        <v>地方国有企业</v>
      </c>
      <c r="L416" s="19" t="str">
        <f>[1]!b_info_windl1type(B416)</f>
        <v>短期融资券</v>
      </c>
      <c r="M416" s="13">
        <f>[1]!b_info_couponrate(B416)</f>
        <v>2.99</v>
      </c>
      <c r="N416" s="14" t="str">
        <f>[1]!B_Info_ListedDate(B416)</f>
        <v>2016-08-31</v>
      </c>
      <c r="O416" s="14" t="str">
        <f>[1]!b_issue_firstissue(B416)</f>
        <v>2016-08-29</v>
      </c>
      <c r="P416" s="4">
        <f t="shared" ca="1" si="23"/>
        <v>42989</v>
      </c>
    </row>
    <row r="417" spans="2:16">
      <c r="B417" s="7">
        <v>1180147</v>
      </c>
      <c r="C417" s="7">
        <v>4.4000000000000004</v>
      </c>
      <c r="D417" s="18" t="str">
        <f>[1]!b_info_name(B417)</f>
        <v>11铁道03</v>
      </c>
      <c r="E417" s="19" t="str">
        <f>[1]!b_info_latestissurercreditrating(B417)</f>
        <v>AAA</v>
      </c>
      <c r="F417" s="20">
        <f ca="1">[1]!b_anal_day(B417,$A$5)/365</f>
        <v>1.1287671232876713</v>
      </c>
      <c r="G417" s="21">
        <f ca="1">[1]!b_anal_yield_cnbd(B417,$A$5)</f>
        <v>0</v>
      </c>
      <c r="H417" s="21">
        <f t="shared" ca="1" si="21"/>
        <v>440.00000000000006</v>
      </c>
      <c r="I417" s="21">
        <f ca="1">[1]!b_anal_yield_cnbd(B417,$A$7)</f>
        <v>0</v>
      </c>
      <c r="J417" s="21">
        <f t="shared" ca="1" si="22"/>
        <v>0</v>
      </c>
      <c r="K417" s="19" t="str">
        <f>[1]!s_info_Nature(B417)</f>
        <v>中央国有企业</v>
      </c>
      <c r="L417" s="19" t="str">
        <f>[1]!b_info_windl1type(B417)</f>
        <v>政府支持机构债</v>
      </c>
      <c r="M417" s="13">
        <f>[1]!b_info_couponrate(B417)</f>
        <v>4.93</v>
      </c>
      <c r="N417" s="14" t="str">
        <f>[1]!B_Info_ListedDate(B417)</f>
        <v>2011-11-02</v>
      </c>
      <c r="O417" s="14" t="str">
        <f>[1]!b_issue_firstissue(B417)</f>
        <v>2011-10-26</v>
      </c>
      <c r="P417" s="4">
        <f t="shared" ca="1" si="23"/>
        <v>42989</v>
      </c>
    </row>
    <row r="418" spans="2:16">
      <c r="B418" s="7">
        <v>11698426</v>
      </c>
      <c r="C418" s="7">
        <v>4.4000000000000004</v>
      </c>
      <c r="D418" s="18" t="str">
        <f>[1]!b_info_name(B418)</f>
        <v>16康美SCP001</v>
      </c>
      <c r="E418" s="19" t="str">
        <f>[1]!b_info_latestissurercreditrating(B418)</f>
        <v>AA+</v>
      </c>
      <c r="F418" s="20">
        <f ca="1">[1]!b_anal_day(B418,$A$5)/365</f>
        <v>0</v>
      </c>
      <c r="G418" s="21">
        <f ca="1">[1]!b_anal_yield_cnbd(B418,$A$5)</f>
        <v>0</v>
      </c>
      <c r="H418" s="21">
        <f t="shared" ca="1" si="21"/>
        <v>440.00000000000006</v>
      </c>
      <c r="I418" s="21">
        <f ca="1">[1]!b_anal_yield_cnbd(B418,$A$7)</f>
        <v>0</v>
      </c>
      <c r="J418" s="21">
        <f t="shared" ca="1" si="22"/>
        <v>0</v>
      </c>
      <c r="K418" s="19" t="str">
        <f>[1]!s_info_Nature(B418)</f>
        <v>民营企业</v>
      </c>
      <c r="L418" s="19" t="str">
        <f>[1]!b_info_windl1type(B418)</f>
        <v>短期融资券</v>
      </c>
      <c r="M418" s="13">
        <f>[1]!b_info_couponrate(B418)</f>
        <v>2.98</v>
      </c>
      <c r="N418" s="14" t="str">
        <f>[1]!B_Info_ListedDate(B418)</f>
        <v>2016-09-09</v>
      </c>
      <c r="O418" s="14" t="str">
        <f>[1]!b_issue_firstissue(B418)</f>
        <v>2016-09-07</v>
      </c>
      <c r="P418" s="4">
        <f t="shared" ca="1" si="23"/>
        <v>42989</v>
      </c>
    </row>
    <row r="419" spans="2:16">
      <c r="B419" s="7">
        <v>11698686</v>
      </c>
      <c r="C419" s="7">
        <v>4.4000000000000004</v>
      </c>
      <c r="D419" s="18" t="str">
        <f>[1]!b_info_name(B419)</f>
        <v>16深圳航空SCP008</v>
      </c>
      <c r="E419" s="19" t="str">
        <f>[1]!b_info_latestissurercreditrating(B419)</f>
        <v>AAA</v>
      </c>
      <c r="F419" s="20">
        <f ca="1">[1]!b_anal_day(B419,$A$5)/365</f>
        <v>0</v>
      </c>
      <c r="G419" s="21">
        <f ca="1">[1]!b_anal_yield_cnbd(B419,$A$5)</f>
        <v>0</v>
      </c>
      <c r="H419" s="21">
        <f t="shared" ca="1" si="21"/>
        <v>440.00000000000006</v>
      </c>
      <c r="I419" s="21">
        <f ca="1">[1]!b_anal_yield_cnbd(B419,$A$7)</f>
        <v>0</v>
      </c>
      <c r="J419" s="21">
        <f t="shared" ca="1" si="22"/>
        <v>0</v>
      </c>
      <c r="K419" s="19" t="str">
        <f>[1]!s_info_Nature(B419)</f>
        <v>中央国有企业</v>
      </c>
      <c r="L419" s="19" t="str">
        <f>[1]!b_info_windl1type(B419)</f>
        <v>短期融资券</v>
      </c>
      <c r="M419" s="13">
        <f>[1]!b_info_couponrate(B419)</f>
        <v>3</v>
      </c>
      <c r="N419" s="14" t="str">
        <f>[1]!B_Info_ListedDate(B419)</f>
        <v>2016-10-28</v>
      </c>
      <c r="O419" s="14" t="str">
        <f>[1]!b_issue_firstissue(B419)</f>
        <v>2016-10-25</v>
      </c>
      <c r="P419" s="4">
        <f t="shared" ca="1" si="23"/>
        <v>42989</v>
      </c>
    </row>
    <row r="420" spans="2:16">
      <c r="B420" s="7">
        <v>11698343</v>
      </c>
      <c r="C420" s="7">
        <v>4.4000000000000004</v>
      </c>
      <c r="D420" s="18" t="str">
        <f>[1]!b_info_name(B420)</f>
        <v>16中化化肥SCP003</v>
      </c>
      <c r="E420" s="19" t="str">
        <f>[1]!b_info_latestissurercreditrating(B420)</f>
        <v>AAA</v>
      </c>
      <c r="F420" s="20">
        <f ca="1">[1]!b_anal_day(B420,$A$5)/365</f>
        <v>0</v>
      </c>
      <c r="G420" s="21">
        <f ca="1">[1]!b_anal_yield_cnbd(B420,$A$5)</f>
        <v>0</v>
      </c>
      <c r="H420" s="21">
        <f t="shared" ca="1" si="21"/>
        <v>440.00000000000006</v>
      </c>
      <c r="I420" s="21">
        <f ca="1">[1]!b_anal_yield_cnbd(B420,$A$7)</f>
        <v>0</v>
      </c>
      <c r="J420" s="21">
        <f t="shared" ca="1" si="22"/>
        <v>0</v>
      </c>
      <c r="K420" s="19" t="str">
        <f>[1]!s_info_Nature(B420)</f>
        <v>中央国有企业</v>
      </c>
      <c r="L420" s="19" t="str">
        <f>[1]!b_info_windl1type(B420)</f>
        <v>短期融资券</v>
      </c>
      <c r="M420" s="13">
        <f>[1]!b_info_couponrate(B420)</f>
        <v>2.9</v>
      </c>
      <c r="N420" s="14" t="str">
        <f>[1]!B_Info_ListedDate(B420)</f>
        <v>2016-08-26</v>
      </c>
      <c r="O420" s="14" t="str">
        <f>[1]!b_issue_firstissue(B420)</f>
        <v>2016-08-23</v>
      </c>
      <c r="P420" s="4">
        <f t="shared" ca="1" si="23"/>
        <v>42989</v>
      </c>
    </row>
    <row r="421" spans="2:16">
      <c r="B421" s="7">
        <v>11698343</v>
      </c>
      <c r="C421" s="7">
        <v>4.4000000000000004</v>
      </c>
      <c r="D421" s="18" t="str">
        <f>[1]!b_info_name(B421)</f>
        <v>16中化化肥SCP003</v>
      </c>
      <c r="E421" s="19" t="str">
        <f>[1]!b_info_latestissurercreditrating(B421)</f>
        <v>AAA</v>
      </c>
      <c r="F421" s="20">
        <f ca="1">[1]!b_anal_day(B421,$A$5)/365</f>
        <v>0</v>
      </c>
      <c r="G421" s="21">
        <f ca="1">[1]!b_anal_yield_cnbd(B421,$A$5)</f>
        <v>0</v>
      </c>
      <c r="H421" s="21">
        <f t="shared" ca="1" si="21"/>
        <v>440.00000000000006</v>
      </c>
      <c r="I421" s="21">
        <f ca="1">[1]!b_anal_yield_cnbd(B421,$A$7)</f>
        <v>0</v>
      </c>
      <c r="J421" s="21">
        <f t="shared" ca="1" si="22"/>
        <v>0</v>
      </c>
      <c r="K421" s="19" t="str">
        <f>[1]!s_info_Nature(B421)</f>
        <v>中央国有企业</v>
      </c>
      <c r="L421" s="19" t="str">
        <f>[1]!b_info_windl1type(B421)</f>
        <v>短期融资券</v>
      </c>
      <c r="M421" s="13">
        <f>[1]!b_info_couponrate(B421)</f>
        <v>2.9</v>
      </c>
      <c r="N421" s="14" t="str">
        <f>[1]!B_Info_ListedDate(B421)</f>
        <v>2016-08-26</v>
      </c>
      <c r="O421" s="14" t="str">
        <f>[1]!b_issue_firstissue(B421)</f>
        <v>2016-08-23</v>
      </c>
      <c r="P421" s="4">
        <f t="shared" ca="1" si="23"/>
        <v>42989</v>
      </c>
    </row>
    <row r="422" spans="2:16">
      <c r="B422" s="7">
        <v>11698343</v>
      </c>
      <c r="C422" s="7">
        <v>4.4000000000000004</v>
      </c>
      <c r="D422" s="18" t="str">
        <f>[1]!b_info_name(B422)</f>
        <v>16中化化肥SCP003</v>
      </c>
      <c r="E422" s="19" t="str">
        <f>[1]!b_info_latestissurercreditrating(B422)</f>
        <v>AAA</v>
      </c>
      <c r="F422" s="20">
        <f ca="1">[1]!b_anal_day(B422,$A$5)/365</f>
        <v>0</v>
      </c>
      <c r="G422" s="21">
        <f ca="1">[1]!b_anal_yield_cnbd(B422,$A$5)</f>
        <v>0</v>
      </c>
      <c r="H422" s="21">
        <f t="shared" ca="1" si="21"/>
        <v>440.00000000000006</v>
      </c>
      <c r="I422" s="21">
        <f ca="1">[1]!b_anal_yield_cnbd(B422,$A$7)</f>
        <v>0</v>
      </c>
      <c r="J422" s="21">
        <f t="shared" ca="1" si="22"/>
        <v>0</v>
      </c>
      <c r="K422" s="19" t="str">
        <f>[1]!s_info_Nature(B422)</f>
        <v>中央国有企业</v>
      </c>
      <c r="L422" s="19" t="str">
        <f>[1]!b_info_windl1type(B422)</f>
        <v>短期融资券</v>
      </c>
      <c r="M422" s="13">
        <f>[1]!b_info_couponrate(B422)</f>
        <v>2.9</v>
      </c>
      <c r="N422" s="14" t="str">
        <f>[1]!B_Info_ListedDate(B422)</f>
        <v>2016-08-26</v>
      </c>
      <c r="O422" s="14" t="str">
        <f>[1]!b_issue_firstissue(B422)</f>
        <v>2016-08-23</v>
      </c>
      <c r="P422" s="4">
        <f t="shared" ca="1" si="23"/>
        <v>42989</v>
      </c>
    </row>
    <row r="423" spans="2:16">
      <c r="B423" s="7">
        <v>11698985</v>
      </c>
      <c r="C423" s="7">
        <v>4.38</v>
      </c>
      <c r="D423" s="18" t="str">
        <f>[1]!b_info_name(B423)</f>
        <v>16华侨城SCP006</v>
      </c>
      <c r="E423" s="19" t="str">
        <f>[1]!b_info_latestissurercreditrating(B423)</f>
        <v>AAA</v>
      </c>
      <c r="F423" s="20">
        <f ca="1">[1]!b_anal_day(B423,$A$5)/365</f>
        <v>0</v>
      </c>
      <c r="G423" s="21">
        <f ca="1">[1]!b_anal_yield_cnbd(B423,$A$5)</f>
        <v>0</v>
      </c>
      <c r="H423" s="21">
        <f t="shared" ca="1" si="21"/>
        <v>438</v>
      </c>
      <c r="I423" s="21">
        <f ca="1">[1]!b_anal_yield_cnbd(B423,$A$7)</f>
        <v>0</v>
      </c>
      <c r="J423" s="21">
        <f t="shared" ca="1" si="22"/>
        <v>0</v>
      </c>
      <c r="K423" s="19" t="str">
        <f>[1]!s_info_Nature(B423)</f>
        <v>中央国有企业</v>
      </c>
      <c r="L423" s="19" t="str">
        <f>[1]!b_info_windl1type(B423)</f>
        <v>短期融资券</v>
      </c>
      <c r="M423" s="13">
        <f>[1]!b_info_couponrate(B423)</f>
        <v>3.7</v>
      </c>
      <c r="N423" s="14" t="str">
        <f>[1]!B_Info_ListedDate(B423)</f>
        <v>2016-12-09</v>
      </c>
      <c r="O423" s="14" t="str">
        <f>[1]!b_issue_firstissue(B423)</f>
        <v>2016-12-06</v>
      </c>
      <c r="P423" s="4">
        <f t="shared" ca="1" si="23"/>
        <v>42989</v>
      </c>
    </row>
    <row r="424" spans="2:16">
      <c r="B424" s="7">
        <v>160213</v>
      </c>
      <c r="C424" s="7">
        <v>4.3650000000000002</v>
      </c>
      <c r="D424" s="18" t="str">
        <f>[1]!b_info_name(B424)</f>
        <v>16国开13</v>
      </c>
      <c r="E424" s="19">
        <f>[1]!b_info_latestissurercreditrating(B424)</f>
        <v>0</v>
      </c>
      <c r="F424" s="20">
        <f ca="1">[1]!b_anal_day(B424,$A$5)/365</f>
        <v>8.9616438356164387</v>
      </c>
      <c r="G424" s="21">
        <f ca="1">[1]!b_anal_yield_cnbd(B424,$A$5)</f>
        <v>0</v>
      </c>
      <c r="H424" s="21">
        <f t="shared" ca="1" si="21"/>
        <v>436.5</v>
      </c>
      <c r="I424" s="21">
        <f ca="1">[1]!b_anal_yield_cnbd(B424,$A$7)</f>
        <v>0</v>
      </c>
      <c r="J424" s="21">
        <f t="shared" ca="1" si="22"/>
        <v>0</v>
      </c>
      <c r="K424" s="19" t="str">
        <f>[1]!s_info_Nature(B424)</f>
        <v>中央国有企业</v>
      </c>
      <c r="L424" s="19" t="str">
        <f>[1]!b_info_windl1type(B424)</f>
        <v>金融债</v>
      </c>
      <c r="M424" s="13">
        <f>[1]!b_info_couponrate(B424)</f>
        <v>3.05</v>
      </c>
      <c r="N424" s="14" t="str">
        <f>[1]!B_Info_ListedDate(B424)</f>
        <v>2016-08-29</v>
      </c>
      <c r="O424" s="14" t="str">
        <f>[1]!b_issue_firstissue(B424)</f>
        <v>2016-08-23</v>
      </c>
      <c r="P424" s="4">
        <f t="shared" ca="1" si="23"/>
        <v>42989</v>
      </c>
    </row>
    <row r="425" spans="2:16">
      <c r="B425" s="7">
        <v>160213</v>
      </c>
      <c r="C425" s="7">
        <v>4.3650000000000002</v>
      </c>
      <c r="D425" s="18" t="str">
        <f>[1]!b_info_name(B425)</f>
        <v>16国开13</v>
      </c>
      <c r="E425" s="19">
        <f>[1]!b_info_latestissurercreditrating(B425)</f>
        <v>0</v>
      </c>
      <c r="F425" s="20">
        <f ca="1">[1]!b_anal_day(B425,$A$5)/365</f>
        <v>8.9616438356164387</v>
      </c>
      <c r="G425" s="21">
        <f ca="1">[1]!b_anal_yield_cnbd(B425,$A$5)</f>
        <v>0</v>
      </c>
      <c r="H425" s="21">
        <f t="shared" ca="1" si="21"/>
        <v>436.5</v>
      </c>
      <c r="I425" s="21">
        <f ca="1">[1]!b_anal_yield_cnbd(B425,$A$7)</f>
        <v>0</v>
      </c>
      <c r="J425" s="21">
        <f t="shared" ca="1" si="22"/>
        <v>0</v>
      </c>
      <c r="K425" s="19" t="str">
        <f>[1]!s_info_Nature(B425)</f>
        <v>中央国有企业</v>
      </c>
      <c r="L425" s="19" t="str">
        <f>[1]!b_info_windl1type(B425)</f>
        <v>金融债</v>
      </c>
      <c r="M425" s="13">
        <f>[1]!b_info_couponrate(B425)</f>
        <v>3.05</v>
      </c>
      <c r="N425" s="14" t="str">
        <f>[1]!B_Info_ListedDate(B425)</f>
        <v>2016-08-29</v>
      </c>
      <c r="O425" s="14" t="str">
        <f>[1]!b_issue_firstissue(B425)</f>
        <v>2016-08-23</v>
      </c>
      <c r="P425" s="4">
        <f t="shared" ca="1" si="23"/>
        <v>42989</v>
      </c>
    </row>
    <row r="426" spans="2:16">
      <c r="B426" s="7">
        <v>160213</v>
      </c>
      <c r="C426" s="7">
        <v>4.3650000000000002</v>
      </c>
      <c r="D426" s="18" t="str">
        <f>[1]!b_info_name(B426)</f>
        <v>16国开13</v>
      </c>
      <c r="E426" s="19">
        <f>[1]!b_info_latestissurercreditrating(B426)</f>
        <v>0</v>
      </c>
      <c r="F426" s="20">
        <f ca="1">[1]!b_anal_day(B426,$A$5)/365</f>
        <v>8.9616438356164387</v>
      </c>
      <c r="G426" s="21">
        <f ca="1">[1]!b_anal_yield_cnbd(B426,$A$5)</f>
        <v>0</v>
      </c>
      <c r="H426" s="21">
        <f t="shared" ca="1" si="21"/>
        <v>436.5</v>
      </c>
      <c r="I426" s="21">
        <f ca="1">[1]!b_anal_yield_cnbd(B426,$A$7)</f>
        <v>0</v>
      </c>
      <c r="J426" s="21">
        <f t="shared" ca="1" si="22"/>
        <v>0</v>
      </c>
      <c r="K426" s="19" t="str">
        <f>[1]!s_info_Nature(B426)</f>
        <v>中央国有企业</v>
      </c>
      <c r="L426" s="19" t="str">
        <f>[1]!b_info_windl1type(B426)</f>
        <v>金融债</v>
      </c>
      <c r="M426" s="13">
        <f>[1]!b_info_couponrate(B426)</f>
        <v>3.05</v>
      </c>
      <c r="N426" s="14" t="str">
        <f>[1]!B_Info_ListedDate(B426)</f>
        <v>2016-08-29</v>
      </c>
      <c r="O426" s="14" t="str">
        <f>[1]!b_issue_firstissue(B426)</f>
        <v>2016-08-23</v>
      </c>
      <c r="P426" s="4">
        <f t="shared" ca="1" si="23"/>
        <v>42989</v>
      </c>
    </row>
    <row r="427" spans="2:16">
      <c r="B427" s="7">
        <v>160213</v>
      </c>
      <c r="C427" s="7">
        <v>4.3650000000000002</v>
      </c>
      <c r="D427" s="18" t="str">
        <f>[1]!b_info_name(B427)</f>
        <v>16国开13</v>
      </c>
      <c r="E427" s="19">
        <f>[1]!b_info_latestissurercreditrating(B427)</f>
        <v>0</v>
      </c>
      <c r="F427" s="20">
        <f ca="1">[1]!b_anal_day(B427,$A$5)/365</f>
        <v>8.9616438356164387</v>
      </c>
      <c r="G427" s="21">
        <f ca="1">[1]!b_anal_yield_cnbd(B427,$A$5)</f>
        <v>0</v>
      </c>
      <c r="H427" s="21">
        <f t="shared" ca="1" si="21"/>
        <v>436.5</v>
      </c>
      <c r="I427" s="21">
        <f ca="1">[1]!b_anal_yield_cnbd(B427,$A$7)</f>
        <v>0</v>
      </c>
      <c r="J427" s="21">
        <f t="shared" ca="1" si="22"/>
        <v>0</v>
      </c>
      <c r="K427" s="19" t="str">
        <f>[1]!s_info_Nature(B427)</f>
        <v>中央国有企业</v>
      </c>
      <c r="L427" s="19" t="str">
        <f>[1]!b_info_windl1type(B427)</f>
        <v>金融债</v>
      </c>
      <c r="M427" s="13">
        <f>[1]!b_info_couponrate(B427)</f>
        <v>3.05</v>
      </c>
      <c r="N427" s="14" t="str">
        <f>[1]!B_Info_ListedDate(B427)</f>
        <v>2016-08-29</v>
      </c>
      <c r="O427" s="14" t="str">
        <f>[1]!b_issue_firstissue(B427)</f>
        <v>2016-08-23</v>
      </c>
      <c r="P427" s="4">
        <f t="shared" ca="1" si="23"/>
        <v>42989</v>
      </c>
    </row>
    <row r="428" spans="2:16">
      <c r="B428" s="7">
        <v>160213</v>
      </c>
      <c r="C428" s="7">
        <v>4.3624999999999998</v>
      </c>
      <c r="D428" s="18" t="str">
        <f>[1]!b_info_name(B428)</f>
        <v>16国开13</v>
      </c>
      <c r="E428" s="19">
        <f>[1]!b_info_latestissurercreditrating(B428)</f>
        <v>0</v>
      </c>
      <c r="F428" s="20">
        <f ca="1">[1]!b_anal_day(B428,$A$5)/365</f>
        <v>8.9616438356164387</v>
      </c>
      <c r="G428" s="21">
        <f ca="1">[1]!b_anal_yield_cnbd(B428,$A$5)</f>
        <v>0</v>
      </c>
      <c r="H428" s="21">
        <f t="shared" ca="1" si="21"/>
        <v>436.25</v>
      </c>
      <c r="I428" s="21">
        <f ca="1">[1]!b_anal_yield_cnbd(B428,$A$7)</f>
        <v>0</v>
      </c>
      <c r="J428" s="21">
        <f t="shared" ca="1" si="22"/>
        <v>0</v>
      </c>
      <c r="K428" s="19" t="str">
        <f>[1]!s_info_Nature(B428)</f>
        <v>中央国有企业</v>
      </c>
      <c r="L428" s="19" t="str">
        <f>[1]!b_info_windl1type(B428)</f>
        <v>金融债</v>
      </c>
      <c r="M428" s="13">
        <f>[1]!b_info_couponrate(B428)</f>
        <v>3.05</v>
      </c>
      <c r="N428" s="14" t="str">
        <f>[1]!B_Info_ListedDate(B428)</f>
        <v>2016-08-29</v>
      </c>
      <c r="O428" s="14" t="str">
        <f>[1]!b_issue_firstissue(B428)</f>
        <v>2016-08-23</v>
      </c>
      <c r="P428" s="4">
        <f t="shared" ca="1" si="23"/>
        <v>42989</v>
      </c>
    </row>
    <row r="429" spans="2:16">
      <c r="B429" s="7">
        <v>160213</v>
      </c>
      <c r="C429" s="7">
        <v>4.3624999999999998</v>
      </c>
      <c r="D429" s="18" t="str">
        <f>[1]!b_info_name(B429)</f>
        <v>16国开13</v>
      </c>
      <c r="E429" s="19">
        <f>[1]!b_info_latestissurercreditrating(B429)</f>
        <v>0</v>
      </c>
      <c r="F429" s="20">
        <f ca="1">[1]!b_anal_day(B429,$A$5)/365</f>
        <v>8.9616438356164387</v>
      </c>
      <c r="G429" s="21">
        <f ca="1">[1]!b_anal_yield_cnbd(B429,$A$5)</f>
        <v>0</v>
      </c>
      <c r="H429" s="21">
        <f t="shared" ca="1" si="21"/>
        <v>436.25</v>
      </c>
      <c r="I429" s="21">
        <f ca="1">[1]!b_anal_yield_cnbd(B429,$A$7)</f>
        <v>0</v>
      </c>
      <c r="J429" s="21">
        <f t="shared" ca="1" si="22"/>
        <v>0</v>
      </c>
      <c r="K429" s="19" t="str">
        <f>[1]!s_info_Nature(B429)</f>
        <v>中央国有企业</v>
      </c>
      <c r="L429" s="19" t="str">
        <f>[1]!b_info_windl1type(B429)</f>
        <v>金融债</v>
      </c>
      <c r="M429" s="13">
        <f>[1]!b_info_couponrate(B429)</f>
        <v>3.05</v>
      </c>
      <c r="N429" s="14" t="str">
        <f>[1]!B_Info_ListedDate(B429)</f>
        <v>2016-08-29</v>
      </c>
      <c r="O429" s="14" t="str">
        <f>[1]!b_issue_firstissue(B429)</f>
        <v>2016-08-23</v>
      </c>
      <c r="P429" s="4">
        <f t="shared" ca="1" si="23"/>
        <v>42989</v>
      </c>
    </row>
    <row r="430" spans="2:16">
      <c r="B430" s="7">
        <v>160213</v>
      </c>
      <c r="C430" s="7">
        <v>4.3624999999999998</v>
      </c>
      <c r="D430" s="18" t="str">
        <f>[1]!b_info_name(B430)</f>
        <v>16国开13</v>
      </c>
      <c r="E430" s="19">
        <f>[1]!b_info_latestissurercreditrating(B430)</f>
        <v>0</v>
      </c>
      <c r="F430" s="20">
        <f ca="1">[1]!b_anal_day(B430,$A$5)/365</f>
        <v>8.9616438356164387</v>
      </c>
      <c r="G430" s="21">
        <f ca="1">[1]!b_anal_yield_cnbd(B430,$A$5)</f>
        <v>0</v>
      </c>
      <c r="H430" s="21">
        <f t="shared" ca="1" si="21"/>
        <v>436.25</v>
      </c>
      <c r="I430" s="21">
        <f ca="1">[1]!b_anal_yield_cnbd(B430,$A$7)</f>
        <v>0</v>
      </c>
      <c r="J430" s="21">
        <f t="shared" ca="1" si="22"/>
        <v>0</v>
      </c>
      <c r="K430" s="19" t="str">
        <f>[1]!s_info_Nature(B430)</f>
        <v>中央国有企业</v>
      </c>
      <c r="L430" s="19" t="str">
        <f>[1]!b_info_windl1type(B430)</f>
        <v>金融债</v>
      </c>
      <c r="M430" s="13">
        <f>[1]!b_info_couponrate(B430)</f>
        <v>3.05</v>
      </c>
      <c r="N430" s="14" t="str">
        <f>[1]!B_Info_ListedDate(B430)</f>
        <v>2016-08-29</v>
      </c>
      <c r="O430" s="14" t="str">
        <f>[1]!b_issue_firstissue(B430)</f>
        <v>2016-08-23</v>
      </c>
      <c r="P430" s="4">
        <f t="shared" ca="1" si="23"/>
        <v>42989</v>
      </c>
    </row>
    <row r="431" spans="2:16">
      <c r="B431" s="7">
        <v>160213</v>
      </c>
      <c r="C431" s="7">
        <v>4.3624999999999998</v>
      </c>
      <c r="D431" s="18" t="str">
        <f>[1]!b_info_name(B431)</f>
        <v>16国开13</v>
      </c>
      <c r="E431" s="19">
        <f>[1]!b_info_latestissurercreditrating(B431)</f>
        <v>0</v>
      </c>
      <c r="F431" s="20">
        <f ca="1">[1]!b_anal_day(B431,$A$5)/365</f>
        <v>8.9616438356164387</v>
      </c>
      <c r="G431" s="21">
        <f ca="1">[1]!b_anal_yield_cnbd(B431,$A$5)</f>
        <v>0</v>
      </c>
      <c r="H431" s="21">
        <f t="shared" ca="1" si="21"/>
        <v>436.25</v>
      </c>
      <c r="I431" s="21">
        <f ca="1">[1]!b_anal_yield_cnbd(B431,$A$7)</f>
        <v>0</v>
      </c>
      <c r="J431" s="21">
        <f t="shared" ca="1" si="22"/>
        <v>0</v>
      </c>
      <c r="K431" s="19" t="str">
        <f>[1]!s_info_Nature(B431)</f>
        <v>中央国有企业</v>
      </c>
      <c r="L431" s="19" t="str">
        <f>[1]!b_info_windl1type(B431)</f>
        <v>金融债</v>
      </c>
      <c r="M431" s="13">
        <f>[1]!b_info_couponrate(B431)</f>
        <v>3.05</v>
      </c>
      <c r="N431" s="14" t="str">
        <f>[1]!B_Info_ListedDate(B431)</f>
        <v>2016-08-29</v>
      </c>
      <c r="O431" s="14" t="str">
        <f>[1]!b_issue_firstissue(B431)</f>
        <v>2016-08-23</v>
      </c>
      <c r="P431" s="4">
        <f t="shared" ca="1" si="23"/>
        <v>42989</v>
      </c>
    </row>
    <row r="432" spans="2:16">
      <c r="B432" s="7">
        <v>160213</v>
      </c>
      <c r="C432" s="7">
        <v>4.3624999999999998</v>
      </c>
      <c r="D432" s="18" t="str">
        <f>[1]!b_info_name(B432)</f>
        <v>16国开13</v>
      </c>
      <c r="E432" s="19">
        <f>[1]!b_info_latestissurercreditrating(B432)</f>
        <v>0</v>
      </c>
      <c r="F432" s="20">
        <f ca="1">[1]!b_anal_day(B432,$A$5)/365</f>
        <v>8.9616438356164387</v>
      </c>
      <c r="G432" s="21">
        <f ca="1">[1]!b_anal_yield_cnbd(B432,$A$5)</f>
        <v>0</v>
      </c>
      <c r="H432" s="21">
        <f t="shared" ca="1" si="21"/>
        <v>436.25</v>
      </c>
      <c r="I432" s="21">
        <f ca="1">[1]!b_anal_yield_cnbd(B432,$A$7)</f>
        <v>0</v>
      </c>
      <c r="J432" s="21">
        <f t="shared" ca="1" si="22"/>
        <v>0</v>
      </c>
      <c r="K432" s="19" t="str">
        <f>[1]!s_info_Nature(B432)</f>
        <v>中央国有企业</v>
      </c>
      <c r="L432" s="19" t="str">
        <f>[1]!b_info_windl1type(B432)</f>
        <v>金融债</v>
      </c>
      <c r="M432" s="13">
        <f>[1]!b_info_couponrate(B432)</f>
        <v>3.05</v>
      </c>
      <c r="N432" s="14" t="str">
        <f>[1]!B_Info_ListedDate(B432)</f>
        <v>2016-08-29</v>
      </c>
      <c r="O432" s="14" t="str">
        <f>[1]!b_issue_firstissue(B432)</f>
        <v>2016-08-23</v>
      </c>
      <c r="P432" s="4">
        <f t="shared" ca="1" si="23"/>
        <v>42989</v>
      </c>
    </row>
    <row r="433" spans="2:16">
      <c r="B433" s="7">
        <v>160213</v>
      </c>
      <c r="C433" s="7">
        <v>4.3624999999999998</v>
      </c>
      <c r="D433" s="18" t="str">
        <f>[1]!b_info_name(B433)</f>
        <v>16国开13</v>
      </c>
      <c r="E433" s="19">
        <f>[1]!b_info_latestissurercreditrating(B433)</f>
        <v>0</v>
      </c>
      <c r="F433" s="20">
        <f ca="1">[1]!b_anal_day(B433,$A$5)/365</f>
        <v>8.9616438356164387</v>
      </c>
      <c r="G433" s="21">
        <f ca="1">[1]!b_anal_yield_cnbd(B433,$A$5)</f>
        <v>0</v>
      </c>
      <c r="H433" s="21">
        <f t="shared" ca="1" si="21"/>
        <v>436.25</v>
      </c>
      <c r="I433" s="21">
        <f ca="1">[1]!b_anal_yield_cnbd(B433,$A$7)</f>
        <v>0</v>
      </c>
      <c r="J433" s="21">
        <f t="shared" ca="1" si="22"/>
        <v>0</v>
      </c>
      <c r="K433" s="19" t="str">
        <f>[1]!s_info_Nature(B433)</f>
        <v>中央国有企业</v>
      </c>
      <c r="L433" s="19" t="str">
        <f>[1]!b_info_windl1type(B433)</f>
        <v>金融债</v>
      </c>
      <c r="M433" s="13">
        <f>[1]!b_info_couponrate(B433)</f>
        <v>3.05</v>
      </c>
      <c r="N433" s="14" t="str">
        <f>[1]!B_Info_ListedDate(B433)</f>
        <v>2016-08-29</v>
      </c>
      <c r="O433" s="14" t="str">
        <f>[1]!b_issue_firstissue(B433)</f>
        <v>2016-08-23</v>
      </c>
      <c r="P433" s="4">
        <f t="shared" ca="1" si="23"/>
        <v>42989</v>
      </c>
    </row>
    <row r="434" spans="2:16">
      <c r="B434" s="7">
        <v>160213</v>
      </c>
      <c r="C434" s="7">
        <v>4.3624999999999998</v>
      </c>
      <c r="D434" s="18" t="str">
        <f>[1]!b_info_name(B434)</f>
        <v>16国开13</v>
      </c>
      <c r="E434" s="19">
        <f>[1]!b_info_latestissurercreditrating(B434)</f>
        <v>0</v>
      </c>
      <c r="F434" s="20">
        <f ca="1">[1]!b_anal_day(B434,$A$5)/365</f>
        <v>8.9616438356164387</v>
      </c>
      <c r="G434" s="21">
        <f ca="1">[1]!b_anal_yield_cnbd(B434,$A$5)</f>
        <v>0</v>
      </c>
      <c r="H434" s="21">
        <f t="shared" ca="1" si="21"/>
        <v>436.25</v>
      </c>
      <c r="I434" s="21">
        <f ca="1">[1]!b_anal_yield_cnbd(B434,$A$7)</f>
        <v>0</v>
      </c>
      <c r="J434" s="21">
        <f t="shared" ca="1" si="22"/>
        <v>0</v>
      </c>
      <c r="K434" s="19" t="str">
        <f>[1]!s_info_Nature(B434)</f>
        <v>中央国有企业</v>
      </c>
      <c r="L434" s="19" t="str">
        <f>[1]!b_info_windl1type(B434)</f>
        <v>金融债</v>
      </c>
      <c r="M434" s="13">
        <f>[1]!b_info_couponrate(B434)</f>
        <v>3.05</v>
      </c>
      <c r="N434" s="14" t="str">
        <f>[1]!B_Info_ListedDate(B434)</f>
        <v>2016-08-29</v>
      </c>
      <c r="O434" s="14" t="str">
        <f>[1]!b_issue_firstissue(B434)</f>
        <v>2016-08-23</v>
      </c>
      <c r="P434" s="4">
        <f t="shared" ca="1" si="23"/>
        <v>42989</v>
      </c>
    </row>
    <row r="435" spans="2:16">
      <c r="B435" s="7">
        <v>11754055</v>
      </c>
      <c r="C435" s="7">
        <v>4.3600000000000003</v>
      </c>
      <c r="D435" s="18" t="str">
        <f>[1]!b_info_name(B435)</f>
        <v>17中电投SCP007</v>
      </c>
      <c r="E435" s="19" t="str">
        <f>[1]!b_info_latestissurercreditrating(B435)</f>
        <v>AAA</v>
      </c>
      <c r="F435" s="20">
        <f ca="1">[1]!b_anal_day(B435,$A$5)/365</f>
        <v>0.32602739726027397</v>
      </c>
      <c r="G435" s="21">
        <f ca="1">[1]!b_anal_yield_cnbd(B435,$A$5)</f>
        <v>0</v>
      </c>
      <c r="H435" s="21">
        <f t="shared" ca="1" si="21"/>
        <v>436.00000000000006</v>
      </c>
      <c r="I435" s="21">
        <f ca="1">[1]!b_anal_yield_cnbd(B435,$A$7)</f>
        <v>0</v>
      </c>
      <c r="J435" s="21">
        <f t="shared" ca="1" si="22"/>
        <v>0</v>
      </c>
      <c r="K435" s="19" t="str">
        <f>[1]!s_info_Nature(B435)</f>
        <v>中央国有企业</v>
      </c>
      <c r="L435" s="19" t="str">
        <f>[1]!b_info_windl1type(B435)</f>
        <v>短期融资券</v>
      </c>
      <c r="M435" s="13">
        <f>[1]!b_info_couponrate(B435)</f>
        <v>4.0199999999999996</v>
      </c>
      <c r="N435" s="14" t="str">
        <f>[1]!B_Info_ListedDate(B435)</f>
        <v>2017-04-13</v>
      </c>
      <c r="O435" s="14" t="str">
        <f>[1]!b_issue_firstissue(B435)</f>
        <v>2017-04-11</v>
      </c>
      <c r="P435" s="4">
        <f t="shared" ca="1" si="23"/>
        <v>42989</v>
      </c>
    </row>
    <row r="436" spans="2:16">
      <c r="B436" s="7">
        <v>150412</v>
      </c>
      <c r="C436" s="7">
        <v>4.3600000000000003</v>
      </c>
      <c r="D436" s="18" t="str">
        <f>[1]!b_info_name(B436)</f>
        <v>15农发12</v>
      </c>
      <c r="E436" s="19">
        <f>[1]!b_info_latestissurercreditrating(B436)</f>
        <v>0</v>
      </c>
      <c r="F436" s="20">
        <f ca="1">[1]!b_anal_day(B436,$A$5)/365</f>
        <v>4.6493150684931503</v>
      </c>
      <c r="G436" s="21">
        <f ca="1">[1]!b_anal_yield_cnbd(B436,$A$5)</f>
        <v>0</v>
      </c>
      <c r="H436" s="21">
        <f t="shared" ca="1" si="21"/>
        <v>436.00000000000006</v>
      </c>
      <c r="I436" s="21">
        <f ca="1">[1]!b_anal_yield_cnbd(B436,$A$7)</f>
        <v>0</v>
      </c>
      <c r="J436" s="21">
        <f t="shared" ca="1" si="22"/>
        <v>0</v>
      </c>
      <c r="K436" s="19" t="str">
        <f>[1]!s_info_Nature(B436)</f>
        <v>中央国有企业</v>
      </c>
      <c r="L436" s="19" t="str">
        <f>[1]!b_info_windl1type(B436)</f>
        <v>金融债</v>
      </c>
      <c r="M436" s="13">
        <f>[1]!b_info_couponrate(B436)</f>
        <v>4.18</v>
      </c>
      <c r="N436" s="14" t="str">
        <f>[1]!B_Info_ListedDate(B436)</f>
        <v>2015-05-08</v>
      </c>
      <c r="O436" s="14" t="str">
        <f>[1]!b_issue_firstissue(B436)</f>
        <v>2015-04-29</v>
      </c>
      <c r="P436" s="4">
        <f t="shared" ca="1" si="23"/>
        <v>42989</v>
      </c>
    </row>
    <row r="437" spans="2:16">
      <c r="B437" s="7">
        <v>160213</v>
      </c>
      <c r="C437" s="7">
        <v>4.3600000000000003</v>
      </c>
      <c r="D437" s="18" t="str">
        <f>[1]!b_info_name(B437)</f>
        <v>16国开13</v>
      </c>
      <c r="E437" s="19">
        <f>[1]!b_info_latestissurercreditrating(B437)</f>
        <v>0</v>
      </c>
      <c r="F437" s="20">
        <f ca="1">[1]!b_anal_day(B437,$A$5)/365</f>
        <v>8.9616438356164387</v>
      </c>
      <c r="G437" s="21">
        <f ca="1">[1]!b_anal_yield_cnbd(B437,$A$5)</f>
        <v>0</v>
      </c>
      <c r="H437" s="21">
        <f t="shared" ca="1" si="21"/>
        <v>436.00000000000006</v>
      </c>
      <c r="I437" s="21">
        <f ca="1">[1]!b_anal_yield_cnbd(B437,$A$7)</f>
        <v>0</v>
      </c>
      <c r="J437" s="21">
        <f t="shared" ca="1" si="22"/>
        <v>0</v>
      </c>
      <c r="K437" s="19" t="str">
        <f>[1]!s_info_Nature(B437)</f>
        <v>中央国有企业</v>
      </c>
      <c r="L437" s="19" t="str">
        <f>[1]!b_info_windl1type(B437)</f>
        <v>金融债</v>
      </c>
      <c r="M437" s="13">
        <f>[1]!b_info_couponrate(B437)</f>
        <v>3.05</v>
      </c>
      <c r="N437" s="14" t="str">
        <f>[1]!B_Info_ListedDate(B437)</f>
        <v>2016-08-29</v>
      </c>
      <c r="O437" s="14" t="str">
        <f>[1]!b_issue_firstissue(B437)</f>
        <v>2016-08-23</v>
      </c>
      <c r="P437" s="4">
        <f t="shared" ca="1" si="23"/>
        <v>42989</v>
      </c>
    </row>
    <row r="438" spans="2:16">
      <c r="B438" s="7">
        <v>160213</v>
      </c>
      <c r="C438" s="7">
        <v>4.3600000000000003</v>
      </c>
      <c r="D438" s="18" t="str">
        <f>[1]!b_info_name(B438)</f>
        <v>16国开13</v>
      </c>
      <c r="E438" s="19">
        <f>[1]!b_info_latestissurercreditrating(B438)</f>
        <v>0</v>
      </c>
      <c r="F438" s="20">
        <f ca="1">[1]!b_anal_day(B438,$A$5)/365</f>
        <v>8.9616438356164387</v>
      </c>
      <c r="G438" s="21">
        <f ca="1">[1]!b_anal_yield_cnbd(B438,$A$5)</f>
        <v>0</v>
      </c>
      <c r="H438" s="21">
        <f t="shared" ca="1" si="21"/>
        <v>436.00000000000006</v>
      </c>
      <c r="I438" s="21">
        <f ca="1">[1]!b_anal_yield_cnbd(B438,$A$7)</f>
        <v>0</v>
      </c>
      <c r="J438" s="21">
        <f t="shared" ca="1" si="22"/>
        <v>0</v>
      </c>
      <c r="K438" s="19" t="str">
        <f>[1]!s_info_Nature(B438)</f>
        <v>中央国有企业</v>
      </c>
      <c r="L438" s="19" t="str">
        <f>[1]!b_info_windl1type(B438)</f>
        <v>金融债</v>
      </c>
      <c r="M438" s="13">
        <f>[1]!b_info_couponrate(B438)</f>
        <v>3.05</v>
      </c>
      <c r="N438" s="14" t="str">
        <f>[1]!B_Info_ListedDate(B438)</f>
        <v>2016-08-29</v>
      </c>
      <c r="O438" s="14" t="str">
        <f>[1]!b_issue_firstissue(B438)</f>
        <v>2016-08-23</v>
      </c>
      <c r="P438" s="4">
        <f t="shared" ca="1" si="23"/>
        <v>42989</v>
      </c>
    </row>
    <row r="439" spans="2:16">
      <c r="B439" s="7">
        <v>160213</v>
      </c>
      <c r="C439" s="7">
        <v>4.3600000000000003</v>
      </c>
      <c r="D439" s="18" t="str">
        <f>[1]!b_info_name(B439)</f>
        <v>16国开13</v>
      </c>
      <c r="E439" s="19">
        <f>[1]!b_info_latestissurercreditrating(B439)</f>
        <v>0</v>
      </c>
      <c r="F439" s="20">
        <f ca="1">[1]!b_anal_day(B439,$A$5)/365</f>
        <v>8.9616438356164387</v>
      </c>
      <c r="G439" s="21">
        <f ca="1">[1]!b_anal_yield_cnbd(B439,$A$5)</f>
        <v>0</v>
      </c>
      <c r="H439" s="21">
        <f t="shared" ca="1" si="21"/>
        <v>436.00000000000006</v>
      </c>
      <c r="I439" s="21">
        <f ca="1">[1]!b_anal_yield_cnbd(B439,$A$7)</f>
        <v>0</v>
      </c>
      <c r="J439" s="21">
        <f t="shared" ca="1" si="22"/>
        <v>0</v>
      </c>
      <c r="K439" s="19" t="str">
        <f>[1]!s_info_Nature(B439)</f>
        <v>中央国有企业</v>
      </c>
      <c r="L439" s="19" t="str">
        <f>[1]!b_info_windl1type(B439)</f>
        <v>金融债</v>
      </c>
      <c r="M439" s="13">
        <f>[1]!b_info_couponrate(B439)</f>
        <v>3.05</v>
      </c>
      <c r="N439" s="14" t="str">
        <f>[1]!B_Info_ListedDate(B439)</f>
        <v>2016-08-29</v>
      </c>
      <c r="O439" s="14" t="str">
        <f>[1]!b_issue_firstissue(B439)</f>
        <v>2016-08-23</v>
      </c>
      <c r="P439" s="4">
        <f t="shared" ca="1" si="23"/>
        <v>42989</v>
      </c>
    </row>
    <row r="440" spans="2:16">
      <c r="B440" s="7">
        <v>160213</v>
      </c>
      <c r="C440" s="7">
        <v>4.3600000000000003</v>
      </c>
      <c r="D440" s="18" t="str">
        <f>[1]!b_info_name(B440)</f>
        <v>16国开13</v>
      </c>
      <c r="E440" s="19">
        <f>[1]!b_info_latestissurercreditrating(B440)</f>
        <v>0</v>
      </c>
      <c r="F440" s="20">
        <f ca="1">[1]!b_anal_day(B440,$A$5)/365</f>
        <v>8.9616438356164387</v>
      </c>
      <c r="G440" s="21">
        <f ca="1">[1]!b_anal_yield_cnbd(B440,$A$5)</f>
        <v>0</v>
      </c>
      <c r="H440" s="21">
        <f t="shared" ca="1" si="21"/>
        <v>436.00000000000006</v>
      </c>
      <c r="I440" s="21">
        <f ca="1">[1]!b_anal_yield_cnbd(B440,$A$7)</f>
        <v>0</v>
      </c>
      <c r="J440" s="21">
        <f t="shared" ca="1" si="22"/>
        <v>0</v>
      </c>
      <c r="K440" s="19" t="str">
        <f>[1]!s_info_Nature(B440)</f>
        <v>中央国有企业</v>
      </c>
      <c r="L440" s="19" t="str">
        <f>[1]!b_info_windl1type(B440)</f>
        <v>金融债</v>
      </c>
      <c r="M440" s="13">
        <f>[1]!b_info_couponrate(B440)</f>
        <v>3.05</v>
      </c>
      <c r="N440" s="14" t="str">
        <f>[1]!B_Info_ListedDate(B440)</f>
        <v>2016-08-29</v>
      </c>
      <c r="O440" s="14" t="str">
        <f>[1]!b_issue_firstissue(B440)</f>
        <v>2016-08-23</v>
      </c>
      <c r="P440" s="4">
        <f t="shared" ca="1" si="23"/>
        <v>42989</v>
      </c>
    </row>
    <row r="441" spans="2:16">
      <c r="B441" s="7">
        <v>160213</v>
      </c>
      <c r="C441" s="7">
        <v>4.3600000000000003</v>
      </c>
      <c r="D441" s="18" t="str">
        <f>[1]!b_info_name(B441)</f>
        <v>16国开13</v>
      </c>
      <c r="E441" s="19">
        <f>[1]!b_info_latestissurercreditrating(B441)</f>
        <v>0</v>
      </c>
      <c r="F441" s="20">
        <f ca="1">[1]!b_anal_day(B441,$A$5)/365</f>
        <v>8.9616438356164387</v>
      </c>
      <c r="G441" s="21">
        <f ca="1">[1]!b_anal_yield_cnbd(B441,$A$5)</f>
        <v>0</v>
      </c>
      <c r="H441" s="21">
        <f t="shared" ca="1" si="21"/>
        <v>436.00000000000006</v>
      </c>
      <c r="I441" s="21">
        <f ca="1">[1]!b_anal_yield_cnbd(B441,$A$7)</f>
        <v>0</v>
      </c>
      <c r="J441" s="21">
        <f t="shared" ca="1" si="22"/>
        <v>0</v>
      </c>
      <c r="K441" s="19" t="str">
        <f>[1]!s_info_Nature(B441)</f>
        <v>中央国有企业</v>
      </c>
      <c r="L441" s="19" t="str">
        <f>[1]!b_info_windl1type(B441)</f>
        <v>金融债</v>
      </c>
      <c r="M441" s="13">
        <f>[1]!b_info_couponrate(B441)</f>
        <v>3.05</v>
      </c>
      <c r="N441" s="14" t="str">
        <f>[1]!B_Info_ListedDate(B441)</f>
        <v>2016-08-29</v>
      </c>
      <c r="O441" s="14" t="str">
        <f>[1]!b_issue_firstissue(B441)</f>
        <v>2016-08-23</v>
      </c>
      <c r="P441" s="4">
        <f t="shared" ca="1" si="23"/>
        <v>42989</v>
      </c>
    </row>
    <row r="442" spans="2:16">
      <c r="B442" s="7">
        <v>160213</v>
      </c>
      <c r="C442" s="7">
        <v>4.3600000000000003</v>
      </c>
      <c r="D442" s="18" t="str">
        <f>[1]!b_info_name(B442)</f>
        <v>16国开13</v>
      </c>
      <c r="E442" s="19">
        <f>[1]!b_info_latestissurercreditrating(B442)</f>
        <v>0</v>
      </c>
      <c r="F442" s="20">
        <f ca="1">[1]!b_anal_day(B442,$A$5)/365</f>
        <v>8.9616438356164387</v>
      </c>
      <c r="G442" s="21">
        <f ca="1">[1]!b_anal_yield_cnbd(B442,$A$5)</f>
        <v>0</v>
      </c>
      <c r="H442" s="21">
        <f t="shared" ca="1" si="21"/>
        <v>436.00000000000006</v>
      </c>
      <c r="I442" s="21">
        <f ca="1">[1]!b_anal_yield_cnbd(B442,$A$7)</f>
        <v>0</v>
      </c>
      <c r="J442" s="21">
        <f t="shared" ca="1" si="22"/>
        <v>0</v>
      </c>
      <c r="K442" s="19" t="str">
        <f>[1]!s_info_Nature(B442)</f>
        <v>中央国有企业</v>
      </c>
      <c r="L442" s="19" t="str">
        <f>[1]!b_info_windl1type(B442)</f>
        <v>金融债</v>
      </c>
      <c r="M442" s="13">
        <f>[1]!b_info_couponrate(B442)</f>
        <v>3.05</v>
      </c>
      <c r="N442" s="14" t="str">
        <f>[1]!B_Info_ListedDate(B442)</f>
        <v>2016-08-29</v>
      </c>
      <c r="O442" s="14" t="str">
        <f>[1]!b_issue_firstissue(B442)</f>
        <v>2016-08-23</v>
      </c>
      <c r="P442" s="4">
        <f t="shared" ca="1" si="23"/>
        <v>42989</v>
      </c>
    </row>
    <row r="443" spans="2:16">
      <c r="B443" s="7">
        <v>160213</v>
      </c>
      <c r="C443" s="7">
        <v>4.3600000000000003</v>
      </c>
      <c r="D443" s="18" t="str">
        <f>[1]!b_info_name(B443)</f>
        <v>16国开13</v>
      </c>
      <c r="E443" s="19">
        <f>[1]!b_info_latestissurercreditrating(B443)</f>
        <v>0</v>
      </c>
      <c r="F443" s="20">
        <f ca="1">[1]!b_anal_day(B443,$A$5)/365</f>
        <v>8.9616438356164387</v>
      </c>
      <c r="G443" s="21">
        <f ca="1">[1]!b_anal_yield_cnbd(B443,$A$5)</f>
        <v>0</v>
      </c>
      <c r="H443" s="21">
        <f t="shared" ca="1" si="21"/>
        <v>436.00000000000006</v>
      </c>
      <c r="I443" s="21">
        <f ca="1">[1]!b_anal_yield_cnbd(B443,$A$7)</f>
        <v>0</v>
      </c>
      <c r="J443" s="21">
        <f t="shared" ca="1" si="22"/>
        <v>0</v>
      </c>
      <c r="K443" s="19" t="str">
        <f>[1]!s_info_Nature(B443)</f>
        <v>中央国有企业</v>
      </c>
      <c r="L443" s="19" t="str">
        <f>[1]!b_info_windl1type(B443)</f>
        <v>金融债</v>
      </c>
      <c r="M443" s="13">
        <f>[1]!b_info_couponrate(B443)</f>
        <v>3.05</v>
      </c>
      <c r="N443" s="14" t="str">
        <f>[1]!B_Info_ListedDate(B443)</f>
        <v>2016-08-29</v>
      </c>
      <c r="O443" s="14" t="str">
        <f>[1]!b_issue_firstissue(B443)</f>
        <v>2016-08-23</v>
      </c>
      <c r="P443" s="4">
        <f t="shared" ca="1" si="23"/>
        <v>42989</v>
      </c>
    </row>
    <row r="444" spans="2:16">
      <c r="B444" s="7">
        <v>160213</v>
      </c>
      <c r="C444" s="7">
        <v>4.3600000000000003</v>
      </c>
      <c r="D444" s="18" t="str">
        <f>[1]!b_info_name(B444)</f>
        <v>16国开13</v>
      </c>
      <c r="E444" s="19">
        <f>[1]!b_info_latestissurercreditrating(B444)</f>
        <v>0</v>
      </c>
      <c r="F444" s="20">
        <f ca="1">[1]!b_anal_day(B444,$A$5)/365</f>
        <v>8.9616438356164387</v>
      </c>
      <c r="G444" s="21">
        <f ca="1">[1]!b_anal_yield_cnbd(B444,$A$5)</f>
        <v>0</v>
      </c>
      <c r="H444" s="21">
        <f t="shared" ca="1" si="21"/>
        <v>436.00000000000006</v>
      </c>
      <c r="I444" s="21">
        <f ca="1">[1]!b_anal_yield_cnbd(B444,$A$7)</f>
        <v>0</v>
      </c>
      <c r="J444" s="21">
        <f t="shared" ca="1" si="22"/>
        <v>0</v>
      </c>
      <c r="K444" s="19" t="str">
        <f>[1]!s_info_Nature(B444)</f>
        <v>中央国有企业</v>
      </c>
      <c r="L444" s="19" t="str">
        <f>[1]!b_info_windl1type(B444)</f>
        <v>金融债</v>
      </c>
      <c r="M444" s="13">
        <f>[1]!b_info_couponrate(B444)</f>
        <v>3.05</v>
      </c>
      <c r="N444" s="14" t="str">
        <f>[1]!B_Info_ListedDate(B444)</f>
        <v>2016-08-29</v>
      </c>
      <c r="O444" s="14" t="str">
        <f>[1]!b_issue_firstissue(B444)</f>
        <v>2016-08-23</v>
      </c>
      <c r="P444" s="4">
        <f t="shared" ca="1" si="23"/>
        <v>42989</v>
      </c>
    </row>
    <row r="445" spans="2:16">
      <c r="B445" s="7">
        <v>160213</v>
      </c>
      <c r="C445" s="7">
        <v>4.3600000000000003</v>
      </c>
      <c r="D445" s="18" t="str">
        <f>[1]!b_info_name(B445)</f>
        <v>16国开13</v>
      </c>
      <c r="E445" s="19">
        <f>[1]!b_info_latestissurercreditrating(B445)</f>
        <v>0</v>
      </c>
      <c r="F445" s="20">
        <f ca="1">[1]!b_anal_day(B445,$A$5)/365</f>
        <v>8.9616438356164387</v>
      </c>
      <c r="G445" s="21">
        <f ca="1">[1]!b_anal_yield_cnbd(B445,$A$5)</f>
        <v>0</v>
      </c>
      <c r="H445" s="21">
        <f t="shared" ca="1" si="21"/>
        <v>436.00000000000006</v>
      </c>
      <c r="I445" s="21">
        <f ca="1">[1]!b_anal_yield_cnbd(B445,$A$7)</f>
        <v>0</v>
      </c>
      <c r="J445" s="21">
        <f t="shared" ca="1" si="22"/>
        <v>0</v>
      </c>
      <c r="K445" s="19" t="str">
        <f>[1]!s_info_Nature(B445)</f>
        <v>中央国有企业</v>
      </c>
      <c r="L445" s="19" t="str">
        <f>[1]!b_info_windl1type(B445)</f>
        <v>金融债</v>
      </c>
      <c r="M445" s="13">
        <f>[1]!b_info_couponrate(B445)</f>
        <v>3.05</v>
      </c>
      <c r="N445" s="14" t="str">
        <f>[1]!B_Info_ListedDate(B445)</f>
        <v>2016-08-29</v>
      </c>
      <c r="O445" s="14" t="str">
        <f>[1]!b_issue_firstissue(B445)</f>
        <v>2016-08-23</v>
      </c>
      <c r="P445" s="4">
        <f t="shared" ca="1" si="23"/>
        <v>42989</v>
      </c>
    </row>
    <row r="446" spans="2:16">
      <c r="B446" s="7">
        <v>160213</v>
      </c>
      <c r="C446" s="7">
        <v>4.3600000000000003</v>
      </c>
      <c r="D446" s="18" t="str">
        <f>[1]!b_info_name(B446)</f>
        <v>16国开13</v>
      </c>
      <c r="E446" s="19">
        <f>[1]!b_info_latestissurercreditrating(B446)</f>
        <v>0</v>
      </c>
      <c r="F446" s="20">
        <f ca="1">[1]!b_anal_day(B446,$A$5)/365</f>
        <v>8.9616438356164387</v>
      </c>
      <c r="G446" s="21">
        <f ca="1">[1]!b_anal_yield_cnbd(B446,$A$5)</f>
        <v>0</v>
      </c>
      <c r="H446" s="21">
        <f t="shared" ca="1" si="21"/>
        <v>436.00000000000006</v>
      </c>
      <c r="I446" s="21">
        <f ca="1">[1]!b_anal_yield_cnbd(B446,$A$7)</f>
        <v>0</v>
      </c>
      <c r="J446" s="21">
        <f t="shared" ca="1" si="22"/>
        <v>0</v>
      </c>
      <c r="K446" s="19" t="str">
        <f>[1]!s_info_Nature(B446)</f>
        <v>中央国有企业</v>
      </c>
      <c r="L446" s="19" t="str">
        <f>[1]!b_info_windl1type(B446)</f>
        <v>金融债</v>
      </c>
      <c r="M446" s="13">
        <f>[1]!b_info_couponrate(B446)</f>
        <v>3.05</v>
      </c>
      <c r="N446" s="14" t="str">
        <f>[1]!B_Info_ListedDate(B446)</f>
        <v>2016-08-29</v>
      </c>
      <c r="O446" s="14" t="str">
        <f>[1]!b_issue_firstissue(B446)</f>
        <v>2016-08-23</v>
      </c>
      <c r="P446" s="4">
        <f t="shared" ca="1" si="23"/>
        <v>42989</v>
      </c>
    </row>
    <row r="447" spans="2:16">
      <c r="B447" s="7">
        <v>160213</v>
      </c>
      <c r="C447" s="7">
        <v>4.3600000000000003</v>
      </c>
      <c r="D447" s="18" t="str">
        <f>[1]!b_info_name(B447)</f>
        <v>16国开13</v>
      </c>
      <c r="E447" s="19">
        <f>[1]!b_info_latestissurercreditrating(B447)</f>
        <v>0</v>
      </c>
      <c r="F447" s="20">
        <f ca="1">[1]!b_anal_day(B447,$A$5)/365</f>
        <v>8.9616438356164387</v>
      </c>
      <c r="G447" s="21">
        <f ca="1">[1]!b_anal_yield_cnbd(B447,$A$5)</f>
        <v>0</v>
      </c>
      <c r="H447" s="21">
        <f t="shared" ca="1" si="21"/>
        <v>436.00000000000006</v>
      </c>
      <c r="I447" s="21">
        <f ca="1">[1]!b_anal_yield_cnbd(B447,$A$7)</f>
        <v>0</v>
      </c>
      <c r="J447" s="21">
        <f t="shared" ca="1" si="22"/>
        <v>0</v>
      </c>
      <c r="K447" s="19" t="str">
        <f>[1]!s_info_Nature(B447)</f>
        <v>中央国有企业</v>
      </c>
      <c r="L447" s="19" t="str">
        <f>[1]!b_info_windl1type(B447)</f>
        <v>金融债</v>
      </c>
      <c r="M447" s="13">
        <f>[1]!b_info_couponrate(B447)</f>
        <v>3.05</v>
      </c>
      <c r="N447" s="14" t="str">
        <f>[1]!B_Info_ListedDate(B447)</f>
        <v>2016-08-29</v>
      </c>
      <c r="O447" s="14" t="str">
        <f>[1]!b_issue_firstissue(B447)</f>
        <v>2016-08-23</v>
      </c>
      <c r="P447" s="4">
        <f t="shared" ca="1" si="23"/>
        <v>42989</v>
      </c>
    </row>
    <row r="448" spans="2:16">
      <c r="B448" s="7">
        <v>160213</v>
      </c>
      <c r="C448" s="7">
        <v>4.3600000000000003</v>
      </c>
      <c r="D448" s="18" t="str">
        <f>[1]!b_info_name(B448)</f>
        <v>16国开13</v>
      </c>
      <c r="E448" s="19">
        <f>[1]!b_info_latestissurercreditrating(B448)</f>
        <v>0</v>
      </c>
      <c r="F448" s="20">
        <f ca="1">[1]!b_anal_day(B448,$A$5)/365</f>
        <v>8.9616438356164387</v>
      </c>
      <c r="G448" s="21">
        <f ca="1">[1]!b_anal_yield_cnbd(B448,$A$5)</f>
        <v>0</v>
      </c>
      <c r="H448" s="21">
        <f t="shared" ca="1" si="21"/>
        <v>436.00000000000006</v>
      </c>
      <c r="I448" s="21">
        <f ca="1">[1]!b_anal_yield_cnbd(B448,$A$7)</f>
        <v>0</v>
      </c>
      <c r="J448" s="21">
        <f t="shared" ca="1" si="22"/>
        <v>0</v>
      </c>
      <c r="K448" s="19" t="str">
        <f>[1]!s_info_Nature(B448)</f>
        <v>中央国有企业</v>
      </c>
      <c r="L448" s="19" t="str">
        <f>[1]!b_info_windl1type(B448)</f>
        <v>金融债</v>
      </c>
      <c r="M448" s="13">
        <f>[1]!b_info_couponrate(B448)</f>
        <v>3.05</v>
      </c>
      <c r="N448" s="14" t="str">
        <f>[1]!B_Info_ListedDate(B448)</f>
        <v>2016-08-29</v>
      </c>
      <c r="O448" s="14" t="str">
        <f>[1]!b_issue_firstissue(B448)</f>
        <v>2016-08-23</v>
      </c>
      <c r="P448" s="4">
        <f t="shared" ca="1" si="23"/>
        <v>42989</v>
      </c>
    </row>
    <row r="449" spans="2:16">
      <c r="B449" s="7">
        <v>160213</v>
      </c>
      <c r="C449" s="7">
        <v>4.3600000000000003</v>
      </c>
      <c r="D449" s="18" t="str">
        <f>[1]!b_info_name(B449)</f>
        <v>16国开13</v>
      </c>
      <c r="E449" s="19">
        <f>[1]!b_info_latestissurercreditrating(B449)</f>
        <v>0</v>
      </c>
      <c r="F449" s="20">
        <f ca="1">[1]!b_anal_day(B449,$A$5)/365</f>
        <v>8.9616438356164387</v>
      </c>
      <c r="G449" s="21">
        <f ca="1">[1]!b_anal_yield_cnbd(B449,$A$5)</f>
        <v>0</v>
      </c>
      <c r="H449" s="21">
        <f t="shared" ca="1" si="21"/>
        <v>436.00000000000006</v>
      </c>
      <c r="I449" s="21">
        <f ca="1">[1]!b_anal_yield_cnbd(B449,$A$7)</f>
        <v>0</v>
      </c>
      <c r="J449" s="21">
        <f t="shared" ca="1" si="22"/>
        <v>0</v>
      </c>
      <c r="K449" s="19" t="str">
        <f>[1]!s_info_Nature(B449)</f>
        <v>中央国有企业</v>
      </c>
      <c r="L449" s="19" t="str">
        <f>[1]!b_info_windl1type(B449)</f>
        <v>金融债</v>
      </c>
      <c r="M449" s="13">
        <f>[1]!b_info_couponrate(B449)</f>
        <v>3.05</v>
      </c>
      <c r="N449" s="14" t="str">
        <f>[1]!B_Info_ListedDate(B449)</f>
        <v>2016-08-29</v>
      </c>
      <c r="O449" s="14" t="str">
        <f>[1]!b_issue_firstissue(B449)</f>
        <v>2016-08-23</v>
      </c>
      <c r="P449" s="4">
        <f t="shared" ca="1" si="23"/>
        <v>42989</v>
      </c>
    </row>
    <row r="450" spans="2:16">
      <c r="B450" s="7">
        <v>160213</v>
      </c>
      <c r="C450" s="7">
        <v>4.3600000000000003</v>
      </c>
      <c r="D450" s="18" t="str">
        <f>[1]!b_info_name(B450)</f>
        <v>16国开13</v>
      </c>
      <c r="E450" s="19">
        <f>[1]!b_info_latestissurercreditrating(B450)</f>
        <v>0</v>
      </c>
      <c r="F450" s="20">
        <f ca="1">[1]!b_anal_day(B450,$A$5)/365</f>
        <v>8.9616438356164387</v>
      </c>
      <c r="G450" s="21">
        <f ca="1">[1]!b_anal_yield_cnbd(B450,$A$5)</f>
        <v>0</v>
      </c>
      <c r="H450" s="21">
        <f t="shared" ca="1" si="21"/>
        <v>436.00000000000006</v>
      </c>
      <c r="I450" s="21">
        <f ca="1">[1]!b_anal_yield_cnbd(B450,$A$7)</f>
        <v>0</v>
      </c>
      <c r="J450" s="21">
        <f t="shared" ca="1" si="22"/>
        <v>0</v>
      </c>
      <c r="K450" s="19" t="str">
        <f>[1]!s_info_Nature(B450)</f>
        <v>中央国有企业</v>
      </c>
      <c r="L450" s="19" t="str">
        <f>[1]!b_info_windl1type(B450)</f>
        <v>金融债</v>
      </c>
      <c r="M450" s="13">
        <f>[1]!b_info_couponrate(B450)</f>
        <v>3.05</v>
      </c>
      <c r="N450" s="14" t="str">
        <f>[1]!B_Info_ListedDate(B450)</f>
        <v>2016-08-29</v>
      </c>
      <c r="O450" s="14" t="str">
        <f>[1]!b_issue_firstissue(B450)</f>
        <v>2016-08-23</v>
      </c>
      <c r="P450" s="4">
        <f t="shared" ca="1" si="23"/>
        <v>42989</v>
      </c>
    </row>
    <row r="451" spans="2:16">
      <c r="B451" s="7">
        <v>160213</v>
      </c>
      <c r="C451" s="7">
        <v>4.3600000000000003</v>
      </c>
      <c r="D451" s="18" t="str">
        <f>[1]!b_info_name(B451)</f>
        <v>16国开13</v>
      </c>
      <c r="E451" s="19">
        <f>[1]!b_info_latestissurercreditrating(B451)</f>
        <v>0</v>
      </c>
      <c r="F451" s="20">
        <f ca="1">[1]!b_anal_day(B451,$A$5)/365</f>
        <v>8.9616438356164387</v>
      </c>
      <c r="G451" s="21">
        <f ca="1">[1]!b_anal_yield_cnbd(B451,$A$5)</f>
        <v>0</v>
      </c>
      <c r="H451" s="21">
        <f t="shared" ca="1" si="21"/>
        <v>436.00000000000006</v>
      </c>
      <c r="I451" s="21">
        <f ca="1">[1]!b_anal_yield_cnbd(B451,$A$7)</f>
        <v>0</v>
      </c>
      <c r="J451" s="21">
        <f t="shared" ca="1" si="22"/>
        <v>0</v>
      </c>
      <c r="K451" s="19" t="str">
        <f>[1]!s_info_Nature(B451)</f>
        <v>中央国有企业</v>
      </c>
      <c r="L451" s="19" t="str">
        <f>[1]!b_info_windl1type(B451)</f>
        <v>金融债</v>
      </c>
      <c r="M451" s="13">
        <f>[1]!b_info_couponrate(B451)</f>
        <v>3.05</v>
      </c>
      <c r="N451" s="14" t="str">
        <f>[1]!B_Info_ListedDate(B451)</f>
        <v>2016-08-29</v>
      </c>
      <c r="O451" s="14" t="str">
        <f>[1]!b_issue_firstissue(B451)</f>
        <v>2016-08-23</v>
      </c>
      <c r="P451" s="4">
        <f t="shared" ca="1" si="23"/>
        <v>42989</v>
      </c>
    </row>
    <row r="452" spans="2:16">
      <c r="B452" s="7">
        <v>160213</v>
      </c>
      <c r="C452" s="7">
        <v>4.3600000000000003</v>
      </c>
      <c r="D452" s="18" t="str">
        <f>[1]!b_info_name(B452)</f>
        <v>16国开13</v>
      </c>
      <c r="E452" s="19">
        <f>[1]!b_info_latestissurercreditrating(B452)</f>
        <v>0</v>
      </c>
      <c r="F452" s="20">
        <f ca="1">[1]!b_anal_day(B452,$A$5)/365</f>
        <v>8.9616438356164387</v>
      </c>
      <c r="G452" s="21">
        <f ca="1">[1]!b_anal_yield_cnbd(B452,$A$5)</f>
        <v>0</v>
      </c>
      <c r="H452" s="21">
        <f t="shared" ca="1" si="21"/>
        <v>436.00000000000006</v>
      </c>
      <c r="I452" s="21">
        <f ca="1">[1]!b_anal_yield_cnbd(B452,$A$7)</f>
        <v>0</v>
      </c>
      <c r="J452" s="21">
        <f t="shared" ca="1" si="22"/>
        <v>0</v>
      </c>
      <c r="K452" s="19" t="str">
        <f>[1]!s_info_Nature(B452)</f>
        <v>中央国有企业</v>
      </c>
      <c r="L452" s="19" t="str">
        <f>[1]!b_info_windl1type(B452)</f>
        <v>金融债</v>
      </c>
      <c r="M452" s="13">
        <f>[1]!b_info_couponrate(B452)</f>
        <v>3.05</v>
      </c>
      <c r="N452" s="14" t="str">
        <f>[1]!B_Info_ListedDate(B452)</f>
        <v>2016-08-29</v>
      </c>
      <c r="O452" s="14" t="str">
        <f>[1]!b_issue_firstissue(B452)</f>
        <v>2016-08-23</v>
      </c>
      <c r="P452" s="4">
        <f t="shared" ca="1" si="23"/>
        <v>42989</v>
      </c>
    </row>
    <row r="453" spans="2:16">
      <c r="B453" s="7">
        <v>160213</v>
      </c>
      <c r="C453" s="7">
        <v>4.3600000000000003</v>
      </c>
      <c r="D453" s="18" t="str">
        <f>[1]!b_info_name(B453)</f>
        <v>16国开13</v>
      </c>
      <c r="E453" s="19">
        <f>[1]!b_info_latestissurercreditrating(B453)</f>
        <v>0</v>
      </c>
      <c r="F453" s="20">
        <f ca="1">[1]!b_anal_day(B453,$A$5)/365</f>
        <v>8.9616438356164387</v>
      </c>
      <c r="G453" s="21">
        <f ca="1">[1]!b_anal_yield_cnbd(B453,$A$5)</f>
        <v>0</v>
      </c>
      <c r="H453" s="21">
        <f t="shared" ca="1" si="21"/>
        <v>436.00000000000006</v>
      </c>
      <c r="I453" s="21">
        <f ca="1">[1]!b_anal_yield_cnbd(B453,$A$7)</f>
        <v>0</v>
      </c>
      <c r="J453" s="21">
        <f t="shared" ca="1" si="22"/>
        <v>0</v>
      </c>
      <c r="K453" s="19" t="str">
        <f>[1]!s_info_Nature(B453)</f>
        <v>中央国有企业</v>
      </c>
      <c r="L453" s="19" t="str">
        <f>[1]!b_info_windl1type(B453)</f>
        <v>金融债</v>
      </c>
      <c r="M453" s="13">
        <f>[1]!b_info_couponrate(B453)</f>
        <v>3.05</v>
      </c>
      <c r="N453" s="14" t="str">
        <f>[1]!B_Info_ListedDate(B453)</f>
        <v>2016-08-29</v>
      </c>
      <c r="O453" s="14" t="str">
        <f>[1]!b_issue_firstissue(B453)</f>
        <v>2016-08-23</v>
      </c>
      <c r="P453" s="4">
        <f t="shared" ca="1" si="23"/>
        <v>42989</v>
      </c>
    </row>
    <row r="454" spans="2:16">
      <c r="B454" s="7">
        <v>160213</v>
      </c>
      <c r="C454" s="7">
        <v>4.3600000000000003</v>
      </c>
      <c r="D454" s="18" t="str">
        <f>[1]!b_info_name(B454)</f>
        <v>16国开13</v>
      </c>
      <c r="E454" s="19">
        <f>[1]!b_info_latestissurercreditrating(B454)</f>
        <v>0</v>
      </c>
      <c r="F454" s="20">
        <f ca="1">[1]!b_anal_day(B454,$A$5)/365</f>
        <v>8.9616438356164387</v>
      </c>
      <c r="G454" s="21">
        <f ca="1">[1]!b_anal_yield_cnbd(B454,$A$5)</f>
        <v>0</v>
      </c>
      <c r="H454" s="21">
        <f t="shared" ca="1" si="21"/>
        <v>436.00000000000006</v>
      </c>
      <c r="I454" s="21">
        <f ca="1">[1]!b_anal_yield_cnbd(B454,$A$7)</f>
        <v>0</v>
      </c>
      <c r="J454" s="21">
        <f t="shared" ca="1" si="22"/>
        <v>0</v>
      </c>
      <c r="K454" s="19" t="str">
        <f>[1]!s_info_Nature(B454)</f>
        <v>中央国有企业</v>
      </c>
      <c r="L454" s="19" t="str">
        <f>[1]!b_info_windl1type(B454)</f>
        <v>金融债</v>
      </c>
      <c r="M454" s="13">
        <f>[1]!b_info_couponrate(B454)</f>
        <v>3.05</v>
      </c>
      <c r="N454" s="14" t="str">
        <f>[1]!B_Info_ListedDate(B454)</f>
        <v>2016-08-29</v>
      </c>
      <c r="O454" s="14" t="str">
        <f>[1]!b_issue_firstissue(B454)</f>
        <v>2016-08-23</v>
      </c>
      <c r="P454" s="4">
        <f t="shared" ca="1" si="23"/>
        <v>42989</v>
      </c>
    </row>
    <row r="455" spans="2:16">
      <c r="B455" s="7">
        <v>160213</v>
      </c>
      <c r="C455" s="7">
        <v>4.3600000000000003</v>
      </c>
      <c r="D455" s="18" t="str">
        <f>[1]!b_info_name(B455)</f>
        <v>16国开13</v>
      </c>
      <c r="E455" s="19">
        <f>[1]!b_info_latestissurercreditrating(B455)</f>
        <v>0</v>
      </c>
      <c r="F455" s="20">
        <f ca="1">[1]!b_anal_day(B455,$A$5)/365</f>
        <v>8.9616438356164387</v>
      </c>
      <c r="G455" s="21">
        <f ca="1">[1]!b_anal_yield_cnbd(B455,$A$5)</f>
        <v>0</v>
      </c>
      <c r="H455" s="21">
        <f t="shared" ca="1" si="21"/>
        <v>436.00000000000006</v>
      </c>
      <c r="I455" s="21">
        <f ca="1">[1]!b_anal_yield_cnbd(B455,$A$7)</f>
        <v>0</v>
      </c>
      <c r="J455" s="21">
        <f t="shared" ca="1" si="22"/>
        <v>0</v>
      </c>
      <c r="K455" s="19" t="str">
        <f>[1]!s_info_Nature(B455)</f>
        <v>中央国有企业</v>
      </c>
      <c r="L455" s="19" t="str">
        <f>[1]!b_info_windl1type(B455)</f>
        <v>金融债</v>
      </c>
      <c r="M455" s="13">
        <f>[1]!b_info_couponrate(B455)</f>
        <v>3.05</v>
      </c>
      <c r="N455" s="14" t="str">
        <f>[1]!B_Info_ListedDate(B455)</f>
        <v>2016-08-29</v>
      </c>
      <c r="O455" s="14" t="str">
        <f>[1]!b_issue_firstissue(B455)</f>
        <v>2016-08-23</v>
      </c>
      <c r="P455" s="4">
        <f t="shared" ca="1" si="23"/>
        <v>42989</v>
      </c>
    </row>
    <row r="456" spans="2:16">
      <c r="B456" s="7">
        <v>150412</v>
      </c>
      <c r="C456" s="7">
        <v>4.3600000000000003</v>
      </c>
      <c r="D456" s="18" t="str">
        <f>[1]!b_info_name(B456)</f>
        <v>15农发12</v>
      </c>
      <c r="E456" s="19">
        <f>[1]!b_info_latestissurercreditrating(B456)</f>
        <v>0</v>
      </c>
      <c r="F456" s="20">
        <f ca="1">[1]!b_anal_day(B456,$A$5)/365</f>
        <v>4.6493150684931503</v>
      </c>
      <c r="G456" s="21">
        <f ca="1">[1]!b_anal_yield_cnbd(B456,$A$5)</f>
        <v>0</v>
      </c>
      <c r="H456" s="21">
        <f t="shared" ca="1" si="21"/>
        <v>436.00000000000006</v>
      </c>
      <c r="I456" s="21">
        <f ca="1">[1]!b_anal_yield_cnbd(B456,$A$7)</f>
        <v>0</v>
      </c>
      <c r="J456" s="21">
        <f t="shared" ca="1" si="22"/>
        <v>0</v>
      </c>
      <c r="K456" s="19" t="str">
        <f>[1]!s_info_Nature(B456)</f>
        <v>中央国有企业</v>
      </c>
      <c r="L456" s="19" t="str">
        <f>[1]!b_info_windl1type(B456)</f>
        <v>金融债</v>
      </c>
      <c r="M456" s="13">
        <f>[1]!b_info_couponrate(B456)</f>
        <v>4.18</v>
      </c>
      <c r="N456" s="14" t="str">
        <f>[1]!B_Info_ListedDate(B456)</f>
        <v>2015-05-08</v>
      </c>
      <c r="O456" s="14" t="str">
        <f>[1]!b_issue_firstissue(B456)</f>
        <v>2015-04-29</v>
      </c>
      <c r="P456" s="4">
        <f t="shared" ca="1" si="23"/>
        <v>42989</v>
      </c>
    </row>
    <row r="457" spans="2:16">
      <c r="B457" s="7">
        <v>160213</v>
      </c>
      <c r="C457" s="7">
        <v>4.3600000000000003</v>
      </c>
      <c r="D457" s="18" t="str">
        <f>[1]!b_info_name(B457)</f>
        <v>16国开13</v>
      </c>
      <c r="E457" s="19">
        <f>[1]!b_info_latestissurercreditrating(B457)</f>
        <v>0</v>
      </c>
      <c r="F457" s="20">
        <f ca="1">[1]!b_anal_day(B457,$A$5)/365</f>
        <v>8.9616438356164387</v>
      </c>
      <c r="G457" s="21">
        <f ca="1">[1]!b_anal_yield_cnbd(B457,$A$5)</f>
        <v>0</v>
      </c>
      <c r="H457" s="21">
        <f t="shared" ca="1" si="21"/>
        <v>436.00000000000006</v>
      </c>
      <c r="I457" s="21">
        <f ca="1">[1]!b_anal_yield_cnbd(B457,$A$7)</f>
        <v>0</v>
      </c>
      <c r="J457" s="21">
        <f t="shared" ca="1" si="22"/>
        <v>0</v>
      </c>
      <c r="K457" s="19" t="str">
        <f>[1]!s_info_Nature(B457)</f>
        <v>中央国有企业</v>
      </c>
      <c r="L457" s="19" t="str">
        <f>[1]!b_info_windl1type(B457)</f>
        <v>金融债</v>
      </c>
      <c r="M457" s="13">
        <f>[1]!b_info_couponrate(B457)</f>
        <v>3.05</v>
      </c>
      <c r="N457" s="14" t="str">
        <f>[1]!B_Info_ListedDate(B457)</f>
        <v>2016-08-29</v>
      </c>
      <c r="O457" s="14" t="str">
        <f>[1]!b_issue_firstissue(B457)</f>
        <v>2016-08-23</v>
      </c>
      <c r="P457" s="4">
        <f t="shared" ca="1" si="23"/>
        <v>42989</v>
      </c>
    </row>
    <row r="458" spans="2:16">
      <c r="B458" s="7">
        <v>160213</v>
      </c>
      <c r="C458" s="7">
        <v>4.3574999999999999</v>
      </c>
      <c r="D458" s="18" t="str">
        <f>[1]!b_info_name(B458)</f>
        <v>16国开13</v>
      </c>
      <c r="E458" s="19">
        <f>[1]!b_info_latestissurercreditrating(B458)</f>
        <v>0</v>
      </c>
      <c r="F458" s="20">
        <f ca="1">[1]!b_anal_day(B458,$A$5)/365</f>
        <v>8.9616438356164387</v>
      </c>
      <c r="G458" s="21">
        <f ca="1">[1]!b_anal_yield_cnbd(B458,$A$5)</f>
        <v>0</v>
      </c>
      <c r="H458" s="21">
        <f t="shared" ca="1" si="21"/>
        <v>435.75</v>
      </c>
      <c r="I458" s="21">
        <f ca="1">[1]!b_anal_yield_cnbd(B458,$A$7)</f>
        <v>0</v>
      </c>
      <c r="J458" s="21">
        <f t="shared" ca="1" si="22"/>
        <v>0</v>
      </c>
      <c r="K458" s="19" t="str">
        <f>[1]!s_info_Nature(B458)</f>
        <v>中央国有企业</v>
      </c>
      <c r="L458" s="19" t="str">
        <f>[1]!b_info_windl1type(B458)</f>
        <v>金融债</v>
      </c>
      <c r="M458" s="13">
        <f>[1]!b_info_couponrate(B458)</f>
        <v>3.05</v>
      </c>
      <c r="N458" s="14" t="str">
        <f>[1]!B_Info_ListedDate(B458)</f>
        <v>2016-08-29</v>
      </c>
      <c r="O458" s="14" t="str">
        <f>[1]!b_issue_firstissue(B458)</f>
        <v>2016-08-23</v>
      </c>
      <c r="P458" s="4">
        <f t="shared" ca="1" si="23"/>
        <v>42989</v>
      </c>
    </row>
    <row r="459" spans="2:16">
      <c r="B459" s="7">
        <v>160213</v>
      </c>
      <c r="C459" s="7">
        <v>4.3574999999999999</v>
      </c>
      <c r="D459" s="18" t="str">
        <f>[1]!b_info_name(B459)</f>
        <v>16国开13</v>
      </c>
      <c r="E459" s="19">
        <f>[1]!b_info_latestissurercreditrating(B459)</f>
        <v>0</v>
      </c>
      <c r="F459" s="20">
        <f ca="1">[1]!b_anal_day(B459,$A$5)/365</f>
        <v>8.9616438356164387</v>
      </c>
      <c r="G459" s="21">
        <f ca="1">[1]!b_anal_yield_cnbd(B459,$A$5)</f>
        <v>0</v>
      </c>
      <c r="H459" s="21">
        <f t="shared" ca="1" si="21"/>
        <v>435.75</v>
      </c>
      <c r="I459" s="21">
        <f ca="1">[1]!b_anal_yield_cnbd(B459,$A$7)</f>
        <v>0</v>
      </c>
      <c r="J459" s="21">
        <f t="shared" ca="1" si="22"/>
        <v>0</v>
      </c>
      <c r="K459" s="19" t="str">
        <f>[1]!s_info_Nature(B459)</f>
        <v>中央国有企业</v>
      </c>
      <c r="L459" s="19" t="str">
        <f>[1]!b_info_windl1type(B459)</f>
        <v>金融债</v>
      </c>
      <c r="M459" s="13">
        <f>[1]!b_info_couponrate(B459)</f>
        <v>3.05</v>
      </c>
      <c r="N459" s="14" t="str">
        <f>[1]!B_Info_ListedDate(B459)</f>
        <v>2016-08-29</v>
      </c>
      <c r="O459" s="14" t="str">
        <f>[1]!b_issue_firstissue(B459)</f>
        <v>2016-08-23</v>
      </c>
      <c r="P459" s="4">
        <f t="shared" ca="1" si="23"/>
        <v>42989</v>
      </c>
    </row>
    <row r="460" spans="2:16">
      <c r="B460" s="7">
        <v>160213</v>
      </c>
      <c r="C460" s="7">
        <v>4.3574999999999999</v>
      </c>
      <c r="D460" s="18" t="str">
        <f>[1]!b_info_name(B460)</f>
        <v>16国开13</v>
      </c>
      <c r="E460" s="19">
        <f>[1]!b_info_latestissurercreditrating(B460)</f>
        <v>0</v>
      </c>
      <c r="F460" s="20">
        <f ca="1">[1]!b_anal_day(B460,$A$5)/365</f>
        <v>8.9616438356164387</v>
      </c>
      <c r="G460" s="21">
        <f ca="1">[1]!b_anal_yield_cnbd(B460,$A$5)</f>
        <v>0</v>
      </c>
      <c r="H460" s="21">
        <f t="shared" ca="1" si="21"/>
        <v>435.75</v>
      </c>
      <c r="I460" s="21">
        <f ca="1">[1]!b_anal_yield_cnbd(B460,$A$7)</f>
        <v>0</v>
      </c>
      <c r="J460" s="21">
        <f t="shared" ca="1" si="22"/>
        <v>0</v>
      </c>
      <c r="K460" s="19" t="str">
        <f>[1]!s_info_Nature(B460)</f>
        <v>中央国有企业</v>
      </c>
      <c r="L460" s="19" t="str">
        <f>[1]!b_info_windl1type(B460)</f>
        <v>金融债</v>
      </c>
      <c r="M460" s="13">
        <f>[1]!b_info_couponrate(B460)</f>
        <v>3.05</v>
      </c>
      <c r="N460" s="14" t="str">
        <f>[1]!B_Info_ListedDate(B460)</f>
        <v>2016-08-29</v>
      </c>
      <c r="O460" s="14" t="str">
        <f>[1]!b_issue_firstissue(B460)</f>
        <v>2016-08-23</v>
      </c>
      <c r="P460" s="4">
        <f t="shared" ca="1" si="23"/>
        <v>42989</v>
      </c>
    </row>
    <row r="461" spans="2:16">
      <c r="B461" s="7">
        <v>160213</v>
      </c>
      <c r="C461" s="7">
        <v>4.3574999999999999</v>
      </c>
      <c r="D461" s="18" t="str">
        <f>[1]!b_info_name(B461)</f>
        <v>16国开13</v>
      </c>
      <c r="E461" s="19">
        <f>[1]!b_info_latestissurercreditrating(B461)</f>
        <v>0</v>
      </c>
      <c r="F461" s="20">
        <f ca="1">[1]!b_anal_day(B461,$A$5)/365</f>
        <v>8.9616438356164387</v>
      </c>
      <c r="G461" s="21">
        <f ca="1">[1]!b_anal_yield_cnbd(B461,$A$5)</f>
        <v>0</v>
      </c>
      <c r="H461" s="21">
        <f t="shared" ref="H461:H483" ca="1" si="24">(IF(C461&lt;0.1,C461*100,C461)-G461)*100</f>
        <v>435.75</v>
      </c>
      <c r="I461" s="21">
        <f ca="1">[1]!b_anal_yield_cnbd(B461,$A$7)</f>
        <v>0</v>
      </c>
      <c r="J461" s="21">
        <f t="shared" ref="J461:J483" ca="1" si="25">(G461-I461)*100</f>
        <v>0</v>
      </c>
      <c r="K461" s="19" t="str">
        <f>[1]!s_info_Nature(B461)</f>
        <v>中央国有企业</v>
      </c>
      <c r="L461" s="19" t="str">
        <f>[1]!b_info_windl1type(B461)</f>
        <v>金融债</v>
      </c>
      <c r="M461" s="13">
        <f>[1]!b_info_couponrate(B461)</f>
        <v>3.05</v>
      </c>
      <c r="N461" s="14" t="str">
        <f>[1]!B_Info_ListedDate(B461)</f>
        <v>2016-08-29</v>
      </c>
      <c r="O461" s="14" t="str">
        <f>[1]!b_issue_firstissue(B461)</f>
        <v>2016-08-23</v>
      </c>
      <c r="P461" s="4">
        <f t="shared" ref="P461:P483" ca="1" si="26">$A$2</f>
        <v>42989</v>
      </c>
    </row>
    <row r="462" spans="2:16">
      <c r="B462" s="7">
        <v>160213</v>
      </c>
      <c r="C462" s="7">
        <v>4.3574999999999999</v>
      </c>
      <c r="D462" s="18" t="str">
        <f>[1]!b_info_name(B462)</f>
        <v>16国开13</v>
      </c>
      <c r="E462" s="19">
        <f>[1]!b_info_latestissurercreditrating(B462)</f>
        <v>0</v>
      </c>
      <c r="F462" s="20">
        <f ca="1">[1]!b_anal_day(B462,$A$5)/365</f>
        <v>8.9616438356164387</v>
      </c>
      <c r="G462" s="21">
        <f ca="1">[1]!b_anal_yield_cnbd(B462,$A$5)</f>
        <v>0</v>
      </c>
      <c r="H462" s="21">
        <f t="shared" ca="1" si="24"/>
        <v>435.75</v>
      </c>
      <c r="I462" s="21">
        <f ca="1">[1]!b_anal_yield_cnbd(B462,$A$7)</f>
        <v>0</v>
      </c>
      <c r="J462" s="21">
        <f t="shared" ca="1" si="25"/>
        <v>0</v>
      </c>
      <c r="K462" s="19" t="str">
        <f>[1]!s_info_Nature(B462)</f>
        <v>中央国有企业</v>
      </c>
      <c r="L462" s="19" t="str">
        <f>[1]!b_info_windl1type(B462)</f>
        <v>金融债</v>
      </c>
      <c r="M462" s="13">
        <f>[1]!b_info_couponrate(B462)</f>
        <v>3.05</v>
      </c>
      <c r="N462" s="14" t="str">
        <f>[1]!B_Info_ListedDate(B462)</f>
        <v>2016-08-29</v>
      </c>
      <c r="O462" s="14" t="str">
        <f>[1]!b_issue_firstissue(B462)</f>
        <v>2016-08-23</v>
      </c>
      <c r="P462" s="4">
        <f t="shared" ca="1" si="26"/>
        <v>42989</v>
      </c>
    </row>
    <row r="463" spans="2:16">
      <c r="B463" s="7">
        <v>160213</v>
      </c>
      <c r="C463" s="7">
        <v>4.3574999999999999</v>
      </c>
      <c r="D463" s="18" t="str">
        <f>[1]!b_info_name(B463)</f>
        <v>16国开13</v>
      </c>
      <c r="E463" s="19">
        <f>[1]!b_info_latestissurercreditrating(B463)</f>
        <v>0</v>
      </c>
      <c r="F463" s="20">
        <f ca="1">[1]!b_anal_day(B463,$A$5)/365</f>
        <v>8.9616438356164387</v>
      </c>
      <c r="G463" s="21">
        <f ca="1">[1]!b_anal_yield_cnbd(B463,$A$5)</f>
        <v>0</v>
      </c>
      <c r="H463" s="21">
        <f t="shared" ca="1" si="24"/>
        <v>435.75</v>
      </c>
      <c r="I463" s="21">
        <f ca="1">[1]!b_anal_yield_cnbd(B463,$A$7)</f>
        <v>0</v>
      </c>
      <c r="J463" s="21">
        <f t="shared" ca="1" si="25"/>
        <v>0</v>
      </c>
      <c r="K463" s="19" t="str">
        <f>[1]!s_info_Nature(B463)</f>
        <v>中央国有企业</v>
      </c>
      <c r="L463" s="19" t="str">
        <f>[1]!b_info_windl1type(B463)</f>
        <v>金融债</v>
      </c>
      <c r="M463" s="13">
        <f>[1]!b_info_couponrate(B463)</f>
        <v>3.05</v>
      </c>
      <c r="N463" s="14" t="str">
        <f>[1]!B_Info_ListedDate(B463)</f>
        <v>2016-08-29</v>
      </c>
      <c r="O463" s="14" t="str">
        <f>[1]!b_issue_firstissue(B463)</f>
        <v>2016-08-23</v>
      </c>
      <c r="P463" s="4">
        <f t="shared" ca="1" si="26"/>
        <v>42989</v>
      </c>
    </row>
    <row r="464" spans="2:16">
      <c r="B464" s="7">
        <v>160213</v>
      </c>
      <c r="C464" s="7">
        <v>4.3574999999999999</v>
      </c>
      <c r="D464" s="18" t="str">
        <f>[1]!b_info_name(B464)</f>
        <v>16国开13</v>
      </c>
      <c r="E464" s="19">
        <f>[1]!b_info_latestissurercreditrating(B464)</f>
        <v>0</v>
      </c>
      <c r="F464" s="20">
        <f ca="1">[1]!b_anal_day(B464,$A$5)/365</f>
        <v>8.9616438356164387</v>
      </c>
      <c r="G464" s="21">
        <f ca="1">[1]!b_anal_yield_cnbd(B464,$A$5)</f>
        <v>0</v>
      </c>
      <c r="H464" s="21">
        <f t="shared" ca="1" si="24"/>
        <v>435.75</v>
      </c>
      <c r="I464" s="21">
        <f ca="1">[1]!b_anal_yield_cnbd(B464,$A$7)</f>
        <v>0</v>
      </c>
      <c r="J464" s="21">
        <f t="shared" ca="1" si="25"/>
        <v>0</v>
      </c>
      <c r="K464" s="19" t="str">
        <f>[1]!s_info_Nature(B464)</f>
        <v>中央国有企业</v>
      </c>
      <c r="L464" s="19" t="str">
        <f>[1]!b_info_windl1type(B464)</f>
        <v>金融债</v>
      </c>
      <c r="M464" s="13">
        <f>[1]!b_info_couponrate(B464)</f>
        <v>3.05</v>
      </c>
      <c r="N464" s="14" t="str">
        <f>[1]!B_Info_ListedDate(B464)</f>
        <v>2016-08-29</v>
      </c>
      <c r="O464" s="14" t="str">
        <f>[1]!b_issue_firstissue(B464)</f>
        <v>2016-08-23</v>
      </c>
      <c r="P464" s="4">
        <f t="shared" ca="1" si="26"/>
        <v>42989</v>
      </c>
    </row>
    <row r="465" spans="2:16">
      <c r="B465" s="7">
        <v>160213</v>
      </c>
      <c r="C465" s="7">
        <v>4.3574999999999999</v>
      </c>
      <c r="D465" s="18" t="str">
        <f>[1]!b_info_name(B465)</f>
        <v>16国开13</v>
      </c>
      <c r="E465" s="19">
        <f>[1]!b_info_latestissurercreditrating(B465)</f>
        <v>0</v>
      </c>
      <c r="F465" s="20">
        <f ca="1">[1]!b_anal_day(B465,$A$5)/365</f>
        <v>8.9616438356164387</v>
      </c>
      <c r="G465" s="21">
        <f ca="1">[1]!b_anal_yield_cnbd(B465,$A$5)</f>
        <v>0</v>
      </c>
      <c r="H465" s="21">
        <f t="shared" ca="1" si="24"/>
        <v>435.75</v>
      </c>
      <c r="I465" s="21">
        <f ca="1">[1]!b_anal_yield_cnbd(B465,$A$7)</f>
        <v>0</v>
      </c>
      <c r="J465" s="21">
        <f t="shared" ca="1" si="25"/>
        <v>0</v>
      </c>
      <c r="K465" s="19" t="str">
        <f>[1]!s_info_Nature(B465)</f>
        <v>中央国有企业</v>
      </c>
      <c r="L465" s="19" t="str">
        <f>[1]!b_info_windl1type(B465)</f>
        <v>金融债</v>
      </c>
      <c r="M465" s="13">
        <f>[1]!b_info_couponrate(B465)</f>
        <v>3.05</v>
      </c>
      <c r="N465" s="14" t="str">
        <f>[1]!B_Info_ListedDate(B465)</f>
        <v>2016-08-29</v>
      </c>
      <c r="O465" s="14" t="str">
        <f>[1]!b_issue_firstissue(B465)</f>
        <v>2016-08-23</v>
      </c>
      <c r="P465" s="4">
        <f t="shared" ca="1" si="26"/>
        <v>42989</v>
      </c>
    </row>
    <row r="466" spans="2:16">
      <c r="B466" s="7">
        <v>160213</v>
      </c>
      <c r="C466" s="7">
        <v>4.3574999999999999</v>
      </c>
      <c r="D466" s="18" t="str">
        <f>[1]!b_info_name(B466)</f>
        <v>16国开13</v>
      </c>
      <c r="E466" s="19">
        <f>[1]!b_info_latestissurercreditrating(B466)</f>
        <v>0</v>
      </c>
      <c r="F466" s="20">
        <f ca="1">[1]!b_anal_day(B466,$A$5)/365</f>
        <v>8.9616438356164387</v>
      </c>
      <c r="G466" s="21">
        <f ca="1">[1]!b_anal_yield_cnbd(B466,$A$5)</f>
        <v>0</v>
      </c>
      <c r="H466" s="21">
        <f t="shared" ca="1" si="24"/>
        <v>435.75</v>
      </c>
      <c r="I466" s="21">
        <f ca="1">[1]!b_anal_yield_cnbd(B466,$A$7)</f>
        <v>0</v>
      </c>
      <c r="J466" s="21">
        <f t="shared" ca="1" si="25"/>
        <v>0</v>
      </c>
      <c r="K466" s="19" t="str">
        <f>[1]!s_info_Nature(B466)</f>
        <v>中央国有企业</v>
      </c>
      <c r="L466" s="19" t="str">
        <f>[1]!b_info_windl1type(B466)</f>
        <v>金融债</v>
      </c>
      <c r="M466" s="13">
        <f>[1]!b_info_couponrate(B466)</f>
        <v>3.05</v>
      </c>
      <c r="N466" s="14" t="str">
        <f>[1]!B_Info_ListedDate(B466)</f>
        <v>2016-08-29</v>
      </c>
      <c r="O466" s="14" t="str">
        <f>[1]!b_issue_firstissue(B466)</f>
        <v>2016-08-23</v>
      </c>
      <c r="P466" s="4">
        <f t="shared" ca="1" si="26"/>
        <v>42989</v>
      </c>
    </row>
    <row r="467" spans="2:16">
      <c r="B467" s="7">
        <v>160213</v>
      </c>
      <c r="C467" s="7">
        <v>4.3574999999999999</v>
      </c>
      <c r="D467" s="18" t="str">
        <f>[1]!b_info_name(B467)</f>
        <v>16国开13</v>
      </c>
      <c r="E467" s="19">
        <f>[1]!b_info_latestissurercreditrating(B467)</f>
        <v>0</v>
      </c>
      <c r="F467" s="20">
        <f ca="1">[1]!b_anal_day(B467,$A$5)/365</f>
        <v>8.9616438356164387</v>
      </c>
      <c r="G467" s="21">
        <f ca="1">[1]!b_anal_yield_cnbd(B467,$A$5)</f>
        <v>0</v>
      </c>
      <c r="H467" s="21">
        <f t="shared" ca="1" si="24"/>
        <v>435.75</v>
      </c>
      <c r="I467" s="21">
        <f ca="1">[1]!b_anal_yield_cnbd(B467,$A$7)</f>
        <v>0</v>
      </c>
      <c r="J467" s="21">
        <f t="shared" ca="1" si="25"/>
        <v>0</v>
      </c>
      <c r="K467" s="19" t="str">
        <f>[1]!s_info_Nature(B467)</f>
        <v>中央国有企业</v>
      </c>
      <c r="L467" s="19" t="str">
        <f>[1]!b_info_windl1type(B467)</f>
        <v>金融债</v>
      </c>
      <c r="M467" s="13">
        <f>[1]!b_info_couponrate(B467)</f>
        <v>3.05</v>
      </c>
      <c r="N467" s="14" t="str">
        <f>[1]!B_Info_ListedDate(B467)</f>
        <v>2016-08-29</v>
      </c>
      <c r="O467" s="14" t="str">
        <f>[1]!b_issue_firstissue(B467)</f>
        <v>2016-08-23</v>
      </c>
      <c r="P467" s="4">
        <f t="shared" ca="1" si="26"/>
        <v>42989</v>
      </c>
    </row>
    <row r="468" spans="2:16">
      <c r="B468" s="7">
        <v>160213</v>
      </c>
      <c r="C468" s="7">
        <v>4.3574999999999999</v>
      </c>
      <c r="D468" s="18" t="str">
        <f>[1]!b_info_name(B468)</f>
        <v>16国开13</v>
      </c>
      <c r="E468" s="19">
        <f>[1]!b_info_latestissurercreditrating(B468)</f>
        <v>0</v>
      </c>
      <c r="F468" s="20">
        <f ca="1">[1]!b_anal_day(B468,$A$5)/365</f>
        <v>8.9616438356164387</v>
      </c>
      <c r="G468" s="21">
        <f ca="1">[1]!b_anal_yield_cnbd(B468,$A$5)</f>
        <v>0</v>
      </c>
      <c r="H468" s="21">
        <f t="shared" ca="1" si="24"/>
        <v>435.75</v>
      </c>
      <c r="I468" s="21">
        <f ca="1">[1]!b_anal_yield_cnbd(B468,$A$7)</f>
        <v>0</v>
      </c>
      <c r="J468" s="21">
        <f t="shared" ca="1" si="25"/>
        <v>0</v>
      </c>
      <c r="K468" s="19" t="str">
        <f>[1]!s_info_Nature(B468)</f>
        <v>中央国有企业</v>
      </c>
      <c r="L468" s="19" t="str">
        <f>[1]!b_info_windl1type(B468)</f>
        <v>金融债</v>
      </c>
      <c r="M468" s="13">
        <f>[1]!b_info_couponrate(B468)</f>
        <v>3.05</v>
      </c>
      <c r="N468" s="14" t="str">
        <f>[1]!B_Info_ListedDate(B468)</f>
        <v>2016-08-29</v>
      </c>
      <c r="O468" s="14" t="str">
        <f>[1]!b_issue_firstissue(B468)</f>
        <v>2016-08-23</v>
      </c>
      <c r="P468" s="4">
        <f t="shared" ca="1" si="26"/>
        <v>42989</v>
      </c>
    </row>
    <row r="469" spans="2:16">
      <c r="B469" s="7">
        <v>160213</v>
      </c>
      <c r="C469" s="7">
        <v>4.3574999999999999</v>
      </c>
      <c r="D469" s="18" t="str">
        <f>[1]!b_info_name(B469)</f>
        <v>16国开13</v>
      </c>
      <c r="E469" s="19">
        <f>[1]!b_info_latestissurercreditrating(B469)</f>
        <v>0</v>
      </c>
      <c r="F469" s="20">
        <f ca="1">[1]!b_anal_day(B469,$A$5)/365</f>
        <v>8.9616438356164387</v>
      </c>
      <c r="G469" s="21">
        <f ca="1">[1]!b_anal_yield_cnbd(B469,$A$5)</f>
        <v>0</v>
      </c>
      <c r="H469" s="21">
        <f t="shared" ca="1" si="24"/>
        <v>435.75</v>
      </c>
      <c r="I469" s="21">
        <f ca="1">[1]!b_anal_yield_cnbd(B469,$A$7)</f>
        <v>0</v>
      </c>
      <c r="J469" s="21">
        <f t="shared" ca="1" si="25"/>
        <v>0</v>
      </c>
      <c r="K469" s="19" t="str">
        <f>[1]!s_info_Nature(B469)</f>
        <v>中央国有企业</v>
      </c>
      <c r="L469" s="19" t="str">
        <f>[1]!b_info_windl1type(B469)</f>
        <v>金融债</v>
      </c>
      <c r="M469" s="13">
        <f>[1]!b_info_couponrate(B469)</f>
        <v>3.05</v>
      </c>
      <c r="N469" s="14" t="str">
        <f>[1]!B_Info_ListedDate(B469)</f>
        <v>2016-08-29</v>
      </c>
      <c r="O469" s="14" t="str">
        <f>[1]!b_issue_firstissue(B469)</f>
        <v>2016-08-23</v>
      </c>
      <c r="P469" s="4">
        <f t="shared" ca="1" si="26"/>
        <v>42989</v>
      </c>
    </row>
    <row r="470" spans="2:16">
      <c r="B470" s="7">
        <v>160213</v>
      </c>
      <c r="C470" s="7">
        <v>4.3574999999999999</v>
      </c>
      <c r="D470" s="18" t="str">
        <f>[1]!b_info_name(B470)</f>
        <v>16国开13</v>
      </c>
      <c r="E470" s="19">
        <f>[1]!b_info_latestissurercreditrating(B470)</f>
        <v>0</v>
      </c>
      <c r="F470" s="20">
        <f ca="1">[1]!b_anal_day(B470,$A$5)/365</f>
        <v>8.9616438356164387</v>
      </c>
      <c r="G470" s="21">
        <f ca="1">[1]!b_anal_yield_cnbd(B470,$A$5)</f>
        <v>0</v>
      </c>
      <c r="H470" s="21">
        <f t="shared" ca="1" si="24"/>
        <v>435.75</v>
      </c>
      <c r="I470" s="21">
        <f ca="1">[1]!b_anal_yield_cnbd(B470,$A$7)</f>
        <v>0</v>
      </c>
      <c r="J470" s="21">
        <f t="shared" ca="1" si="25"/>
        <v>0</v>
      </c>
      <c r="K470" s="19" t="str">
        <f>[1]!s_info_Nature(B470)</f>
        <v>中央国有企业</v>
      </c>
      <c r="L470" s="19" t="str">
        <f>[1]!b_info_windl1type(B470)</f>
        <v>金融债</v>
      </c>
      <c r="M470" s="13">
        <f>[1]!b_info_couponrate(B470)</f>
        <v>3.05</v>
      </c>
      <c r="N470" s="14" t="str">
        <f>[1]!B_Info_ListedDate(B470)</f>
        <v>2016-08-29</v>
      </c>
      <c r="O470" s="14" t="str">
        <f>[1]!b_issue_firstissue(B470)</f>
        <v>2016-08-23</v>
      </c>
      <c r="P470" s="4">
        <f t="shared" ca="1" si="26"/>
        <v>42989</v>
      </c>
    </row>
    <row r="471" spans="2:16">
      <c r="B471" s="7">
        <v>160213</v>
      </c>
      <c r="C471" s="7">
        <v>4.3574999999999999</v>
      </c>
      <c r="D471" s="18" t="str">
        <f>[1]!b_info_name(B471)</f>
        <v>16国开13</v>
      </c>
      <c r="E471" s="19">
        <f>[1]!b_info_latestissurercreditrating(B471)</f>
        <v>0</v>
      </c>
      <c r="F471" s="20">
        <f ca="1">[1]!b_anal_day(B471,$A$5)/365</f>
        <v>8.9616438356164387</v>
      </c>
      <c r="G471" s="21">
        <f ca="1">[1]!b_anal_yield_cnbd(B471,$A$5)</f>
        <v>0</v>
      </c>
      <c r="H471" s="21">
        <f t="shared" ca="1" si="24"/>
        <v>435.75</v>
      </c>
      <c r="I471" s="21">
        <f ca="1">[1]!b_anal_yield_cnbd(B471,$A$7)</f>
        <v>0</v>
      </c>
      <c r="J471" s="21">
        <f t="shared" ca="1" si="25"/>
        <v>0</v>
      </c>
      <c r="K471" s="19" t="str">
        <f>[1]!s_info_Nature(B471)</f>
        <v>中央国有企业</v>
      </c>
      <c r="L471" s="19" t="str">
        <f>[1]!b_info_windl1type(B471)</f>
        <v>金融债</v>
      </c>
      <c r="M471" s="13">
        <f>[1]!b_info_couponrate(B471)</f>
        <v>3.05</v>
      </c>
      <c r="N471" s="14" t="str">
        <f>[1]!B_Info_ListedDate(B471)</f>
        <v>2016-08-29</v>
      </c>
      <c r="O471" s="14" t="str">
        <f>[1]!b_issue_firstissue(B471)</f>
        <v>2016-08-23</v>
      </c>
      <c r="P471" s="4">
        <f t="shared" ca="1" si="26"/>
        <v>42989</v>
      </c>
    </row>
    <row r="472" spans="2:16">
      <c r="B472" s="7">
        <v>160213</v>
      </c>
      <c r="C472" s="7">
        <v>4.3574999999999999</v>
      </c>
      <c r="D472" s="18" t="str">
        <f>[1]!b_info_name(B472)</f>
        <v>16国开13</v>
      </c>
      <c r="E472" s="19">
        <f>[1]!b_info_latestissurercreditrating(B472)</f>
        <v>0</v>
      </c>
      <c r="F472" s="20">
        <f ca="1">[1]!b_anal_day(B472,$A$5)/365</f>
        <v>8.9616438356164387</v>
      </c>
      <c r="G472" s="21">
        <f ca="1">[1]!b_anal_yield_cnbd(B472,$A$5)</f>
        <v>0</v>
      </c>
      <c r="H472" s="21">
        <f t="shared" ca="1" si="24"/>
        <v>435.75</v>
      </c>
      <c r="I472" s="21">
        <f ca="1">[1]!b_anal_yield_cnbd(B472,$A$7)</f>
        <v>0</v>
      </c>
      <c r="J472" s="21">
        <f t="shared" ca="1" si="25"/>
        <v>0</v>
      </c>
      <c r="K472" s="19" t="str">
        <f>[1]!s_info_Nature(B472)</f>
        <v>中央国有企业</v>
      </c>
      <c r="L472" s="19" t="str">
        <f>[1]!b_info_windl1type(B472)</f>
        <v>金融债</v>
      </c>
      <c r="M472" s="13">
        <f>[1]!b_info_couponrate(B472)</f>
        <v>3.05</v>
      </c>
      <c r="N472" s="14" t="str">
        <f>[1]!B_Info_ListedDate(B472)</f>
        <v>2016-08-29</v>
      </c>
      <c r="O472" s="14" t="str">
        <f>[1]!b_issue_firstissue(B472)</f>
        <v>2016-08-23</v>
      </c>
      <c r="P472" s="4">
        <f t="shared" ca="1" si="26"/>
        <v>42989</v>
      </c>
    </row>
    <row r="473" spans="2:16">
      <c r="B473" s="7">
        <v>160213</v>
      </c>
      <c r="C473" s="7">
        <v>4.3574999999999999</v>
      </c>
      <c r="D473" s="18" t="str">
        <f>[1]!b_info_name(B473)</f>
        <v>16国开13</v>
      </c>
      <c r="E473" s="19">
        <f>[1]!b_info_latestissurercreditrating(B473)</f>
        <v>0</v>
      </c>
      <c r="F473" s="20">
        <f ca="1">[1]!b_anal_day(B473,$A$5)/365</f>
        <v>8.9616438356164387</v>
      </c>
      <c r="G473" s="21">
        <f ca="1">[1]!b_anal_yield_cnbd(B473,$A$5)</f>
        <v>0</v>
      </c>
      <c r="H473" s="21">
        <f t="shared" ca="1" si="24"/>
        <v>435.75</v>
      </c>
      <c r="I473" s="21">
        <f ca="1">[1]!b_anal_yield_cnbd(B473,$A$7)</f>
        <v>0</v>
      </c>
      <c r="J473" s="21">
        <f t="shared" ca="1" si="25"/>
        <v>0</v>
      </c>
      <c r="K473" s="19" t="str">
        <f>[1]!s_info_Nature(B473)</f>
        <v>中央国有企业</v>
      </c>
      <c r="L473" s="19" t="str">
        <f>[1]!b_info_windl1type(B473)</f>
        <v>金融债</v>
      </c>
      <c r="M473" s="13">
        <f>[1]!b_info_couponrate(B473)</f>
        <v>3.05</v>
      </c>
      <c r="N473" s="14" t="str">
        <f>[1]!B_Info_ListedDate(B473)</f>
        <v>2016-08-29</v>
      </c>
      <c r="O473" s="14" t="str">
        <f>[1]!b_issue_firstissue(B473)</f>
        <v>2016-08-23</v>
      </c>
      <c r="P473" s="4">
        <f t="shared" ca="1" si="26"/>
        <v>42989</v>
      </c>
    </row>
    <row r="474" spans="2:16">
      <c r="B474" s="7">
        <v>160213</v>
      </c>
      <c r="C474" s="7">
        <v>4.3574999999999999</v>
      </c>
      <c r="D474" s="18" t="str">
        <f>[1]!b_info_name(B474)</f>
        <v>16国开13</v>
      </c>
      <c r="E474" s="19">
        <f>[1]!b_info_latestissurercreditrating(B474)</f>
        <v>0</v>
      </c>
      <c r="F474" s="20">
        <f ca="1">[1]!b_anal_day(B474,$A$5)/365</f>
        <v>8.9616438356164387</v>
      </c>
      <c r="G474" s="21">
        <f ca="1">[1]!b_anal_yield_cnbd(B474,$A$5)</f>
        <v>0</v>
      </c>
      <c r="H474" s="21">
        <f t="shared" ca="1" si="24"/>
        <v>435.75</v>
      </c>
      <c r="I474" s="21">
        <f ca="1">[1]!b_anal_yield_cnbd(B474,$A$7)</f>
        <v>0</v>
      </c>
      <c r="J474" s="21">
        <f t="shared" ca="1" si="25"/>
        <v>0</v>
      </c>
      <c r="K474" s="19" t="str">
        <f>[1]!s_info_Nature(B474)</f>
        <v>中央国有企业</v>
      </c>
      <c r="L474" s="19" t="str">
        <f>[1]!b_info_windl1type(B474)</f>
        <v>金融债</v>
      </c>
      <c r="M474" s="13">
        <f>[1]!b_info_couponrate(B474)</f>
        <v>3.05</v>
      </c>
      <c r="N474" s="14" t="str">
        <f>[1]!B_Info_ListedDate(B474)</f>
        <v>2016-08-29</v>
      </c>
      <c r="O474" s="14" t="str">
        <f>[1]!b_issue_firstissue(B474)</f>
        <v>2016-08-23</v>
      </c>
      <c r="P474" s="4">
        <f t="shared" ca="1" si="26"/>
        <v>42989</v>
      </c>
    </row>
    <row r="475" spans="2:16">
      <c r="B475" s="7">
        <v>160213</v>
      </c>
      <c r="C475" s="7">
        <v>4.3574999999999999</v>
      </c>
      <c r="D475" s="18" t="str">
        <f>[1]!b_info_name(B475)</f>
        <v>16国开13</v>
      </c>
      <c r="E475" s="19">
        <f>[1]!b_info_latestissurercreditrating(B475)</f>
        <v>0</v>
      </c>
      <c r="F475" s="20">
        <f ca="1">[1]!b_anal_day(B475,$A$5)/365</f>
        <v>8.9616438356164387</v>
      </c>
      <c r="G475" s="21">
        <f ca="1">[1]!b_anal_yield_cnbd(B475,$A$5)</f>
        <v>0</v>
      </c>
      <c r="H475" s="21">
        <f t="shared" ca="1" si="24"/>
        <v>435.75</v>
      </c>
      <c r="I475" s="21">
        <f ca="1">[1]!b_anal_yield_cnbd(B475,$A$7)</f>
        <v>0</v>
      </c>
      <c r="J475" s="21">
        <f t="shared" ca="1" si="25"/>
        <v>0</v>
      </c>
      <c r="K475" s="19" t="str">
        <f>[1]!s_info_Nature(B475)</f>
        <v>中央国有企业</v>
      </c>
      <c r="L475" s="19" t="str">
        <f>[1]!b_info_windl1type(B475)</f>
        <v>金融债</v>
      </c>
      <c r="M475" s="13">
        <f>[1]!b_info_couponrate(B475)</f>
        <v>3.05</v>
      </c>
      <c r="N475" s="14" t="str">
        <f>[1]!B_Info_ListedDate(B475)</f>
        <v>2016-08-29</v>
      </c>
      <c r="O475" s="14" t="str">
        <f>[1]!b_issue_firstissue(B475)</f>
        <v>2016-08-23</v>
      </c>
      <c r="P475" s="4">
        <f t="shared" ca="1" si="26"/>
        <v>42989</v>
      </c>
    </row>
    <row r="476" spans="2:16">
      <c r="B476" s="7">
        <v>160213</v>
      </c>
      <c r="C476" s="7">
        <v>4.3574999999999999</v>
      </c>
      <c r="D476" s="18" t="str">
        <f>[1]!b_info_name(B476)</f>
        <v>16国开13</v>
      </c>
      <c r="E476" s="19">
        <f>[1]!b_info_latestissurercreditrating(B476)</f>
        <v>0</v>
      </c>
      <c r="F476" s="20">
        <f ca="1">[1]!b_anal_day(B476,$A$5)/365</f>
        <v>8.9616438356164387</v>
      </c>
      <c r="G476" s="21">
        <f ca="1">[1]!b_anal_yield_cnbd(B476,$A$5)</f>
        <v>0</v>
      </c>
      <c r="H476" s="21">
        <f t="shared" ca="1" si="24"/>
        <v>435.75</v>
      </c>
      <c r="I476" s="21">
        <f ca="1">[1]!b_anal_yield_cnbd(B476,$A$7)</f>
        <v>0</v>
      </c>
      <c r="J476" s="21">
        <f t="shared" ca="1" si="25"/>
        <v>0</v>
      </c>
      <c r="K476" s="19" t="str">
        <f>[1]!s_info_Nature(B476)</f>
        <v>中央国有企业</v>
      </c>
      <c r="L476" s="19" t="str">
        <f>[1]!b_info_windl1type(B476)</f>
        <v>金融债</v>
      </c>
      <c r="M476" s="13">
        <f>[1]!b_info_couponrate(B476)</f>
        <v>3.05</v>
      </c>
      <c r="N476" s="14" t="str">
        <f>[1]!B_Info_ListedDate(B476)</f>
        <v>2016-08-29</v>
      </c>
      <c r="O476" s="14" t="str">
        <f>[1]!b_issue_firstissue(B476)</f>
        <v>2016-08-23</v>
      </c>
      <c r="P476" s="4">
        <f t="shared" ca="1" si="26"/>
        <v>42989</v>
      </c>
    </row>
    <row r="477" spans="2:16">
      <c r="B477" s="7">
        <v>160213</v>
      </c>
      <c r="C477" s="7">
        <v>4.3574999999999999</v>
      </c>
      <c r="D477" s="18" t="str">
        <f>[1]!b_info_name(B477)</f>
        <v>16国开13</v>
      </c>
      <c r="E477" s="19">
        <f>[1]!b_info_latestissurercreditrating(B477)</f>
        <v>0</v>
      </c>
      <c r="F477" s="20">
        <f ca="1">[1]!b_anal_day(B477,$A$5)/365</f>
        <v>8.9616438356164387</v>
      </c>
      <c r="G477" s="21">
        <f ca="1">[1]!b_anal_yield_cnbd(B477,$A$5)</f>
        <v>0</v>
      </c>
      <c r="H477" s="21">
        <f t="shared" ca="1" si="24"/>
        <v>435.75</v>
      </c>
      <c r="I477" s="21">
        <f ca="1">[1]!b_anal_yield_cnbd(B477,$A$7)</f>
        <v>0</v>
      </c>
      <c r="J477" s="21">
        <f t="shared" ca="1" si="25"/>
        <v>0</v>
      </c>
      <c r="K477" s="19" t="str">
        <f>[1]!s_info_Nature(B477)</f>
        <v>中央国有企业</v>
      </c>
      <c r="L477" s="19" t="str">
        <f>[1]!b_info_windl1type(B477)</f>
        <v>金融债</v>
      </c>
      <c r="M477" s="13">
        <f>[1]!b_info_couponrate(B477)</f>
        <v>3.05</v>
      </c>
      <c r="N477" s="14" t="str">
        <f>[1]!B_Info_ListedDate(B477)</f>
        <v>2016-08-29</v>
      </c>
      <c r="O477" s="14" t="str">
        <f>[1]!b_issue_firstissue(B477)</f>
        <v>2016-08-23</v>
      </c>
      <c r="P477" s="4">
        <f t="shared" ca="1" si="26"/>
        <v>42989</v>
      </c>
    </row>
    <row r="478" spans="2:16">
      <c r="B478" s="7">
        <v>160213</v>
      </c>
      <c r="C478" s="7">
        <v>4.3574999999999999</v>
      </c>
      <c r="D478" s="18" t="str">
        <f>[1]!b_info_name(B478)</f>
        <v>16国开13</v>
      </c>
      <c r="E478" s="19">
        <f>[1]!b_info_latestissurercreditrating(B478)</f>
        <v>0</v>
      </c>
      <c r="F478" s="20">
        <f ca="1">[1]!b_anal_day(B478,$A$5)/365</f>
        <v>8.9616438356164387</v>
      </c>
      <c r="G478" s="21">
        <f ca="1">[1]!b_anal_yield_cnbd(B478,$A$5)</f>
        <v>0</v>
      </c>
      <c r="H478" s="21">
        <f t="shared" ca="1" si="24"/>
        <v>435.75</v>
      </c>
      <c r="I478" s="21">
        <f ca="1">[1]!b_anal_yield_cnbd(B478,$A$7)</f>
        <v>0</v>
      </c>
      <c r="J478" s="21">
        <f t="shared" ca="1" si="25"/>
        <v>0</v>
      </c>
      <c r="K478" s="19" t="str">
        <f>[1]!s_info_Nature(B478)</f>
        <v>中央国有企业</v>
      </c>
      <c r="L478" s="19" t="str">
        <f>[1]!b_info_windl1type(B478)</f>
        <v>金融债</v>
      </c>
      <c r="M478" s="13">
        <f>[1]!b_info_couponrate(B478)</f>
        <v>3.05</v>
      </c>
      <c r="N478" s="14" t="str">
        <f>[1]!B_Info_ListedDate(B478)</f>
        <v>2016-08-29</v>
      </c>
      <c r="O478" s="14" t="str">
        <f>[1]!b_issue_firstissue(B478)</f>
        <v>2016-08-23</v>
      </c>
      <c r="P478" s="4">
        <f t="shared" ca="1" si="26"/>
        <v>42989</v>
      </c>
    </row>
    <row r="479" spans="2:16">
      <c r="B479" s="7">
        <v>160213</v>
      </c>
      <c r="C479" s="7">
        <v>4.3574999999999999</v>
      </c>
      <c r="D479" s="18" t="str">
        <f>[1]!b_info_name(B479)</f>
        <v>16国开13</v>
      </c>
      <c r="E479" s="19">
        <f>[1]!b_info_latestissurercreditrating(B479)</f>
        <v>0</v>
      </c>
      <c r="F479" s="20">
        <f ca="1">[1]!b_anal_day(B479,$A$5)/365</f>
        <v>8.9616438356164387</v>
      </c>
      <c r="G479" s="21">
        <f ca="1">[1]!b_anal_yield_cnbd(B479,$A$5)</f>
        <v>0</v>
      </c>
      <c r="H479" s="21">
        <f t="shared" ca="1" si="24"/>
        <v>435.75</v>
      </c>
      <c r="I479" s="21">
        <f ca="1">[1]!b_anal_yield_cnbd(B479,$A$7)</f>
        <v>0</v>
      </c>
      <c r="J479" s="21">
        <f t="shared" ca="1" si="25"/>
        <v>0</v>
      </c>
      <c r="K479" s="19" t="str">
        <f>[1]!s_info_Nature(B479)</f>
        <v>中央国有企业</v>
      </c>
      <c r="L479" s="19" t="str">
        <f>[1]!b_info_windl1type(B479)</f>
        <v>金融债</v>
      </c>
      <c r="M479" s="13">
        <f>[1]!b_info_couponrate(B479)</f>
        <v>3.05</v>
      </c>
      <c r="N479" s="14" t="str">
        <f>[1]!B_Info_ListedDate(B479)</f>
        <v>2016-08-29</v>
      </c>
      <c r="O479" s="14" t="str">
        <f>[1]!b_issue_firstissue(B479)</f>
        <v>2016-08-23</v>
      </c>
      <c r="P479" s="4">
        <f t="shared" ca="1" si="26"/>
        <v>42989</v>
      </c>
    </row>
    <row r="480" spans="2:16">
      <c r="B480" s="7">
        <v>160213</v>
      </c>
      <c r="C480" s="7">
        <v>4.3574999999999999</v>
      </c>
      <c r="D480" s="18" t="str">
        <f>[1]!b_info_name(B480)</f>
        <v>16国开13</v>
      </c>
      <c r="E480" s="19">
        <f>[1]!b_info_latestissurercreditrating(B480)</f>
        <v>0</v>
      </c>
      <c r="F480" s="20">
        <f ca="1">[1]!b_anal_day(B480,$A$5)/365</f>
        <v>8.9616438356164387</v>
      </c>
      <c r="G480" s="21">
        <f ca="1">[1]!b_anal_yield_cnbd(B480,$A$5)</f>
        <v>0</v>
      </c>
      <c r="H480" s="21">
        <f t="shared" ca="1" si="24"/>
        <v>435.75</v>
      </c>
      <c r="I480" s="21">
        <f ca="1">[1]!b_anal_yield_cnbd(B480,$A$7)</f>
        <v>0</v>
      </c>
      <c r="J480" s="21">
        <f t="shared" ca="1" si="25"/>
        <v>0</v>
      </c>
      <c r="K480" s="19" t="str">
        <f>[1]!s_info_Nature(B480)</f>
        <v>中央国有企业</v>
      </c>
      <c r="L480" s="19" t="str">
        <f>[1]!b_info_windl1type(B480)</f>
        <v>金融债</v>
      </c>
      <c r="M480" s="13">
        <f>[1]!b_info_couponrate(B480)</f>
        <v>3.05</v>
      </c>
      <c r="N480" s="14" t="str">
        <f>[1]!B_Info_ListedDate(B480)</f>
        <v>2016-08-29</v>
      </c>
      <c r="O480" s="14" t="str">
        <f>[1]!b_issue_firstissue(B480)</f>
        <v>2016-08-23</v>
      </c>
      <c r="P480" s="4">
        <f t="shared" ca="1" si="26"/>
        <v>42989</v>
      </c>
    </row>
    <row r="481" spans="2:16">
      <c r="B481" s="7">
        <v>160213</v>
      </c>
      <c r="C481" s="7">
        <v>4.3574999999999999</v>
      </c>
      <c r="D481" s="18" t="str">
        <f>[1]!b_info_name(B481)</f>
        <v>16国开13</v>
      </c>
      <c r="E481" s="19">
        <f>[1]!b_info_latestissurercreditrating(B481)</f>
        <v>0</v>
      </c>
      <c r="F481" s="20">
        <f ca="1">[1]!b_anal_day(B481,$A$5)/365</f>
        <v>8.9616438356164387</v>
      </c>
      <c r="G481" s="21">
        <f ca="1">[1]!b_anal_yield_cnbd(B481,$A$5)</f>
        <v>0</v>
      </c>
      <c r="H481" s="21">
        <f t="shared" ca="1" si="24"/>
        <v>435.75</v>
      </c>
      <c r="I481" s="21">
        <f ca="1">[1]!b_anal_yield_cnbd(B481,$A$7)</f>
        <v>0</v>
      </c>
      <c r="J481" s="21">
        <f t="shared" ca="1" si="25"/>
        <v>0</v>
      </c>
      <c r="K481" s="19" t="str">
        <f>[1]!s_info_Nature(B481)</f>
        <v>中央国有企业</v>
      </c>
      <c r="L481" s="19" t="str">
        <f>[1]!b_info_windl1type(B481)</f>
        <v>金融债</v>
      </c>
      <c r="M481" s="13">
        <f>[1]!b_info_couponrate(B481)</f>
        <v>3.05</v>
      </c>
      <c r="N481" s="14" t="str">
        <f>[1]!B_Info_ListedDate(B481)</f>
        <v>2016-08-29</v>
      </c>
      <c r="O481" s="14" t="str">
        <f>[1]!b_issue_firstissue(B481)</f>
        <v>2016-08-23</v>
      </c>
      <c r="P481" s="4">
        <f t="shared" ca="1" si="26"/>
        <v>42989</v>
      </c>
    </row>
    <row r="482" spans="2:16">
      <c r="B482" s="7">
        <v>160213</v>
      </c>
      <c r="C482" s="7">
        <v>4.3574999999999999</v>
      </c>
      <c r="D482" s="18" t="str">
        <f>[1]!b_info_name(B482)</f>
        <v>16国开13</v>
      </c>
      <c r="E482" s="19">
        <f>[1]!b_info_latestissurercreditrating(B482)</f>
        <v>0</v>
      </c>
      <c r="F482" s="20">
        <f ca="1">[1]!b_anal_day(B482,$A$5)/365</f>
        <v>8.9616438356164387</v>
      </c>
      <c r="G482" s="21">
        <f ca="1">[1]!b_anal_yield_cnbd(B482,$A$5)</f>
        <v>0</v>
      </c>
      <c r="H482" s="21">
        <f t="shared" ca="1" si="24"/>
        <v>435.75</v>
      </c>
      <c r="I482" s="21">
        <f ca="1">[1]!b_anal_yield_cnbd(B482,$A$7)</f>
        <v>0</v>
      </c>
      <c r="J482" s="21">
        <f t="shared" ca="1" si="25"/>
        <v>0</v>
      </c>
      <c r="K482" s="19" t="str">
        <f>[1]!s_info_Nature(B482)</f>
        <v>中央国有企业</v>
      </c>
      <c r="L482" s="19" t="str">
        <f>[1]!b_info_windl1type(B482)</f>
        <v>金融债</v>
      </c>
      <c r="M482" s="13">
        <f>[1]!b_info_couponrate(B482)</f>
        <v>3.05</v>
      </c>
      <c r="N482" s="14" t="str">
        <f>[1]!B_Info_ListedDate(B482)</f>
        <v>2016-08-29</v>
      </c>
      <c r="O482" s="14" t="str">
        <f>[1]!b_issue_firstissue(B482)</f>
        <v>2016-08-23</v>
      </c>
      <c r="P482" s="4">
        <f t="shared" ca="1" si="26"/>
        <v>42989</v>
      </c>
    </row>
    <row r="483" spans="2:16">
      <c r="B483" s="7">
        <v>160213</v>
      </c>
      <c r="C483" s="7">
        <v>4.3574999999999999</v>
      </c>
      <c r="D483" s="18" t="str">
        <f>[1]!b_info_name(B483)</f>
        <v>16国开13</v>
      </c>
      <c r="E483" s="19">
        <f>[1]!b_info_latestissurercreditrating(B483)</f>
        <v>0</v>
      </c>
      <c r="F483" s="20">
        <f ca="1">[1]!b_anal_day(B483,$A$5)/365</f>
        <v>8.9616438356164387</v>
      </c>
      <c r="G483" s="21">
        <f ca="1">[1]!b_anal_yield_cnbd(B483,$A$5)</f>
        <v>0</v>
      </c>
      <c r="H483" s="21">
        <f t="shared" ca="1" si="24"/>
        <v>435.75</v>
      </c>
      <c r="I483" s="21">
        <f ca="1">[1]!b_anal_yield_cnbd(B483,$A$7)</f>
        <v>0</v>
      </c>
      <c r="J483" s="21">
        <f t="shared" ca="1" si="25"/>
        <v>0</v>
      </c>
      <c r="K483" s="19" t="str">
        <f>[1]!s_info_Nature(B483)</f>
        <v>中央国有企业</v>
      </c>
      <c r="L483" s="19" t="str">
        <f>[1]!b_info_windl1type(B483)</f>
        <v>金融债</v>
      </c>
      <c r="M483" s="13">
        <f>[1]!b_info_couponrate(B483)</f>
        <v>3.05</v>
      </c>
      <c r="N483" s="14" t="str">
        <f>[1]!B_Info_ListedDate(B483)</f>
        <v>2016-08-29</v>
      </c>
      <c r="O483" s="14" t="str">
        <f>[1]!b_issue_firstissue(B483)</f>
        <v>2016-08-23</v>
      </c>
      <c r="P483" s="4">
        <f t="shared" ca="1" si="26"/>
        <v>42989</v>
      </c>
    </row>
    <row r="484" spans="2:16">
      <c r="B484" s="7">
        <v>160213</v>
      </c>
      <c r="C484" s="7">
        <v>4.3574999999999999</v>
      </c>
      <c r="D484" s="18" t="str">
        <f>[1]!b_info_name(B484)</f>
        <v>16国开13</v>
      </c>
      <c r="E484" s="19">
        <f>[1]!b_info_latestissurercreditrating(B484)</f>
        <v>0</v>
      </c>
      <c r="F484" s="20">
        <f ca="1">[1]!b_anal_day(B484,$A$5)/365</f>
        <v>8.9616438356164387</v>
      </c>
      <c r="G484" s="21">
        <f ca="1">[1]!b_anal_yield_cnbd(B484,$A$5)</f>
        <v>0</v>
      </c>
      <c r="H484" s="21">
        <f t="shared" ref="H484:H547" ca="1" si="27">(IF(C484&lt;0.1,C484*100,C484)-G484)*100</f>
        <v>435.75</v>
      </c>
      <c r="I484" s="21">
        <f ca="1">[1]!b_anal_yield_cnbd(B484,$A$7)</f>
        <v>0</v>
      </c>
      <c r="J484" s="21">
        <f t="shared" ref="J484:J547" ca="1" si="28">(G484-I484)*100</f>
        <v>0</v>
      </c>
      <c r="K484" s="19" t="str">
        <f>[1]!s_info_Nature(B484)</f>
        <v>中央国有企业</v>
      </c>
      <c r="L484" s="19" t="str">
        <f>[1]!b_info_windl1type(B484)</f>
        <v>金融债</v>
      </c>
      <c r="M484" s="13">
        <f>[1]!b_info_couponrate(B484)</f>
        <v>3.05</v>
      </c>
      <c r="N484" s="14" t="str">
        <f>[1]!B_Info_ListedDate(B484)</f>
        <v>2016-08-29</v>
      </c>
      <c r="O484" s="14" t="str">
        <f>[1]!b_issue_firstissue(B484)</f>
        <v>2016-08-23</v>
      </c>
      <c r="P484" s="4">
        <f t="shared" ref="P484:P547" ca="1" si="29">$A$2</f>
        <v>42989</v>
      </c>
    </row>
    <row r="485" spans="2:16">
      <c r="B485" s="7">
        <v>160213</v>
      </c>
      <c r="C485" s="7">
        <v>4.3574999999999999</v>
      </c>
      <c r="D485" s="18" t="str">
        <f>[1]!b_info_name(B485)</f>
        <v>16国开13</v>
      </c>
      <c r="E485" s="19">
        <f>[1]!b_info_latestissurercreditrating(B485)</f>
        <v>0</v>
      </c>
      <c r="F485" s="20">
        <f ca="1">[1]!b_anal_day(B485,$A$5)/365</f>
        <v>8.9616438356164387</v>
      </c>
      <c r="G485" s="21">
        <f ca="1">[1]!b_anal_yield_cnbd(B485,$A$5)</f>
        <v>0</v>
      </c>
      <c r="H485" s="21">
        <f t="shared" ca="1" si="27"/>
        <v>435.75</v>
      </c>
      <c r="I485" s="21">
        <f ca="1">[1]!b_anal_yield_cnbd(B485,$A$7)</f>
        <v>0</v>
      </c>
      <c r="J485" s="21">
        <f t="shared" ca="1" si="28"/>
        <v>0</v>
      </c>
      <c r="K485" s="19" t="str">
        <f>[1]!s_info_Nature(B485)</f>
        <v>中央国有企业</v>
      </c>
      <c r="L485" s="19" t="str">
        <f>[1]!b_info_windl1type(B485)</f>
        <v>金融债</v>
      </c>
      <c r="M485" s="13">
        <f>[1]!b_info_couponrate(B485)</f>
        <v>3.05</v>
      </c>
      <c r="N485" s="14" t="str">
        <f>[1]!B_Info_ListedDate(B485)</f>
        <v>2016-08-29</v>
      </c>
      <c r="O485" s="14" t="str">
        <f>[1]!b_issue_firstissue(B485)</f>
        <v>2016-08-23</v>
      </c>
      <c r="P485" s="4">
        <f t="shared" ca="1" si="29"/>
        <v>42989</v>
      </c>
    </row>
    <row r="486" spans="2:16">
      <c r="B486" s="7">
        <v>160213</v>
      </c>
      <c r="C486" s="7">
        <v>4.3574999999999999</v>
      </c>
      <c r="D486" s="18" t="str">
        <f>[1]!b_info_name(B486)</f>
        <v>16国开13</v>
      </c>
      <c r="E486" s="19">
        <f>[1]!b_info_latestissurercreditrating(B486)</f>
        <v>0</v>
      </c>
      <c r="F486" s="20">
        <f ca="1">[1]!b_anal_day(B486,$A$5)/365</f>
        <v>8.9616438356164387</v>
      </c>
      <c r="G486" s="21">
        <f ca="1">[1]!b_anal_yield_cnbd(B486,$A$5)</f>
        <v>0</v>
      </c>
      <c r="H486" s="21">
        <f t="shared" ca="1" si="27"/>
        <v>435.75</v>
      </c>
      <c r="I486" s="21">
        <f ca="1">[1]!b_anal_yield_cnbd(B486,$A$7)</f>
        <v>0</v>
      </c>
      <c r="J486" s="21">
        <f t="shared" ca="1" si="28"/>
        <v>0</v>
      </c>
      <c r="K486" s="19" t="str">
        <f>[1]!s_info_Nature(B486)</f>
        <v>中央国有企业</v>
      </c>
      <c r="L486" s="19" t="str">
        <f>[1]!b_info_windl1type(B486)</f>
        <v>金融债</v>
      </c>
      <c r="M486" s="13">
        <f>[1]!b_info_couponrate(B486)</f>
        <v>3.05</v>
      </c>
      <c r="N486" s="14" t="str">
        <f>[1]!B_Info_ListedDate(B486)</f>
        <v>2016-08-29</v>
      </c>
      <c r="O486" s="14" t="str">
        <f>[1]!b_issue_firstissue(B486)</f>
        <v>2016-08-23</v>
      </c>
      <c r="P486" s="4">
        <f t="shared" ca="1" si="29"/>
        <v>42989</v>
      </c>
    </row>
    <row r="487" spans="2:16">
      <c r="B487" s="7">
        <v>160213</v>
      </c>
      <c r="C487" s="7">
        <v>4.3574999999999999</v>
      </c>
      <c r="D487" s="18" t="str">
        <f>[1]!b_info_name(B487)</f>
        <v>16国开13</v>
      </c>
      <c r="E487" s="19">
        <f>[1]!b_info_latestissurercreditrating(B487)</f>
        <v>0</v>
      </c>
      <c r="F487" s="20">
        <f ca="1">[1]!b_anal_day(B487,$A$5)/365</f>
        <v>8.9616438356164387</v>
      </c>
      <c r="G487" s="21">
        <f ca="1">[1]!b_anal_yield_cnbd(B487,$A$5)</f>
        <v>0</v>
      </c>
      <c r="H487" s="21">
        <f t="shared" ca="1" si="27"/>
        <v>435.75</v>
      </c>
      <c r="I487" s="21">
        <f ca="1">[1]!b_anal_yield_cnbd(B487,$A$7)</f>
        <v>0</v>
      </c>
      <c r="J487" s="21">
        <f t="shared" ca="1" si="28"/>
        <v>0</v>
      </c>
      <c r="K487" s="19" t="str">
        <f>[1]!s_info_Nature(B487)</f>
        <v>中央国有企业</v>
      </c>
      <c r="L487" s="19" t="str">
        <f>[1]!b_info_windl1type(B487)</f>
        <v>金融债</v>
      </c>
      <c r="M487" s="13">
        <f>[1]!b_info_couponrate(B487)</f>
        <v>3.05</v>
      </c>
      <c r="N487" s="14" t="str">
        <f>[1]!B_Info_ListedDate(B487)</f>
        <v>2016-08-29</v>
      </c>
      <c r="O487" s="14" t="str">
        <f>[1]!b_issue_firstissue(B487)</f>
        <v>2016-08-23</v>
      </c>
      <c r="P487" s="4">
        <f t="shared" ca="1" si="29"/>
        <v>42989</v>
      </c>
    </row>
    <row r="488" spans="2:16">
      <c r="B488" s="7">
        <v>160213</v>
      </c>
      <c r="C488" s="7">
        <v>4.3574999999999999</v>
      </c>
      <c r="D488" s="18" t="str">
        <f>[1]!b_info_name(B488)</f>
        <v>16国开13</v>
      </c>
      <c r="E488" s="19">
        <f>[1]!b_info_latestissurercreditrating(B488)</f>
        <v>0</v>
      </c>
      <c r="F488" s="20">
        <f ca="1">[1]!b_anal_day(B488,$A$5)/365</f>
        <v>8.9616438356164387</v>
      </c>
      <c r="G488" s="21">
        <f ca="1">[1]!b_anal_yield_cnbd(B488,$A$5)</f>
        <v>0</v>
      </c>
      <c r="H488" s="21">
        <f t="shared" ca="1" si="27"/>
        <v>435.75</v>
      </c>
      <c r="I488" s="21">
        <f ca="1">[1]!b_anal_yield_cnbd(B488,$A$7)</f>
        <v>0</v>
      </c>
      <c r="J488" s="21">
        <f t="shared" ca="1" si="28"/>
        <v>0</v>
      </c>
      <c r="K488" s="19" t="str">
        <f>[1]!s_info_Nature(B488)</f>
        <v>中央国有企业</v>
      </c>
      <c r="L488" s="19" t="str">
        <f>[1]!b_info_windl1type(B488)</f>
        <v>金融债</v>
      </c>
      <c r="M488" s="13">
        <f>[1]!b_info_couponrate(B488)</f>
        <v>3.05</v>
      </c>
      <c r="N488" s="14" t="str">
        <f>[1]!B_Info_ListedDate(B488)</f>
        <v>2016-08-29</v>
      </c>
      <c r="O488" s="14" t="str">
        <f>[1]!b_issue_firstissue(B488)</f>
        <v>2016-08-23</v>
      </c>
      <c r="P488" s="4">
        <f t="shared" ca="1" si="29"/>
        <v>42989</v>
      </c>
    </row>
    <row r="489" spans="2:16">
      <c r="B489" s="7">
        <v>160213</v>
      </c>
      <c r="C489" s="7">
        <v>4.3574999999999999</v>
      </c>
      <c r="D489" s="18" t="str">
        <f>[1]!b_info_name(B489)</f>
        <v>16国开13</v>
      </c>
      <c r="E489" s="19">
        <f>[1]!b_info_latestissurercreditrating(B489)</f>
        <v>0</v>
      </c>
      <c r="F489" s="20">
        <f ca="1">[1]!b_anal_day(B489,$A$5)/365</f>
        <v>8.9616438356164387</v>
      </c>
      <c r="G489" s="21">
        <f ca="1">[1]!b_anal_yield_cnbd(B489,$A$5)</f>
        <v>0</v>
      </c>
      <c r="H489" s="21">
        <f t="shared" ca="1" si="27"/>
        <v>435.75</v>
      </c>
      <c r="I489" s="21">
        <f ca="1">[1]!b_anal_yield_cnbd(B489,$A$7)</f>
        <v>0</v>
      </c>
      <c r="J489" s="21">
        <f t="shared" ca="1" si="28"/>
        <v>0</v>
      </c>
      <c r="K489" s="19" t="str">
        <f>[1]!s_info_Nature(B489)</f>
        <v>中央国有企业</v>
      </c>
      <c r="L489" s="19" t="str">
        <f>[1]!b_info_windl1type(B489)</f>
        <v>金融债</v>
      </c>
      <c r="M489" s="13">
        <f>[1]!b_info_couponrate(B489)</f>
        <v>3.05</v>
      </c>
      <c r="N489" s="14" t="str">
        <f>[1]!B_Info_ListedDate(B489)</f>
        <v>2016-08-29</v>
      </c>
      <c r="O489" s="14" t="str">
        <f>[1]!b_issue_firstissue(B489)</f>
        <v>2016-08-23</v>
      </c>
      <c r="P489" s="4">
        <f t="shared" ca="1" si="29"/>
        <v>42989</v>
      </c>
    </row>
    <row r="490" spans="2:16">
      <c r="B490" s="7">
        <v>160213</v>
      </c>
      <c r="C490" s="7">
        <v>4.3574999999999999</v>
      </c>
      <c r="D490" s="18" t="str">
        <f>[1]!b_info_name(B490)</f>
        <v>16国开13</v>
      </c>
      <c r="E490" s="19">
        <f>[1]!b_info_latestissurercreditrating(B490)</f>
        <v>0</v>
      </c>
      <c r="F490" s="20">
        <f ca="1">[1]!b_anal_day(B490,$A$5)/365</f>
        <v>8.9616438356164387</v>
      </c>
      <c r="G490" s="21">
        <f ca="1">[1]!b_anal_yield_cnbd(B490,$A$5)</f>
        <v>0</v>
      </c>
      <c r="H490" s="21">
        <f t="shared" ca="1" si="27"/>
        <v>435.75</v>
      </c>
      <c r="I490" s="21">
        <f ca="1">[1]!b_anal_yield_cnbd(B490,$A$7)</f>
        <v>0</v>
      </c>
      <c r="J490" s="21">
        <f t="shared" ca="1" si="28"/>
        <v>0</v>
      </c>
      <c r="K490" s="19" t="str">
        <f>[1]!s_info_Nature(B490)</f>
        <v>中央国有企业</v>
      </c>
      <c r="L490" s="19" t="str">
        <f>[1]!b_info_windl1type(B490)</f>
        <v>金融债</v>
      </c>
      <c r="M490" s="13">
        <f>[1]!b_info_couponrate(B490)</f>
        <v>3.05</v>
      </c>
      <c r="N490" s="14" t="str">
        <f>[1]!B_Info_ListedDate(B490)</f>
        <v>2016-08-29</v>
      </c>
      <c r="O490" s="14" t="str">
        <f>[1]!b_issue_firstissue(B490)</f>
        <v>2016-08-23</v>
      </c>
      <c r="P490" s="4">
        <f t="shared" ca="1" si="29"/>
        <v>42989</v>
      </c>
    </row>
    <row r="491" spans="2:16">
      <c r="B491" s="7">
        <v>160213</v>
      </c>
      <c r="C491" s="7">
        <v>4.3574999999999999</v>
      </c>
      <c r="D491" s="18" t="str">
        <f>[1]!b_info_name(B491)</f>
        <v>16国开13</v>
      </c>
      <c r="E491" s="19">
        <f>[1]!b_info_latestissurercreditrating(B491)</f>
        <v>0</v>
      </c>
      <c r="F491" s="20">
        <f ca="1">[1]!b_anal_day(B491,$A$5)/365</f>
        <v>8.9616438356164387</v>
      </c>
      <c r="G491" s="21">
        <f ca="1">[1]!b_anal_yield_cnbd(B491,$A$5)</f>
        <v>0</v>
      </c>
      <c r="H491" s="21">
        <f t="shared" ca="1" si="27"/>
        <v>435.75</v>
      </c>
      <c r="I491" s="21">
        <f ca="1">[1]!b_anal_yield_cnbd(B491,$A$7)</f>
        <v>0</v>
      </c>
      <c r="J491" s="21">
        <f t="shared" ca="1" si="28"/>
        <v>0</v>
      </c>
      <c r="K491" s="19" t="str">
        <f>[1]!s_info_Nature(B491)</f>
        <v>中央国有企业</v>
      </c>
      <c r="L491" s="19" t="str">
        <f>[1]!b_info_windl1type(B491)</f>
        <v>金融债</v>
      </c>
      <c r="M491" s="13">
        <f>[1]!b_info_couponrate(B491)</f>
        <v>3.05</v>
      </c>
      <c r="N491" s="14" t="str">
        <f>[1]!B_Info_ListedDate(B491)</f>
        <v>2016-08-29</v>
      </c>
      <c r="O491" s="14" t="str">
        <f>[1]!b_issue_firstissue(B491)</f>
        <v>2016-08-23</v>
      </c>
      <c r="P491" s="4">
        <f t="shared" ca="1" si="29"/>
        <v>42989</v>
      </c>
    </row>
    <row r="492" spans="2:16">
      <c r="B492" s="7">
        <v>160213</v>
      </c>
      <c r="C492" s="7">
        <v>4.3550000000000004</v>
      </c>
      <c r="D492" s="18" t="str">
        <f>[1]!b_info_name(B492)</f>
        <v>16国开13</v>
      </c>
      <c r="E492" s="19">
        <f>[1]!b_info_latestissurercreditrating(B492)</f>
        <v>0</v>
      </c>
      <c r="F492" s="20">
        <f ca="1">[1]!b_anal_day(B492,$A$5)/365</f>
        <v>8.9616438356164387</v>
      </c>
      <c r="G492" s="21">
        <f ca="1">[1]!b_anal_yield_cnbd(B492,$A$5)</f>
        <v>0</v>
      </c>
      <c r="H492" s="21">
        <f t="shared" ca="1" si="27"/>
        <v>435.50000000000006</v>
      </c>
      <c r="I492" s="21">
        <f ca="1">[1]!b_anal_yield_cnbd(B492,$A$7)</f>
        <v>0</v>
      </c>
      <c r="J492" s="21">
        <f t="shared" ca="1" si="28"/>
        <v>0</v>
      </c>
      <c r="K492" s="19" t="str">
        <f>[1]!s_info_Nature(B492)</f>
        <v>中央国有企业</v>
      </c>
      <c r="L492" s="19" t="str">
        <f>[1]!b_info_windl1type(B492)</f>
        <v>金融债</v>
      </c>
      <c r="M492" s="13">
        <f>[1]!b_info_couponrate(B492)</f>
        <v>3.05</v>
      </c>
      <c r="N492" s="14" t="str">
        <f>[1]!B_Info_ListedDate(B492)</f>
        <v>2016-08-29</v>
      </c>
      <c r="O492" s="14" t="str">
        <f>[1]!b_issue_firstissue(B492)</f>
        <v>2016-08-23</v>
      </c>
      <c r="P492" s="4">
        <f t="shared" ca="1" si="29"/>
        <v>42989</v>
      </c>
    </row>
    <row r="493" spans="2:16">
      <c r="B493" s="7">
        <v>160213</v>
      </c>
      <c r="C493" s="7">
        <v>4.3550000000000004</v>
      </c>
      <c r="D493" s="18" t="str">
        <f>[1]!b_info_name(B493)</f>
        <v>16国开13</v>
      </c>
      <c r="E493" s="19">
        <f>[1]!b_info_latestissurercreditrating(B493)</f>
        <v>0</v>
      </c>
      <c r="F493" s="20">
        <f ca="1">[1]!b_anal_day(B493,$A$5)/365</f>
        <v>8.9616438356164387</v>
      </c>
      <c r="G493" s="21">
        <f ca="1">[1]!b_anal_yield_cnbd(B493,$A$5)</f>
        <v>0</v>
      </c>
      <c r="H493" s="21">
        <f t="shared" ca="1" si="27"/>
        <v>435.50000000000006</v>
      </c>
      <c r="I493" s="21">
        <f ca="1">[1]!b_anal_yield_cnbd(B493,$A$7)</f>
        <v>0</v>
      </c>
      <c r="J493" s="21">
        <f t="shared" ca="1" si="28"/>
        <v>0</v>
      </c>
      <c r="K493" s="19" t="str">
        <f>[1]!s_info_Nature(B493)</f>
        <v>中央国有企业</v>
      </c>
      <c r="L493" s="19" t="str">
        <f>[1]!b_info_windl1type(B493)</f>
        <v>金融债</v>
      </c>
      <c r="M493" s="13">
        <f>[1]!b_info_couponrate(B493)</f>
        <v>3.05</v>
      </c>
      <c r="N493" s="14" t="str">
        <f>[1]!B_Info_ListedDate(B493)</f>
        <v>2016-08-29</v>
      </c>
      <c r="O493" s="14" t="str">
        <f>[1]!b_issue_firstissue(B493)</f>
        <v>2016-08-23</v>
      </c>
      <c r="P493" s="4">
        <f t="shared" ca="1" si="29"/>
        <v>42989</v>
      </c>
    </row>
    <row r="494" spans="2:16">
      <c r="B494" s="7">
        <v>160213</v>
      </c>
      <c r="C494" s="7">
        <v>4.3550000000000004</v>
      </c>
      <c r="D494" s="18" t="str">
        <f>[1]!b_info_name(B494)</f>
        <v>16国开13</v>
      </c>
      <c r="E494" s="19">
        <f>[1]!b_info_latestissurercreditrating(B494)</f>
        <v>0</v>
      </c>
      <c r="F494" s="20">
        <f ca="1">[1]!b_anal_day(B494,$A$5)/365</f>
        <v>8.9616438356164387</v>
      </c>
      <c r="G494" s="21">
        <f ca="1">[1]!b_anal_yield_cnbd(B494,$A$5)</f>
        <v>0</v>
      </c>
      <c r="H494" s="21">
        <f t="shared" ca="1" si="27"/>
        <v>435.50000000000006</v>
      </c>
      <c r="I494" s="21">
        <f ca="1">[1]!b_anal_yield_cnbd(B494,$A$7)</f>
        <v>0</v>
      </c>
      <c r="J494" s="21">
        <f t="shared" ca="1" si="28"/>
        <v>0</v>
      </c>
      <c r="K494" s="19" t="str">
        <f>[1]!s_info_Nature(B494)</f>
        <v>中央国有企业</v>
      </c>
      <c r="L494" s="19" t="str">
        <f>[1]!b_info_windl1type(B494)</f>
        <v>金融债</v>
      </c>
      <c r="M494" s="13">
        <f>[1]!b_info_couponrate(B494)</f>
        <v>3.05</v>
      </c>
      <c r="N494" s="14" t="str">
        <f>[1]!B_Info_ListedDate(B494)</f>
        <v>2016-08-29</v>
      </c>
      <c r="O494" s="14" t="str">
        <f>[1]!b_issue_firstissue(B494)</f>
        <v>2016-08-23</v>
      </c>
      <c r="P494" s="4">
        <f t="shared" ca="1" si="29"/>
        <v>42989</v>
      </c>
    </row>
    <row r="495" spans="2:16">
      <c r="B495" s="7">
        <v>160213</v>
      </c>
      <c r="C495" s="7">
        <v>4.3550000000000004</v>
      </c>
      <c r="D495" s="18" t="str">
        <f>[1]!b_info_name(B495)</f>
        <v>16国开13</v>
      </c>
      <c r="E495" s="19">
        <f>[1]!b_info_latestissurercreditrating(B495)</f>
        <v>0</v>
      </c>
      <c r="F495" s="20">
        <f ca="1">[1]!b_anal_day(B495,$A$5)/365</f>
        <v>8.9616438356164387</v>
      </c>
      <c r="G495" s="21">
        <f ca="1">[1]!b_anal_yield_cnbd(B495,$A$5)</f>
        <v>0</v>
      </c>
      <c r="H495" s="21">
        <f t="shared" ca="1" si="27"/>
        <v>435.50000000000006</v>
      </c>
      <c r="I495" s="21">
        <f ca="1">[1]!b_anal_yield_cnbd(B495,$A$7)</f>
        <v>0</v>
      </c>
      <c r="J495" s="21">
        <f t="shared" ca="1" si="28"/>
        <v>0</v>
      </c>
      <c r="K495" s="19" t="str">
        <f>[1]!s_info_Nature(B495)</f>
        <v>中央国有企业</v>
      </c>
      <c r="L495" s="19" t="str">
        <f>[1]!b_info_windl1type(B495)</f>
        <v>金融债</v>
      </c>
      <c r="M495" s="13">
        <f>[1]!b_info_couponrate(B495)</f>
        <v>3.05</v>
      </c>
      <c r="N495" s="14" t="str">
        <f>[1]!B_Info_ListedDate(B495)</f>
        <v>2016-08-29</v>
      </c>
      <c r="O495" s="14" t="str">
        <f>[1]!b_issue_firstissue(B495)</f>
        <v>2016-08-23</v>
      </c>
      <c r="P495" s="4">
        <f t="shared" ca="1" si="29"/>
        <v>42989</v>
      </c>
    </row>
    <row r="496" spans="2:16">
      <c r="B496" s="7">
        <v>160213</v>
      </c>
      <c r="C496" s="7">
        <v>4.3550000000000004</v>
      </c>
      <c r="D496" s="18" t="str">
        <f>[1]!b_info_name(B496)</f>
        <v>16国开13</v>
      </c>
      <c r="E496" s="19">
        <f>[1]!b_info_latestissurercreditrating(B496)</f>
        <v>0</v>
      </c>
      <c r="F496" s="20">
        <f ca="1">[1]!b_anal_day(B496,$A$5)/365</f>
        <v>8.9616438356164387</v>
      </c>
      <c r="G496" s="21">
        <f ca="1">[1]!b_anal_yield_cnbd(B496,$A$5)</f>
        <v>0</v>
      </c>
      <c r="H496" s="21">
        <f t="shared" ca="1" si="27"/>
        <v>435.50000000000006</v>
      </c>
      <c r="I496" s="21">
        <f ca="1">[1]!b_anal_yield_cnbd(B496,$A$7)</f>
        <v>0</v>
      </c>
      <c r="J496" s="21">
        <f t="shared" ca="1" si="28"/>
        <v>0</v>
      </c>
      <c r="K496" s="19" t="str">
        <f>[1]!s_info_Nature(B496)</f>
        <v>中央国有企业</v>
      </c>
      <c r="L496" s="19" t="str">
        <f>[1]!b_info_windl1type(B496)</f>
        <v>金融债</v>
      </c>
      <c r="M496" s="13">
        <f>[1]!b_info_couponrate(B496)</f>
        <v>3.05</v>
      </c>
      <c r="N496" s="14" t="str">
        <f>[1]!B_Info_ListedDate(B496)</f>
        <v>2016-08-29</v>
      </c>
      <c r="O496" s="14" t="str">
        <f>[1]!b_issue_firstissue(B496)</f>
        <v>2016-08-23</v>
      </c>
      <c r="P496" s="4">
        <f t="shared" ca="1" si="29"/>
        <v>42989</v>
      </c>
    </row>
    <row r="497" spans="2:16">
      <c r="B497" s="7">
        <v>160213</v>
      </c>
      <c r="C497" s="7">
        <v>4.3550000000000004</v>
      </c>
      <c r="D497" s="18" t="str">
        <f>[1]!b_info_name(B497)</f>
        <v>16国开13</v>
      </c>
      <c r="E497" s="19">
        <f>[1]!b_info_latestissurercreditrating(B497)</f>
        <v>0</v>
      </c>
      <c r="F497" s="20">
        <f ca="1">[1]!b_anal_day(B497,$A$5)/365</f>
        <v>8.9616438356164387</v>
      </c>
      <c r="G497" s="21">
        <f ca="1">[1]!b_anal_yield_cnbd(B497,$A$5)</f>
        <v>0</v>
      </c>
      <c r="H497" s="21">
        <f t="shared" ca="1" si="27"/>
        <v>435.50000000000006</v>
      </c>
      <c r="I497" s="21">
        <f ca="1">[1]!b_anal_yield_cnbd(B497,$A$7)</f>
        <v>0</v>
      </c>
      <c r="J497" s="21">
        <f t="shared" ca="1" si="28"/>
        <v>0</v>
      </c>
      <c r="K497" s="19" t="str">
        <f>[1]!s_info_Nature(B497)</f>
        <v>中央国有企业</v>
      </c>
      <c r="L497" s="19" t="str">
        <f>[1]!b_info_windl1type(B497)</f>
        <v>金融债</v>
      </c>
      <c r="M497" s="13">
        <f>[1]!b_info_couponrate(B497)</f>
        <v>3.05</v>
      </c>
      <c r="N497" s="14" t="str">
        <f>[1]!B_Info_ListedDate(B497)</f>
        <v>2016-08-29</v>
      </c>
      <c r="O497" s="14" t="str">
        <f>[1]!b_issue_firstissue(B497)</f>
        <v>2016-08-23</v>
      </c>
      <c r="P497" s="4">
        <f t="shared" ca="1" si="29"/>
        <v>42989</v>
      </c>
    </row>
    <row r="498" spans="2:16">
      <c r="B498" s="7">
        <v>160213</v>
      </c>
      <c r="C498" s="7">
        <v>4.3550000000000004</v>
      </c>
      <c r="D498" s="18" t="str">
        <f>[1]!b_info_name(B498)</f>
        <v>16国开13</v>
      </c>
      <c r="E498" s="19">
        <f>[1]!b_info_latestissurercreditrating(B498)</f>
        <v>0</v>
      </c>
      <c r="F498" s="20">
        <f ca="1">[1]!b_anal_day(B498,$A$5)/365</f>
        <v>8.9616438356164387</v>
      </c>
      <c r="G498" s="21">
        <f ca="1">[1]!b_anal_yield_cnbd(B498,$A$5)</f>
        <v>0</v>
      </c>
      <c r="H498" s="21">
        <f t="shared" ca="1" si="27"/>
        <v>435.50000000000006</v>
      </c>
      <c r="I498" s="21">
        <f ca="1">[1]!b_anal_yield_cnbd(B498,$A$7)</f>
        <v>0</v>
      </c>
      <c r="J498" s="21">
        <f t="shared" ca="1" si="28"/>
        <v>0</v>
      </c>
      <c r="K498" s="19" t="str">
        <f>[1]!s_info_Nature(B498)</f>
        <v>中央国有企业</v>
      </c>
      <c r="L498" s="19" t="str">
        <f>[1]!b_info_windl1type(B498)</f>
        <v>金融债</v>
      </c>
      <c r="M498" s="13">
        <f>[1]!b_info_couponrate(B498)</f>
        <v>3.05</v>
      </c>
      <c r="N498" s="14" t="str">
        <f>[1]!B_Info_ListedDate(B498)</f>
        <v>2016-08-29</v>
      </c>
      <c r="O498" s="14" t="str">
        <f>[1]!b_issue_firstissue(B498)</f>
        <v>2016-08-23</v>
      </c>
      <c r="P498" s="4">
        <f t="shared" ca="1" si="29"/>
        <v>42989</v>
      </c>
    </row>
    <row r="499" spans="2:16">
      <c r="B499" s="7">
        <v>160213</v>
      </c>
      <c r="C499" s="7">
        <v>4.3550000000000004</v>
      </c>
      <c r="D499" s="18" t="str">
        <f>[1]!b_info_name(B499)</f>
        <v>16国开13</v>
      </c>
      <c r="E499" s="19">
        <f>[1]!b_info_latestissurercreditrating(B499)</f>
        <v>0</v>
      </c>
      <c r="F499" s="20">
        <f ca="1">[1]!b_anal_day(B499,$A$5)/365</f>
        <v>8.9616438356164387</v>
      </c>
      <c r="G499" s="21">
        <f ca="1">[1]!b_anal_yield_cnbd(B499,$A$5)</f>
        <v>0</v>
      </c>
      <c r="H499" s="21">
        <f t="shared" ca="1" si="27"/>
        <v>435.50000000000006</v>
      </c>
      <c r="I499" s="21">
        <f ca="1">[1]!b_anal_yield_cnbd(B499,$A$7)</f>
        <v>0</v>
      </c>
      <c r="J499" s="21">
        <f t="shared" ca="1" si="28"/>
        <v>0</v>
      </c>
      <c r="K499" s="19" t="str">
        <f>[1]!s_info_Nature(B499)</f>
        <v>中央国有企业</v>
      </c>
      <c r="L499" s="19" t="str">
        <f>[1]!b_info_windl1type(B499)</f>
        <v>金融债</v>
      </c>
      <c r="M499" s="13">
        <f>[1]!b_info_couponrate(B499)</f>
        <v>3.05</v>
      </c>
      <c r="N499" s="14" t="str">
        <f>[1]!B_Info_ListedDate(B499)</f>
        <v>2016-08-29</v>
      </c>
      <c r="O499" s="14" t="str">
        <f>[1]!b_issue_firstissue(B499)</f>
        <v>2016-08-23</v>
      </c>
      <c r="P499" s="4">
        <f t="shared" ca="1" si="29"/>
        <v>42989</v>
      </c>
    </row>
    <row r="500" spans="2:16">
      <c r="B500" s="7">
        <v>160213</v>
      </c>
      <c r="C500" s="7">
        <v>4.3550000000000004</v>
      </c>
      <c r="D500" s="18" t="str">
        <f>[1]!b_info_name(B500)</f>
        <v>16国开13</v>
      </c>
      <c r="E500" s="19">
        <f>[1]!b_info_latestissurercreditrating(B500)</f>
        <v>0</v>
      </c>
      <c r="F500" s="20">
        <f ca="1">[1]!b_anal_day(B500,$A$5)/365</f>
        <v>8.9616438356164387</v>
      </c>
      <c r="G500" s="21">
        <f ca="1">[1]!b_anal_yield_cnbd(B500,$A$5)</f>
        <v>0</v>
      </c>
      <c r="H500" s="21">
        <f t="shared" ca="1" si="27"/>
        <v>435.50000000000006</v>
      </c>
      <c r="I500" s="21">
        <f ca="1">[1]!b_anal_yield_cnbd(B500,$A$7)</f>
        <v>0</v>
      </c>
      <c r="J500" s="21">
        <f t="shared" ca="1" si="28"/>
        <v>0</v>
      </c>
      <c r="K500" s="19" t="str">
        <f>[1]!s_info_Nature(B500)</f>
        <v>中央国有企业</v>
      </c>
      <c r="L500" s="19" t="str">
        <f>[1]!b_info_windl1type(B500)</f>
        <v>金融债</v>
      </c>
      <c r="M500" s="13">
        <f>[1]!b_info_couponrate(B500)</f>
        <v>3.05</v>
      </c>
      <c r="N500" s="14" t="str">
        <f>[1]!B_Info_ListedDate(B500)</f>
        <v>2016-08-29</v>
      </c>
      <c r="O500" s="14" t="str">
        <f>[1]!b_issue_firstissue(B500)</f>
        <v>2016-08-23</v>
      </c>
      <c r="P500" s="4">
        <f t="shared" ca="1" si="29"/>
        <v>42989</v>
      </c>
    </row>
    <row r="501" spans="2:16">
      <c r="B501" s="7">
        <v>160213</v>
      </c>
      <c r="C501" s="7">
        <v>4.3550000000000004</v>
      </c>
      <c r="D501" s="18" t="str">
        <f>[1]!b_info_name(B501)</f>
        <v>16国开13</v>
      </c>
      <c r="E501" s="19">
        <f>[1]!b_info_latestissurercreditrating(B501)</f>
        <v>0</v>
      </c>
      <c r="F501" s="20">
        <f ca="1">[1]!b_anal_day(B501,$A$5)/365</f>
        <v>8.9616438356164387</v>
      </c>
      <c r="G501" s="21">
        <f ca="1">[1]!b_anal_yield_cnbd(B501,$A$5)</f>
        <v>0</v>
      </c>
      <c r="H501" s="21">
        <f t="shared" ca="1" si="27"/>
        <v>435.50000000000006</v>
      </c>
      <c r="I501" s="21">
        <f ca="1">[1]!b_anal_yield_cnbd(B501,$A$7)</f>
        <v>0</v>
      </c>
      <c r="J501" s="21">
        <f t="shared" ca="1" si="28"/>
        <v>0</v>
      </c>
      <c r="K501" s="19" t="str">
        <f>[1]!s_info_Nature(B501)</f>
        <v>中央国有企业</v>
      </c>
      <c r="L501" s="19" t="str">
        <f>[1]!b_info_windl1type(B501)</f>
        <v>金融债</v>
      </c>
      <c r="M501" s="13">
        <f>[1]!b_info_couponrate(B501)</f>
        <v>3.05</v>
      </c>
      <c r="N501" s="14" t="str">
        <f>[1]!B_Info_ListedDate(B501)</f>
        <v>2016-08-29</v>
      </c>
      <c r="O501" s="14" t="str">
        <f>[1]!b_issue_firstissue(B501)</f>
        <v>2016-08-23</v>
      </c>
      <c r="P501" s="4">
        <f t="shared" ca="1" si="29"/>
        <v>42989</v>
      </c>
    </row>
    <row r="502" spans="2:16">
      <c r="B502" s="7">
        <v>160213</v>
      </c>
      <c r="C502" s="7">
        <v>4.3550000000000004</v>
      </c>
      <c r="D502" s="18" t="str">
        <f>[1]!b_info_name(B502)</f>
        <v>16国开13</v>
      </c>
      <c r="E502" s="19">
        <f>[1]!b_info_latestissurercreditrating(B502)</f>
        <v>0</v>
      </c>
      <c r="F502" s="20">
        <f ca="1">[1]!b_anal_day(B502,$A$5)/365</f>
        <v>8.9616438356164387</v>
      </c>
      <c r="G502" s="21">
        <f ca="1">[1]!b_anal_yield_cnbd(B502,$A$5)</f>
        <v>0</v>
      </c>
      <c r="H502" s="21">
        <f t="shared" ca="1" si="27"/>
        <v>435.50000000000006</v>
      </c>
      <c r="I502" s="21">
        <f ca="1">[1]!b_anal_yield_cnbd(B502,$A$7)</f>
        <v>0</v>
      </c>
      <c r="J502" s="21">
        <f t="shared" ca="1" si="28"/>
        <v>0</v>
      </c>
      <c r="K502" s="19" t="str">
        <f>[1]!s_info_Nature(B502)</f>
        <v>中央国有企业</v>
      </c>
      <c r="L502" s="19" t="str">
        <f>[1]!b_info_windl1type(B502)</f>
        <v>金融债</v>
      </c>
      <c r="M502" s="13">
        <f>[1]!b_info_couponrate(B502)</f>
        <v>3.05</v>
      </c>
      <c r="N502" s="14" t="str">
        <f>[1]!B_Info_ListedDate(B502)</f>
        <v>2016-08-29</v>
      </c>
      <c r="O502" s="14" t="str">
        <f>[1]!b_issue_firstissue(B502)</f>
        <v>2016-08-23</v>
      </c>
      <c r="P502" s="4">
        <f t="shared" ca="1" si="29"/>
        <v>42989</v>
      </c>
    </row>
    <row r="503" spans="2:16">
      <c r="B503" s="7">
        <v>160213</v>
      </c>
      <c r="C503" s="7">
        <v>4.3550000000000004</v>
      </c>
      <c r="D503" s="18" t="str">
        <f>[1]!b_info_name(B503)</f>
        <v>16国开13</v>
      </c>
      <c r="E503" s="19">
        <f>[1]!b_info_latestissurercreditrating(B503)</f>
        <v>0</v>
      </c>
      <c r="F503" s="20">
        <f ca="1">[1]!b_anal_day(B503,$A$5)/365</f>
        <v>8.9616438356164387</v>
      </c>
      <c r="G503" s="21">
        <f ca="1">[1]!b_anal_yield_cnbd(B503,$A$5)</f>
        <v>0</v>
      </c>
      <c r="H503" s="21">
        <f t="shared" ca="1" si="27"/>
        <v>435.50000000000006</v>
      </c>
      <c r="I503" s="21">
        <f ca="1">[1]!b_anal_yield_cnbd(B503,$A$7)</f>
        <v>0</v>
      </c>
      <c r="J503" s="21">
        <f t="shared" ca="1" si="28"/>
        <v>0</v>
      </c>
      <c r="K503" s="19" t="str">
        <f>[1]!s_info_Nature(B503)</f>
        <v>中央国有企业</v>
      </c>
      <c r="L503" s="19" t="str">
        <f>[1]!b_info_windl1type(B503)</f>
        <v>金融债</v>
      </c>
      <c r="M503" s="13">
        <f>[1]!b_info_couponrate(B503)</f>
        <v>3.05</v>
      </c>
      <c r="N503" s="14" t="str">
        <f>[1]!B_Info_ListedDate(B503)</f>
        <v>2016-08-29</v>
      </c>
      <c r="O503" s="14" t="str">
        <f>[1]!b_issue_firstissue(B503)</f>
        <v>2016-08-23</v>
      </c>
      <c r="P503" s="4">
        <f t="shared" ca="1" si="29"/>
        <v>42989</v>
      </c>
    </row>
    <row r="504" spans="2:16">
      <c r="B504" s="7">
        <v>160213</v>
      </c>
      <c r="C504" s="7">
        <v>4.3550000000000004</v>
      </c>
      <c r="D504" s="18" t="str">
        <f>[1]!b_info_name(B504)</f>
        <v>16国开13</v>
      </c>
      <c r="E504" s="19">
        <f>[1]!b_info_latestissurercreditrating(B504)</f>
        <v>0</v>
      </c>
      <c r="F504" s="20">
        <f ca="1">[1]!b_anal_day(B504,$A$5)/365</f>
        <v>8.9616438356164387</v>
      </c>
      <c r="G504" s="21">
        <f ca="1">[1]!b_anal_yield_cnbd(B504,$A$5)</f>
        <v>0</v>
      </c>
      <c r="H504" s="21">
        <f t="shared" ca="1" si="27"/>
        <v>435.50000000000006</v>
      </c>
      <c r="I504" s="21">
        <f ca="1">[1]!b_anal_yield_cnbd(B504,$A$7)</f>
        <v>0</v>
      </c>
      <c r="J504" s="21">
        <f t="shared" ca="1" si="28"/>
        <v>0</v>
      </c>
      <c r="K504" s="19" t="str">
        <f>[1]!s_info_Nature(B504)</f>
        <v>中央国有企业</v>
      </c>
      <c r="L504" s="19" t="str">
        <f>[1]!b_info_windl1type(B504)</f>
        <v>金融债</v>
      </c>
      <c r="M504" s="13">
        <f>[1]!b_info_couponrate(B504)</f>
        <v>3.05</v>
      </c>
      <c r="N504" s="14" t="str">
        <f>[1]!B_Info_ListedDate(B504)</f>
        <v>2016-08-29</v>
      </c>
      <c r="O504" s="14" t="str">
        <f>[1]!b_issue_firstissue(B504)</f>
        <v>2016-08-23</v>
      </c>
      <c r="P504" s="4">
        <f t="shared" ca="1" si="29"/>
        <v>42989</v>
      </c>
    </row>
    <row r="505" spans="2:16">
      <c r="B505" s="7">
        <v>160213</v>
      </c>
      <c r="C505" s="7">
        <v>4.3550000000000004</v>
      </c>
      <c r="D505" s="18" t="str">
        <f>[1]!b_info_name(B505)</f>
        <v>16国开13</v>
      </c>
      <c r="E505" s="19">
        <f>[1]!b_info_latestissurercreditrating(B505)</f>
        <v>0</v>
      </c>
      <c r="F505" s="20">
        <f ca="1">[1]!b_anal_day(B505,$A$5)/365</f>
        <v>8.9616438356164387</v>
      </c>
      <c r="G505" s="21">
        <f ca="1">[1]!b_anal_yield_cnbd(B505,$A$5)</f>
        <v>0</v>
      </c>
      <c r="H505" s="21">
        <f t="shared" ca="1" si="27"/>
        <v>435.50000000000006</v>
      </c>
      <c r="I505" s="21">
        <f ca="1">[1]!b_anal_yield_cnbd(B505,$A$7)</f>
        <v>0</v>
      </c>
      <c r="J505" s="21">
        <f t="shared" ca="1" si="28"/>
        <v>0</v>
      </c>
      <c r="K505" s="19" t="str">
        <f>[1]!s_info_Nature(B505)</f>
        <v>中央国有企业</v>
      </c>
      <c r="L505" s="19" t="str">
        <f>[1]!b_info_windl1type(B505)</f>
        <v>金融债</v>
      </c>
      <c r="M505" s="13">
        <f>[1]!b_info_couponrate(B505)</f>
        <v>3.05</v>
      </c>
      <c r="N505" s="14" t="str">
        <f>[1]!B_Info_ListedDate(B505)</f>
        <v>2016-08-29</v>
      </c>
      <c r="O505" s="14" t="str">
        <f>[1]!b_issue_firstissue(B505)</f>
        <v>2016-08-23</v>
      </c>
      <c r="P505" s="4">
        <f t="shared" ca="1" si="29"/>
        <v>42989</v>
      </c>
    </row>
    <row r="506" spans="2:16">
      <c r="B506" s="7">
        <v>160213</v>
      </c>
      <c r="C506" s="7">
        <v>4.3550000000000004</v>
      </c>
      <c r="D506" s="18" t="str">
        <f>[1]!b_info_name(B506)</f>
        <v>16国开13</v>
      </c>
      <c r="E506" s="19">
        <f>[1]!b_info_latestissurercreditrating(B506)</f>
        <v>0</v>
      </c>
      <c r="F506" s="20">
        <f ca="1">[1]!b_anal_day(B506,$A$5)/365</f>
        <v>8.9616438356164387</v>
      </c>
      <c r="G506" s="21">
        <f ca="1">[1]!b_anal_yield_cnbd(B506,$A$5)</f>
        <v>0</v>
      </c>
      <c r="H506" s="21">
        <f t="shared" ca="1" si="27"/>
        <v>435.50000000000006</v>
      </c>
      <c r="I506" s="21">
        <f ca="1">[1]!b_anal_yield_cnbd(B506,$A$7)</f>
        <v>0</v>
      </c>
      <c r="J506" s="21">
        <f t="shared" ca="1" si="28"/>
        <v>0</v>
      </c>
      <c r="K506" s="19" t="str">
        <f>[1]!s_info_Nature(B506)</f>
        <v>中央国有企业</v>
      </c>
      <c r="L506" s="19" t="str">
        <f>[1]!b_info_windl1type(B506)</f>
        <v>金融债</v>
      </c>
      <c r="M506" s="13">
        <f>[1]!b_info_couponrate(B506)</f>
        <v>3.05</v>
      </c>
      <c r="N506" s="14" t="str">
        <f>[1]!B_Info_ListedDate(B506)</f>
        <v>2016-08-29</v>
      </c>
      <c r="O506" s="14" t="str">
        <f>[1]!b_issue_firstissue(B506)</f>
        <v>2016-08-23</v>
      </c>
      <c r="P506" s="4">
        <f t="shared" ca="1" si="29"/>
        <v>42989</v>
      </c>
    </row>
    <row r="507" spans="2:16">
      <c r="B507" s="7">
        <v>160213</v>
      </c>
      <c r="C507" s="7">
        <v>4.3550000000000004</v>
      </c>
      <c r="D507" s="18" t="str">
        <f>[1]!b_info_name(B507)</f>
        <v>16国开13</v>
      </c>
      <c r="E507" s="19">
        <f>[1]!b_info_latestissurercreditrating(B507)</f>
        <v>0</v>
      </c>
      <c r="F507" s="20">
        <f ca="1">[1]!b_anal_day(B507,$A$5)/365</f>
        <v>8.9616438356164387</v>
      </c>
      <c r="G507" s="21">
        <f ca="1">[1]!b_anal_yield_cnbd(B507,$A$5)</f>
        <v>0</v>
      </c>
      <c r="H507" s="21">
        <f t="shared" ca="1" si="27"/>
        <v>435.50000000000006</v>
      </c>
      <c r="I507" s="21">
        <f ca="1">[1]!b_anal_yield_cnbd(B507,$A$7)</f>
        <v>0</v>
      </c>
      <c r="J507" s="21">
        <f t="shared" ca="1" si="28"/>
        <v>0</v>
      </c>
      <c r="K507" s="19" t="str">
        <f>[1]!s_info_Nature(B507)</f>
        <v>中央国有企业</v>
      </c>
      <c r="L507" s="19" t="str">
        <f>[1]!b_info_windl1type(B507)</f>
        <v>金融债</v>
      </c>
      <c r="M507" s="13">
        <f>[1]!b_info_couponrate(B507)</f>
        <v>3.05</v>
      </c>
      <c r="N507" s="14" t="str">
        <f>[1]!B_Info_ListedDate(B507)</f>
        <v>2016-08-29</v>
      </c>
      <c r="O507" s="14" t="str">
        <f>[1]!b_issue_firstissue(B507)</f>
        <v>2016-08-23</v>
      </c>
      <c r="P507" s="4">
        <f t="shared" ca="1" si="29"/>
        <v>42989</v>
      </c>
    </row>
    <row r="508" spans="2:16">
      <c r="B508" s="7">
        <v>160213</v>
      </c>
      <c r="C508" s="7">
        <v>4.3550000000000004</v>
      </c>
      <c r="D508" s="18" t="str">
        <f>[1]!b_info_name(B508)</f>
        <v>16国开13</v>
      </c>
      <c r="E508" s="19">
        <f>[1]!b_info_latestissurercreditrating(B508)</f>
        <v>0</v>
      </c>
      <c r="F508" s="20">
        <f ca="1">[1]!b_anal_day(B508,$A$5)/365</f>
        <v>8.9616438356164387</v>
      </c>
      <c r="G508" s="21">
        <f ca="1">[1]!b_anal_yield_cnbd(B508,$A$5)</f>
        <v>0</v>
      </c>
      <c r="H508" s="21">
        <f t="shared" ca="1" si="27"/>
        <v>435.50000000000006</v>
      </c>
      <c r="I508" s="21">
        <f ca="1">[1]!b_anal_yield_cnbd(B508,$A$7)</f>
        <v>0</v>
      </c>
      <c r="J508" s="21">
        <f t="shared" ca="1" si="28"/>
        <v>0</v>
      </c>
      <c r="K508" s="19" t="str">
        <f>[1]!s_info_Nature(B508)</f>
        <v>中央国有企业</v>
      </c>
      <c r="L508" s="19" t="str">
        <f>[1]!b_info_windl1type(B508)</f>
        <v>金融债</v>
      </c>
      <c r="M508" s="13">
        <f>[1]!b_info_couponrate(B508)</f>
        <v>3.05</v>
      </c>
      <c r="N508" s="14" t="str">
        <f>[1]!B_Info_ListedDate(B508)</f>
        <v>2016-08-29</v>
      </c>
      <c r="O508" s="14" t="str">
        <f>[1]!b_issue_firstissue(B508)</f>
        <v>2016-08-23</v>
      </c>
      <c r="P508" s="4">
        <f t="shared" ca="1" si="29"/>
        <v>42989</v>
      </c>
    </row>
    <row r="509" spans="2:16">
      <c r="B509" s="7">
        <v>160213</v>
      </c>
      <c r="C509" s="7">
        <v>4.3550000000000004</v>
      </c>
      <c r="D509" s="18" t="str">
        <f>[1]!b_info_name(B509)</f>
        <v>16国开13</v>
      </c>
      <c r="E509" s="19">
        <f>[1]!b_info_latestissurercreditrating(B509)</f>
        <v>0</v>
      </c>
      <c r="F509" s="20">
        <f ca="1">[1]!b_anal_day(B509,$A$5)/365</f>
        <v>8.9616438356164387</v>
      </c>
      <c r="G509" s="21">
        <f ca="1">[1]!b_anal_yield_cnbd(B509,$A$5)</f>
        <v>0</v>
      </c>
      <c r="H509" s="21">
        <f t="shared" ca="1" si="27"/>
        <v>435.50000000000006</v>
      </c>
      <c r="I509" s="21">
        <f ca="1">[1]!b_anal_yield_cnbd(B509,$A$7)</f>
        <v>0</v>
      </c>
      <c r="J509" s="21">
        <f t="shared" ca="1" si="28"/>
        <v>0</v>
      </c>
      <c r="K509" s="19" t="str">
        <f>[1]!s_info_Nature(B509)</f>
        <v>中央国有企业</v>
      </c>
      <c r="L509" s="19" t="str">
        <f>[1]!b_info_windl1type(B509)</f>
        <v>金融债</v>
      </c>
      <c r="M509" s="13">
        <f>[1]!b_info_couponrate(B509)</f>
        <v>3.05</v>
      </c>
      <c r="N509" s="14" t="str">
        <f>[1]!B_Info_ListedDate(B509)</f>
        <v>2016-08-29</v>
      </c>
      <c r="O509" s="14" t="str">
        <f>[1]!b_issue_firstissue(B509)</f>
        <v>2016-08-23</v>
      </c>
      <c r="P509" s="4">
        <f t="shared" ca="1" si="29"/>
        <v>42989</v>
      </c>
    </row>
    <row r="510" spans="2:16">
      <c r="B510" s="7">
        <v>160213</v>
      </c>
      <c r="C510" s="7">
        <v>4.3550000000000004</v>
      </c>
      <c r="D510" s="18" t="str">
        <f>[1]!b_info_name(B510)</f>
        <v>16国开13</v>
      </c>
      <c r="E510" s="19">
        <f>[1]!b_info_latestissurercreditrating(B510)</f>
        <v>0</v>
      </c>
      <c r="F510" s="20">
        <f ca="1">[1]!b_anal_day(B510,$A$5)/365</f>
        <v>8.9616438356164387</v>
      </c>
      <c r="G510" s="21">
        <f ca="1">[1]!b_anal_yield_cnbd(B510,$A$5)</f>
        <v>0</v>
      </c>
      <c r="H510" s="21">
        <f t="shared" ca="1" si="27"/>
        <v>435.50000000000006</v>
      </c>
      <c r="I510" s="21">
        <f ca="1">[1]!b_anal_yield_cnbd(B510,$A$7)</f>
        <v>0</v>
      </c>
      <c r="J510" s="21">
        <f t="shared" ca="1" si="28"/>
        <v>0</v>
      </c>
      <c r="K510" s="19" t="str">
        <f>[1]!s_info_Nature(B510)</f>
        <v>中央国有企业</v>
      </c>
      <c r="L510" s="19" t="str">
        <f>[1]!b_info_windl1type(B510)</f>
        <v>金融债</v>
      </c>
      <c r="M510" s="13">
        <f>[1]!b_info_couponrate(B510)</f>
        <v>3.05</v>
      </c>
      <c r="N510" s="14" t="str">
        <f>[1]!B_Info_ListedDate(B510)</f>
        <v>2016-08-29</v>
      </c>
      <c r="O510" s="14" t="str">
        <f>[1]!b_issue_firstissue(B510)</f>
        <v>2016-08-23</v>
      </c>
      <c r="P510" s="4">
        <f t="shared" ca="1" si="29"/>
        <v>42989</v>
      </c>
    </row>
    <row r="511" spans="2:16">
      <c r="B511" s="7">
        <v>160213</v>
      </c>
      <c r="C511" s="7">
        <v>4.3550000000000004</v>
      </c>
      <c r="D511" s="18" t="str">
        <f>[1]!b_info_name(B511)</f>
        <v>16国开13</v>
      </c>
      <c r="E511" s="19">
        <f>[1]!b_info_latestissurercreditrating(B511)</f>
        <v>0</v>
      </c>
      <c r="F511" s="20">
        <f ca="1">[1]!b_anal_day(B511,$A$5)/365</f>
        <v>8.9616438356164387</v>
      </c>
      <c r="G511" s="21">
        <f ca="1">[1]!b_anal_yield_cnbd(B511,$A$5)</f>
        <v>0</v>
      </c>
      <c r="H511" s="21">
        <f t="shared" ca="1" si="27"/>
        <v>435.50000000000006</v>
      </c>
      <c r="I511" s="21">
        <f ca="1">[1]!b_anal_yield_cnbd(B511,$A$7)</f>
        <v>0</v>
      </c>
      <c r="J511" s="21">
        <f t="shared" ca="1" si="28"/>
        <v>0</v>
      </c>
      <c r="K511" s="19" t="str">
        <f>[1]!s_info_Nature(B511)</f>
        <v>中央国有企业</v>
      </c>
      <c r="L511" s="19" t="str">
        <f>[1]!b_info_windl1type(B511)</f>
        <v>金融债</v>
      </c>
      <c r="M511" s="13">
        <f>[1]!b_info_couponrate(B511)</f>
        <v>3.05</v>
      </c>
      <c r="N511" s="14" t="str">
        <f>[1]!B_Info_ListedDate(B511)</f>
        <v>2016-08-29</v>
      </c>
      <c r="O511" s="14" t="str">
        <f>[1]!b_issue_firstissue(B511)</f>
        <v>2016-08-23</v>
      </c>
      <c r="P511" s="4">
        <f t="shared" ca="1" si="29"/>
        <v>42989</v>
      </c>
    </row>
    <row r="512" spans="2:16">
      <c r="B512" s="7">
        <v>160213</v>
      </c>
      <c r="C512" s="7">
        <v>4.3550000000000004</v>
      </c>
      <c r="D512" s="18" t="str">
        <f>[1]!b_info_name(B512)</f>
        <v>16国开13</v>
      </c>
      <c r="E512" s="19">
        <f>[1]!b_info_latestissurercreditrating(B512)</f>
        <v>0</v>
      </c>
      <c r="F512" s="20">
        <f ca="1">[1]!b_anal_day(B512,$A$5)/365</f>
        <v>8.9616438356164387</v>
      </c>
      <c r="G512" s="21">
        <f ca="1">[1]!b_anal_yield_cnbd(B512,$A$5)</f>
        <v>0</v>
      </c>
      <c r="H512" s="21">
        <f t="shared" ca="1" si="27"/>
        <v>435.50000000000006</v>
      </c>
      <c r="I512" s="21">
        <f ca="1">[1]!b_anal_yield_cnbd(B512,$A$7)</f>
        <v>0</v>
      </c>
      <c r="J512" s="21">
        <f t="shared" ca="1" si="28"/>
        <v>0</v>
      </c>
      <c r="K512" s="19" t="str">
        <f>[1]!s_info_Nature(B512)</f>
        <v>中央国有企业</v>
      </c>
      <c r="L512" s="19" t="str">
        <f>[1]!b_info_windl1type(B512)</f>
        <v>金融债</v>
      </c>
      <c r="M512" s="13">
        <f>[1]!b_info_couponrate(B512)</f>
        <v>3.05</v>
      </c>
      <c r="N512" s="14" t="str">
        <f>[1]!B_Info_ListedDate(B512)</f>
        <v>2016-08-29</v>
      </c>
      <c r="O512" s="14" t="str">
        <f>[1]!b_issue_firstissue(B512)</f>
        <v>2016-08-23</v>
      </c>
      <c r="P512" s="4">
        <f t="shared" ca="1" si="29"/>
        <v>42989</v>
      </c>
    </row>
    <row r="513" spans="2:16">
      <c r="B513" s="7">
        <v>160213</v>
      </c>
      <c r="C513" s="7">
        <v>4.3550000000000004</v>
      </c>
      <c r="D513" s="18" t="str">
        <f>[1]!b_info_name(B513)</f>
        <v>16国开13</v>
      </c>
      <c r="E513" s="19">
        <f>[1]!b_info_latestissurercreditrating(B513)</f>
        <v>0</v>
      </c>
      <c r="F513" s="20">
        <f ca="1">[1]!b_anal_day(B513,$A$5)/365</f>
        <v>8.9616438356164387</v>
      </c>
      <c r="G513" s="21">
        <f ca="1">[1]!b_anal_yield_cnbd(B513,$A$5)</f>
        <v>0</v>
      </c>
      <c r="H513" s="21">
        <f t="shared" ca="1" si="27"/>
        <v>435.50000000000006</v>
      </c>
      <c r="I513" s="21">
        <f ca="1">[1]!b_anal_yield_cnbd(B513,$A$7)</f>
        <v>0</v>
      </c>
      <c r="J513" s="21">
        <f t="shared" ca="1" si="28"/>
        <v>0</v>
      </c>
      <c r="K513" s="19" t="str">
        <f>[1]!s_info_Nature(B513)</f>
        <v>中央国有企业</v>
      </c>
      <c r="L513" s="19" t="str">
        <f>[1]!b_info_windl1type(B513)</f>
        <v>金融债</v>
      </c>
      <c r="M513" s="13">
        <f>[1]!b_info_couponrate(B513)</f>
        <v>3.05</v>
      </c>
      <c r="N513" s="14" t="str">
        <f>[1]!B_Info_ListedDate(B513)</f>
        <v>2016-08-29</v>
      </c>
      <c r="O513" s="14" t="str">
        <f>[1]!b_issue_firstissue(B513)</f>
        <v>2016-08-23</v>
      </c>
      <c r="P513" s="4">
        <f t="shared" ca="1" si="29"/>
        <v>42989</v>
      </c>
    </row>
    <row r="514" spans="2:16">
      <c r="B514" s="7">
        <v>160213</v>
      </c>
      <c r="C514" s="7">
        <v>4.3550000000000004</v>
      </c>
      <c r="D514" s="18" t="str">
        <f>[1]!b_info_name(B514)</f>
        <v>16国开13</v>
      </c>
      <c r="E514" s="19">
        <f>[1]!b_info_latestissurercreditrating(B514)</f>
        <v>0</v>
      </c>
      <c r="F514" s="20">
        <f ca="1">[1]!b_anal_day(B514,$A$5)/365</f>
        <v>8.9616438356164387</v>
      </c>
      <c r="G514" s="21">
        <f ca="1">[1]!b_anal_yield_cnbd(B514,$A$5)</f>
        <v>0</v>
      </c>
      <c r="H514" s="21">
        <f t="shared" ca="1" si="27"/>
        <v>435.50000000000006</v>
      </c>
      <c r="I514" s="21">
        <f ca="1">[1]!b_anal_yield_cnbd(B514,$A$7)</f>
        <v>0</v>
      </c>
      <c r="J514" s="21">
        <f t="shared" ca="1" si="28"/>
        <v>0</v>
      </c>
      <c r="K514" s="19" t="str">
        <f>[1]!s_info_Nature(B514)</f>
        <v>中央国有企业</v>
      </c>
      <c r="L514" s="19" t="str">
        <f>[1]!b_info_windl1type(B514)</f>
        <v>金融债</v>
      </c>
      <c r="M514" s="13">
        <f>[1]!b_info_couponrate(B514)</f>
        <v>3.05</v>
      </c>
      <c r="N514" s="14" t="str">
        <f>[1]!B_Info_ListedDate(B514)</f>
        <v>2016-08-29</v>
      </c>
      <c r="O514" s="14" t="str">
        <f>[1]!b_issue_firstissue(B514)</f>
        <v>2016-08-23</v>
      </c>
      <c r="P514" s="4">
        <f t="shared" ca="1" si="29"/>
        <v>42989</v>
      </c>
    </row>
    <row r="515" spans="2:16">
      <c r="B515" s="7">
        <v>160213</v>
      </c>
      <c r="C515" s="7">
        <v>4.3550000000000004</v>
      </c>
      <c r="D515" s="18" t="str">
        <f>[1]!b_info_name(B515)</f>
        <v>16国开13</v>
      </c>
      <c r="E515" s="19">
        <f>[1]!b_info_latestissurercreditrating(B515)</f>
        <v>0</v>
      </c>
      <c r="F515" s="20">
        <f ca="1">[1]!b_anal_day(B515,$A$5)/365</f>
        <v>8.9616438356164387</v>
      </c>
      <c r="G515" s="21">
        <f ca="1">[1]!b_anal_yield_cnbd(B515,$A$5)</f>
        <v>0</v>
      </c>
      <c r="H515" s="21">
        <f t="shared" ca="1" si="27"/>
        <v>435.50000000000006</v>
      </c>
      <c r="I515" s="21">
        <f ca="1">[1]!b_anal_yield_cnbd(B515,$A$7)</f>
        <v>0</v>
      </c>
      <c r="J515" s="21">
        <f t="shared" ca="1" si="28"/>
        <v>0</v>
      </c>
      <c r="K515" s="19" t="str">
        <f>[1]!s_info_Nature(B515)</f>
        <v>中央国有企业</v>
      </c>
      <c r="L515" s="19" t="str">
        <f>[1]!b_info_windl1type(B515)</f>
        <v>金融债</v>
      </c>
      <c r="M515" s="13">
        <f>[1]!b_info_couponrate(B515)</f>
        <v>3.05</v>
      </c>
      <c r="N515" s="14" t="str">
        <f>[1]!B_Info_ListedDate(B515)</f>
        <v>2016-08-29</v>
      </c>
      <c r="O515" s="14" t="str">
        <f>[1]!b_issue_firstissue(B515)</f>
        <v>2016-08-23</v>
      </c>
      <c r="P515" s="4">
        <f t="shared" ca="1" si="29"/>
        <v>42989</v>
      </c>
    </row>
    <row r="516" spans="2:16">
      <c r="B516" s="7">
        <v>160213</v>
      </c>
      <c r="C516" s="7">
        <v>4.3550000000000004</v>
      </c>
      <c r="D516" s="18" t="str">
        <f>[1]!b_info_name(B516)</f>
        <v>16国开13</v>
      </c>
      <c r="E516" s="19">
        <f>[1]!b_info_latestissurercreditrating(B516)</f>
        <v>0</v>
      </c>
      <c r="F516" s="20">
        <f ca="1">[1]!b_anal_day(B516,$A$5)/365</f>
        <v>8.9616438356164387</v>
      </c>
      <c r="G516" s="21">
        <f ca="1">[1]!b_anal_yield_cnbd(B516,$A$5)</f>
        <v>0</v>
      </c>
      <c r="H516" s="21">
        <f t="shared" ca="1" si="27"/>
        <v>435.50000000000006</v>
      </c>
      <c r="I516" s="21">
        <f ca="1">[1]!b_anal_yield_cnbd(B516,$A$7)</f>
        <v>0</v>
      </c>
      <c r="J516" s="21">
        <f t="shared" ca="1" si="28"/>
        <v>0</v>
      </c>
      <c r="K516" s="19" t="str">
        <f>[1]!s_info_Nature(B516)</f>
        <v>中央国有企业</v>
      </c>
      <c r="L516" s="19" t="str">
        <f>[1]!b_info_windl1type(B516)</f>
        <v>金融债</v>
      </c>
      <c r="M516" s="13">
        <f>[1]!b_info_couponrate(B516)</f>
        <v>3.05</v>
      </c>
      <c r="N516" s="14" t="str">
        <f>[1]!B_Info_ListedDate(B516)</f>
        <v>2016-08-29</v>
      </c>
      <c r="O516" s="14" t="str">
        <f>[1]!b_issue_firstissue(B516)</f>
        <v>2016-08-23</v>
      </c>
      <c r="P516" s="4">
        <f t="shared" ca="1" si="29"/>
        <v>42989</v>
      </c>
    </row>
    <row r="517" spans="2:16">
      <c r="B517" s="7">
        <v>160213</v>
      </c>
      <c r="C517" s="7">
        <v>4.3550000000000004</v>
      </c>
      <c r="D517" s="18" t="str">
        <f>[1]!b_info_name(B517)</f>
        <v>16国开13</v>
      </c>
      <c r="E517" s="19">
        <f>[1]!b_info_latestissurercreditrating(B517)</f>
        <v>0</v>
      </c>
      <c r="F517" s="20">
        <f ca="1">[1]!b_anal_day(B517,$A$5)/365</f>
        <v>8.9616438356164387</v>
      </c>
      <c r="G517" s="21">
        <f ca="1">[1]!b_anal_yield_cnbd(B517,$A$5)</f>
        <v>0</v>
      </c>
      <c r="H517" s="21">
        <f t="shared" ca="1" si="27"/>
        <v>435.50000000000006</v>
      </c>
      <c r="I517" s="21">
        <f ca="1">[1]!b_anal_yield_cnbd(B517,$A$7)</f>
        <v>0</v>
      </c>
      <c r="J517" s="21">
        <f t="shared" ca="1" si="28"/>
        <v>0</v>
      </c>
      <c r="K517" s="19" t="str">
        <f>[1]!s_info_Nature(B517)</f>
        <v>中央国有企业</v>
      </c>
      <c r="L517" s="19" t="str">
        <f>[1]!b_info_windl1type(B517)</f>
        <v>金融债</v>
      </c>
      <c r="M517" s="13">
        <f>[1]!b_info_couponrate(B517)</f>
        <v>3.05</v>
      </c>
      <c r="N517" s="14" t="str">
        <f>[1]!B_Info_ListedDate(B517)</f>
        <v>2016-08-29</v>
      </c>
      <c r="O517" s="14" t="str">
        <f>[1]!b_issue_firstissue(B517)</f>
        <v>2016-08-23</v>
      </c>
      <c r="P517" s="4">
        <f t="shared" ca="1" si="29"/>
        <v>42989</v>
      </c>
    </row>
    <row r="518" spans="2:16">
      <c r="B518" s="7">
        <v>160213</v>
      </c>
      <c r="C518" s="7">
        <v>4.3550000000000004</v>
      </c>
      <c r="D518" s="18" t="str">
        <f>[1]!b_info_name(B518)</f>
        <v>16国开13</v>
      </c>
      <c r="E518" s="19">
        <f>[1]!b_info_latestissurercreditrating(B518)</f>
        <v>0</v>
      </c>
      <c r="F518" s="20">
        <f ca="1">[1]!b_anal_day(B518,$A$5)/365</f>
        <v>8.9616438356164387</v>
      </c>
      <c r="G518" s="21">
        <f ca="1">[1]!b_anal_yield_cnbd(B518,$A$5)</f>
        <v>0</v>
      </c>
      <c r="H518" s="21">
        <f t="shared" ca="1" si="27"/>
        <v>435.50000000000006</v>
      </c>
      <c r="I518" s="21">
        <f ca="1">[1]!b_anal_yield_cnbd(B518,$A$7)</f>
        <v>0</v>
      </c>
      <c r="J518" s="21">
        <f t="shared" ca="1" si="28"/>
        <v>0</v>
      </c>
      <c r="K518" s="19" t="str">
        <f>[1]!s_info_Nature(B518)</f>
        <v>中央国有企业</v>
      </c>
      <c r="L518" s="19" t="str">
        <f>[1]!b_info_windl1type(B518)</f>
        <v>金融债</v>
      </c>
      <c r="M518" s="13">
        <f>[1]!b_info_couponrate(B518)</f>
        <v>3.05</v>
      </c>
      <c r="N518" s="14" t="str">
        <f>[1]!B_Info_ListedDate(B518)</f>
        <v>2016-08-29</v>
      </c>
      <c r="O518" s="14" t="str">
        <f>[1]!b_issue_firstissue(B518)</f>
        <v>2016-08-23</v>
      </c>
      <c r="P518" s="4">
        <f t="shared" ca="1" si="29"/>
        <v>42989</v>
      </c>
    </row>
    <row r="519" spans="2:16">
      <c r="B519" s="7">
        <v>160213</v>
      </c>
      <c r="C519" s="7">
        <v>4.3550000000000004</v>
      </c>
      <c r="D519" s="18" t="str">
        <f>[1]!b_info_name(B519)</f>
        <v>16国开13</v>
      </c>
      <c r="E519" s="19">
        <f>[1]!b_info_latestissurercreditrating(B519)</f>
        <v>0</v>
      </c>
      <c r="F519" s="20">
        <f ca="1">[1]!b_anal_day(B519,$A$5)/365</f>
        <v>8.9616438356164387</v>
      </c>
      <c r="G519" s="21">
        <f ca="1">[1]!b_anal_yield_cnbd(B519,$A$5)</f>
        <v>0</v>
      </c>
      <c r="H519" s="21">
        <f t="shared" ca="1" si="27"/>
        <v>435.50000000000006</v>
      </c>
      <c r="I519" s="21">
        <f ca="1">[1]!b_anal_yield_cnbd(B519,$A$7)</f>
        <v>0</v>
      </c>
      <c r="J519" s="21">
        <f t="shared" ca="1" si="28"/>
        <v>0</v>
      </c>
      <c r="K519" s="19" t="str">
        <f>[1]!s_info_Nature(B519)</f>
        <v>中央国有企业</v>
      </c>
      <c r="L519" s="19" t="str">
        <f>[1]!b_info_windl1type(B519)</f>
        <v>金融债</v>
      </c>
      <c r="M519" s="13">
        <f>[1]!b_info_couponrate(B519)</f>
        <v>3.05</v>
      </c>
      <c r="N519" s="14" t="str">
        <f>[1]!B_Info_ListedDate(B519)</f>
        <v>2016-08-29</v>
      </c>
      <c r="O519" s="14" t="str">
        <f>[1]!b_issue_firstissue(B519)</f>
        <v>2016-08-23</v>
      </c>
      <c r="P519" s="4">
        <f t="shared" ca="1" si="29"/>
        <v>42989</v>
      </c>
    </row>
    <row r="520" spans="2:16">
      <c r="B520" s="7">
        <v>160213</v>
      </c>
      <c r="C520" s="7">
        <v>4.3550000000000004</v>
      </c>
      <c r="D520" s="18" t="str">
        <f>[1]!b_info_name(B520)</f>
        <v>16国开13</v>
      </c>
      <c r="E520" s="19">
        <f>[1]!b_info_latestissurercreditrating(B520)</f>
        <v>0</v>
      </c>
      <c r="F520" s="20">
        <f ca="1">[1]!b_anal_day(B520,$A$5)/365</f>
        <v>8.9616438356164387</v>
      </c>
      <c r="G520" s="21">
        <f ca="1">[1]!b_anal_yield_cnbd(B520,$A$5)</f>
        <v>0</v>
      </c>
      <c r="H520" s="21">
        <f t="shared" ca="1" si="27"/>
        <v>435.50000000000006</v>
      </c>
      <c r="I520" s="21">
        <f ca="1">[1]!b_anal_yield_cnbd(B520,$A$7)</f>
        <v>0</v>
      </c>
      <c r="J520" s="21">
        <f t="shared" ca="1" si="28"/>
        <v>0</v>
      </c>
      <c r="K520" s="19" t="str">
        <f>[1]!s_info_Nature(B520)</f>
        <v>中央国有企业</v>
      </c>
      <c r="L520" s="19" t="str">
        <f>[1]!b_info_windl1type(B520)</f>
        <v>金融债</v>
      </c>
      <c r="M520" s="13">
        <f>[1]!b_info_couponrate(B520)</f>
        <v>3.05</v>
      </c>
      <c r="N520" s="14" t="str">
        <f>[1]!B_Info_ListedDate(B520)</f>
        <v>2016-08-29</v>
      </c>
      <c r="O520" s="14" t="str">
        <f>[1]!b_issue_firstissue(B520)</f>
        <v>2016-08-23</v>
      </c>
      <c r="P520" s="4">
        <f t="shared" ca="1" si="29"/>
        <v>42989</v>
      </c>
    </row>
    <row r="521" spans="2:16">
      <c r="B521" s="7">
        <v>160213</v>
      </c>
      <c r="C521" s="7">
        <v>4.3550000000000004</v>
      </c>
      <c r="D521" s="18" t="str">
        <f>[1]!b_info_name(B521)</f>
        <v>16国开13</v>
      </c>
      <c r="E521" s="19">
        <f>[1]!b_info_latestissurercreditrating(B521)</f>
        <v>0</v>
      </c>
      <c r="F521" s="20">
        <f ca="1">[1]!b_anal_day(B521,$A$5)/365</f>
        <v>8.9616438356164387</v>
      </c>
      <c r="G521" s="21">
        <f ca="1">[1]!b_anal_yield_cnbd(B521,$A$5)</f>
        <v>0</v>
      </c>
      <c r="H521" s="21">
        <f t="shared" ca="1" si="27"/>
        <v>435.50000000000006</v>
      </c>
      <c r="I521" s="21">
        <f ca="1">[1]!b_anal_yield_cnbd(B521,$A$7)</f>
        <v>0</v>
      </c>
      <c r="J521" s="21">
        <f t="shared" ca="1" si="28"/>
        <v>0</v>
      </c>
      <c r="K521" s="19" t="str">
        <f>[1]!s_info_Nature(B521)</f>
        <v>中央国有企业</v>
      </c>
      <c r="L521" s="19" t="str">
        <f>[1]!b_info_windl1type(B521)</f>
        <v>金融债</v>
      </c>
      <c r="M521" s="13">
        <f>[1]!b_info_couponrate(B521)</f>
        <v>3.05</v>
      </c>
      <c r="N521" s="14" t="str">
        <f>[1]!B_Info_ListedDate(B521)</f>
        <v>2016-08-29</v>
      </c>
      <c r="O521" s="14" t="str">
        <f>[1]!b_issue_firstissue(B521)</f>
        <v>2016-08-23</v>
      </c>
      <c r="P521" s="4">
        <f t="shared" ca="1" si="29"/>
        <v>42989</v>
      </c>
    </row>
    <row r="522" spans="2:16">
      <c r="B522" s="7">
        <v>160213</v>
      </c>
      <c r="C522" s="7">
        <v>4.3550000000000004</v>
      </c>
      <c r="D522" s="18" t="str">
        <f>[1]!b_info_name(B522)</f>
        <v>16国开13</v>
      </c>
      <c r="E522" s="19">
        <f>[1]!b_info_latestissurercreditrating(B522)</f>
        <v>0</v>
      </c>
      <c r="F522" s="20">
        <f ca="1">[1]!b_anal_day(B522,$A$5)/365</f>
        <v>8.9616438356164387</v>
      </c>
      <c r="G522" s="21">
        <f ca="1">[1]!b_anal_yield_cnbd(B522,$A$5)</f>
        <v>0</v>
      </c>
      <c r="H522" s="21">
        <f t="shared" ca="1" si="27"/>
        <v>435.50000000000006</v>
      </c>
      <c r="I522" s="21">
        <f ca="1">[1]!b_anal_yield_cnbd(B522,$A$7)</f>
        <v>0</v>
      </c>
      <c r="J522" s="21">
        <f t="shared" ca="1" si="28"/>
        <v>0</v>
      </c>
      <c r="K522" s="19" t="str">
        <f>[1]!s_info_Nature(B522)</f>
        <v>中央国有企业</v>
      </c>
      <c r="L522" s="19" t="str">
        <f>[1]!b_info_windl1type(B522)</f>
        <v>金融债</v>
      </c>
      <c r="M522" s="13">
        <f>[1]!b_info_couponrate(B522)</f>
        <v>3.05</v>
      </c>
      <c r="N522" s="14" t="str">
        <f>[1]!B_Info_ListedDate(B522)</f>
        <v>2016-08-29</v>
      </c>
      <c r="O522" s="14" t="str">
        <f>[1]!b_issue_firstissue(B522)</f>
        <v>2016-08-23</v>
      </c>
      <c r="P522" s="4">
        <f t="shared" ca="1" si="29"/>
        <v>42989</v>
      </c>
    </row>
    <row r="523" spans="2:16">
      <c r="B523" s="7">
        <v>160213</v>
      </c>
      <c r="C523" s="7">
        <v>4.3550000000000004</v>
      </c>
      <c r="D523" s="18" t="str">
        <f>[1]!b_info_name(B523)</f>
        <v>16国开13</v>
      </c>
      <c r="E523" s="19">
        <f>[1]!b_info_latestissurercreditrating(B523)</f>
        <v>0</v>
      </c>
      <c r="F523" s="20">
        <f ca="1">[1]!b_anal_day(B523,$A$5)/365</f>
        <v>8.9616438356164387</v>
      </c>
      <c r="G523" s="21">
        <f ca="1">[1]!b_anal_yield_cnbd(B523,$A$5)</f>
        <v>0</v>
      </c>
      <c r="H523" s="21">
        <f t="shared" ca="1" si="27"/>
        <v>435.50000000000006</v>
      </c>
      <c r="I523" s="21">
        <f ca="1">[1]!b_anal_yield_cnbd(B523,$A$7)</f>
        <v>0</v>
      </c>
      <c r="J523" s="21">
        <f t="shared" ca="1" si="28"/>
        <v>0</v>
      </c>
      <c r="K523" s="19" t="str">
        <f>[1]!s_info_Nature(B523)</f>
        <v>中央国有企业</v>
      </c>
      <c r="L523" s="19" t="str">
        <f>[1]!b_info_windl1type(B523)</f>
        <v>金融债</v>
      </c>
      <c r="M523" s="13">
        <f>[1]!b_info_couponrate(B523)</f>
        <v>3.05</v>
      </c>
      <c r="N523" s="14" t="str">
        <f>[1]!B_Info_ListedDate(B523)</f>
        <v>2016-08-29</v>
      </c>
      <c r="O523" s="14" t="str">
        <f>[1]!b_issue_firstissue(B523)</f>
        <v>2016-08-23</v>
      </c>
      <c r="P523" s="4">
        <f t="shared" ca="1" si="29"/>
        <v>42989</v>
      </c>
    </row>
    <row r="524" spans="2:16">
      <c r="B524" s="7">
        <v>160213</v>
      </c>
      <c r="C524" s="7">
        <v>4.3550000000000004</v>
      </c>
      <c r="D524" s="18" t="str">
        <f>[1]!b_info_name(B524)</f>
        <v>16国开13</v>
      </c>
      <c r="E524" s="19">
        <f>[1]!b_info_latestissurercreditrating(B524)</f>
        <v>0</v>
      </c>
      <c r="F524" s="20">
        <f ca="1">[1]!b_anal_day(B524,$A$5)/365</f>
        <v>8.9616438356164387</v>
      </c>
      <c r="G524" s="21">
        <f ca="1">[1]!b_anal_yield_cnbd(B524,$A$5)</f>
        <v>0</v>
      </c>
      <c r="H524" s="21">
        <f t="shared" ca="1" si="27"/>
        <v>435.50000000000006</v>
      </c>
      <c r="I524" s="21">
        <f ca="1">[1]!b_anal_yield_cnbd(B524,$A$7)</f>
        <v>0</v>
      </c>
      <c r="J524" s="21">
        <f t="shared" ca="1" si="28"/>
        <v>0</v>
      </c>
      <c r="K524" s="19" t="str">
        <f>[1]!s_info_Nature(B524)</f>
        <v>中央国有企业</v>
      </c>
      <c r="L524" s="19" t="str">
        <f>[1]!b_info_windl1type(B524)</f>
        <v>金融债</v>
      </c>
      <c r="M524" s="13">
        <f>[1]!b_info_couponrate(B524)</f>
        <v>3.05</v>
      </c>
      <c r="N524" s="14" t="str">
        <f>[1]!B_Info_ListedDate(B524)</f>
        <v>2016-08-29</v>
      </c>
      <c r="O524" s="14" t="str">
        <f>[1]!b_issue_firstissue(B524)</f>
        <v>2016-08-23</v>
      </c>
      <c r="P524" s="4">
        <f t="shared" ca="1" si="29"/>
        <v>42989</v>
      </c>
    </row>
    <row r="525" spans="2:16">
      <c r="B525" s="7">
        <v>160213</v>
      </c>
      <c r="C525" s="7">
        <v>4.3550000000000004</v>
      </c>
      <c r="D525" s="18" t="str">
        <f>[1]!b_info_name(B525)</f>
        <v>16国开13</v>
      </c>
      <c r="E525" s="19">
        <f>[1]!b_info_latestissurercreditrating(B525)</f>
        <v>0</v>
      </c>
      <c r="F525" s="20">
        <f ca="1">[1]!b_anal_day(B525,$A$5)/365</f>
        <v>8.9616438356164387</v>
      </c>
      <c r="G525" s="21">
        <f ca="1">[1]!b_anal_yield_cnbd(B525,$A$5)</f>
        <v>0</v>
      </c>
      <c r="H525" s="21">
        <f t="shared" ca="1" si="27"/>
        <v>435.50000000000006</v>
      </c>
      <c r="I525" s="21">
        <f ca="1">[1]!b_anal_yield_cnbd(B525,$A$7)</f>
        <v>0</v>
      </c>
      <c r="J525" s="21">
        <f t="shared" ca="1" si="28"/>
        <v>0</v>
      </c>
      <c r="K525" s="19" t="str">
        <f>[1]!s_info_Nature(B525)</f>
        <v>中央国有企业</v>
      </c>
      <c r="L525" s="19" t="str">
        <f>[1]!b_info_windl1type(B525)</f>
        <v>金融债</v>
      </c>
      <c r="M525" s="13">
        <f>[1]!b_info_couponrate(B525)</f>
        <v>3.05</v>
      </c>
      <c r="N525" s="14" t="str">
        <f>[1]!B_Info_ListedDate(B525)</f>
        <v>2016-08-29</v>
      </c>
      <c r="O525" s="14" t="str">
        <f>[1]!b_issue_firstissue(B525)</f>
        <v>2016-08-23</v>
      </c>
      <c r="P525" s="4">
        <f t="shared" ca="1" si="29"/>
        <v>42989</v>
      </c>
    </row>
    <row r="526" spans="2:16">
      <c r="B526" s="7">
        <v>160213</v>
      </c>
      <c r="C526" s="7">
        <v>4.3550000000000004</v>
      </c>
      <c r="D526" s="18" t="str">
        <f>[1]!b_info_name(B526)</f>
        <v>16国开13</v>
      </c>
      <c r="E526" s="19">
        <f>[1]!b_info_latestissurercreditrating(B526)</f>
        <v>0</v>
      </c>
      <c r="F526" s="20">
        <f ca="1">[1]!b_anal_day(B526,$A$5)/365</f>
        <v>8.9616438356164387</v>
      </c>
      <c r="G526" s="21">
        <f ca="1">[1]!b_anal_yield_cnbd(B526,$A$5)</f>
        <v>0</v>
      </c>
      <c r="H526" s="21">
        <f t="shared" ca="1" si="27"/>
        <v>435.50000000000006</v>
      </c>
      <c r="I526" s="21">
        <f ca="1">[1]!b_anal_yield_cnbd(B526,$A$7)</f>
        <v>0</v>
      </c>
      <c r="J526" s="21">
        <f t="shared" ca="1" si="28"/>
        <v>0</v>
      </c>
      <c r="K526" s="19" t="str">
        <f>[1]!s_info_Nature(B526)</f>
        <v>中央国有企业</v>
      </c>
      <c r="L526" s="19" t="str">
        <f>[1]!b_info_windl1type(B526)</f>
        <v>金融债</v>
      </c>
      <c r="M526" s="13">
        <f>[1]!b_info_couponrate(B526)</f>
        <v>3.05</v>
      </c>
      <c r="N526" s="14" t="str">
        <f>[1]!B_Info_ListedDate(B526)</f>
        <v>2016-08-29</v>
      </c>
      <c r="O526" s="14" t="str">
        <f>[1]!b_issue_firstissue(B526)</f>
        <v>2016-08-23</v>
      </c>
      <c r="P526" s="4">
        <f t="shared" ca="1" si="29"/>
        <v>42989</v>
      </c>
    </row>
    <row r="527" spans="2:16">
      <c r="B527" s="7">
        <v>160213</v>
      </c>
      <c r="C527" s="7">
        <v>4.3550000000000004</v>
      </c>
      <c r="D527" s="18" t="str">
        <f>[1]!b_info_name(B527)</f>
        <v>16国开13</v>
      </c>
      <c r="E527" s="19">
        <f>[1]!b_info_latestissurercreditrating(B527)</f>
        <v>0</v>
      </c>
      <c r="F527" s="20">
        <f ca="1">[1]!b_anal_day(B527,$A$5)/365</f>
        <v>8.9616438356164387</v>
      </c>
      <c r="G527" s="21">
        <f ca="1">[1]!b_anal_yield_cnbd(B527,$A$5)</f>
        <v>0</v>
      </c>
      <c r="H527" s="21">
        <f t="shared" ca="1" si="27"/>
        <v>435.50000000000006</v>
      </c>
      <c r="I527" s="21">
        <f ca="1">[1]!b_anal_yield_cnbd(B527,$A$7)</f>
        <v>0</v>
      </c>
      <c r="J527" s="21">
        <f t="shared" ca="1" si="28"/>
        <v>0</v>
      </c>
      <c r="K527" s="19" t="str">
        <f>[1]!s_info_Nature(B527)</f>
        <v>中央国有企业</v>
      </c>
      <c r="L527" s="19" t="str">
        <f>[1]!b_info_windl1type(B527)</f>
        <v>金融债</v>
      </c>
      <c r="M527" s="13">
        <f>[1]!b_info_couponrate(B527)</f>
        <v>3.05</v>
      </c>
      <c r="N527" s="14" t="str">
        <f>[1]!B_Info_ListedDate(B527)</f>
        <v>2016-08-29</v>
      </c>
      <c r="O527" s="14" t="str">
        <f>[1]!b_issue_firstissue(B527)</f>
        <v>2016-08-23</v>
      </c>
      <c r="P527" s="4">
        <f t="shared" ca="1" si="29"/>
        <v>42989</v>
      </c>
    </row>
    <row r="528" spans="2:16">
      <c r="B528" s="7">
        <v>160213</v>
      </c>
      <c r="C528" s="7">
        <v>4.3550000000000004</v>
      </c>
      <c r="D528" s="18" t="str">
        <f>[1]!b_info_name(B528)</f>
        <v>16国开13</v>
      </c>
      <c r="E528" s="19">
        <f>[1]!b_info_latestissurercreditrating(B528)</f>
        <v>0</v>
      </c>
      <c r="F528" s="20">
        <f ca="1">[1]!b_anal_day(B528,$A$5)/365</f>
        <v>8.9616438356164387</v>
      </c>
      <c r="G528" s="21">
        <f ca="1">[1]!b_anal_yield_cnbd(B528,$A$5)</f>
        <v>0</v>
      </c>
      <c r="H528" s="21">
        <f t="shared" ca="1" si="27"/>
        <v>435.50000000000006</v>
      </c>
      <c r="I528" s="21">
        <f ca="1">[1]!b_anal_yield_cnbd(B528,$A$7)</f>
        <v>0</v>
      </c>
      <c r="J528" s="21">
        <f t="shared" ca="1" si="28"/>
        <v>0</v>
      </c>
      <c r="K528" s="19" t="str">
        <f>[1]!s_info_Nature(B528)</f>
        <v>中央国有企业</v>
      </c>
      <c r="L528" s="19" t="str">
        <f>[1]!b_info_windl1type(B528)</f>
        <v>金融债</v>
      </c>
      <c r="M528" s="13">
        <f>[1]!b_info_couponrate(B528)</f>
        <v>3.05</v>
      </c>
      <c r="N528" s="14" t="str">
        <f>[1]!B_Info_ListedDate(B528)</f>
        <v>2016-08-29</v>
      </c>
      <c r="O528" s="14" t="str">
        <f>[1]!b_issue_firstissue(B528)</f>
        <v>2016-08-23</v>
      </c>
      <c r="P528" s="4">
        <f t="shared" ca="1" si="29"/>
        <v>42989</v>
      </c>
    </row>
    <row r="529" spans="2:16">
      <c r="B529" s="7">
        <v>160213</v>
      </c>
      <c r="C529" s="7">
        <v>4.3550000000000004</v>
      </c>
      <c r="D529" s="18" t="str">
        <f>[1]!b_info_name(B529)</f>
        <v>16国开13</v>
      </c>
      <c r="E529" s="19">
        <f>[1]!b_info_latestissurercreditrating(B529)</f>
        <v>0</v>
      </c>
      <c r="F529" s="20">
        <f ca="1">[1]!b_anal_day(B529,$A$5)/365</f>
        <v>8.9616438356164387</v>
      </c>
      <c r="G529" s="21">
        <f ca="1">[1]!b_anal_yield_cnbd(B529,$A$5)</f>
        <v>0</v>
      </c>
      <c r="H529" s="21">
        <f t="shared" ca="1" si="27"/>
        <v>435.50000000000006</v>
      </c>
      <c r="I529" s="21">
        <f ca="1">[1]!b_anal_yield_cnbd(B529,$A$7)</f>
        <v>0</v>
      </c>
      <c r="J529" s="21">
        <f t="shared" ca="1" si="28"/>
        <v>0</v>
      </c>
      <c r="K529" s="19" t="str">
        <f>[1]!s_info_Nature(B529)</f>
        <v>中央国有企业</v>
      </c>
      <c r="L529" s="19" t="str">
        <f>[1]!b_info_windl1type(B529)</f>
        <v>金融债</v>
      </c>
      <c r="M529" s="13">
        <f>[1]!b_info_couponrate(B529)</f>
        <v>3.05</v>
      </c>
      <c r="N529" s="14" t="str">
        <f>[1]!B_Info_ListedDate(B529)</f>
        <v>2016-08-29</v>
      </c>
      <c r="O529" s="14" t="str">
        <f>[1]!b_issue_firstissue(B529)</f>
        <v>2016-08-23</v>
      </c>
      <c r="P529" s="4">
        <f t="shared" ca="1" si="29"/>
        <v>42989</v>
      </c>
    </row>
    <row r="530" spans="2:16">
      <c r="B530" s="7">
        <v>160213</v>
      </c>
      <c r="C530" s="7">
        <v>4.3550000000000004</v>
      </c>
      <c r="D530" s="18" t="str">
        <f>[1]!b_info_name(B530)</f>
        <v>16国开13</v>
      </c>
      <c r="E530" s="19">
        <f>[1]!b_info_latestissurercreditrating(B530)</f>
        <v>0</v>
      </c>
      <c r="F530" s="20">
        <f ca="1">[1]!b_anal_day(B530,$A$5)/365</f>
        <v>8.9616438356164387</v>
      </c>
      <c r="G530" s="21">
        <f ca="1">[1]!b_anal_yield_cnbd(B530,$A$5)</f>
        <v>0</v>
      </c>
      <c r="H530" s="21">
        <f t="shared" ca="1" si="27"/>
        <v>435.50000000000006</v>
      </c>
      <c r="I530" s="21">
        <f ca="1">[1]!b_anal_yield_cnbd(B530,$A$7)</f>
        <v>0</v>
      </c>
      <c r="J530" s="21">
        <f t="shared" ca="1" si="28"/>
        <v>0</v>
      </c>
      <c r="K530" s="19" t="str">
        <f>[1]!s_info_Nature(B530)</f>
        <v>中央国有企业</v>
      </c>
      <c r="L530" s="19" t="str">
        <f>[1]!b_info_windl1type(B530)</f>
        <v>金融债</v>
      </c>
      <c r="M530" s="13">
        <f>[1]!b_info_couponrate(B530)</f>
        <v>3.05</v>
      </c>
      <c r="N530" s="14" t="str">
        <f>[1]!B_Info_ListedDate(B530)</f>
        <v>2016-08-29</v>
      </c>
      <c r="O530" s="14" t="str">
        <f>[1]!b_issue_firstissue(B530)</f>
        <v>2016-08-23</v>
      </c>
      <c r="P530" s="4">
        <f t="shared" ca="1" si="29"/>
        <v>42989</v>
      </c>
    </row>
    <row r="531" spans="2:16">
      <c r="B531" s="7">
        <v>160213</v>
      </c>
      <c r="C531" s="7">
        <v>4.3550000000000004</v>
      </c>
      <c r="D531" s="18" t="str">
        <f>[1]!b_info_name(B531)</f>
        <v>16国开13</v>
      </c>
      <c r="E531" s="19">
        <f>[1]!b_info_latestissurercreditrating(B531)</f>
        <v>0</v>
      </c>
      <c r="F531" s="20">
        <f ca="1">[1]!b_anal_day(B531,$A$5)/365</f>
        <v>8.9616438356164387</v>
      </c>
      <c r="G531" s="21">
        <f ca="1">[1]!b_anal_yield_cnbd(B531,$A$5)</f>
        <v>0</v>
      </c>
      <c r="H531" s="21">
        <f t="shared" ca="1" si="27"/>
        <v>435.50000000000006</v>
      </c>
      <c r="I531" s="21">
        <f ca="1">[1]!b_anal_yield_cnbd(B531,$A$7)</f>
        <v>0</v>
      </c>
      <c r="J531" s="21">
        <f t="shared" ca="1" si="28"/>
        <v>0</v>
      </c>
      <c r="K531" s="19" t="str">
        <f>[1]!s_info_Nature(B531)</f>
        <v>中央国有企业</v>
      </c>
      <c r="L531" s="19" t="str">
        <f>[1]!b_info_windl1type(B531)</f>
        <v>金融债</v>
      </c>
      <c r="M531" s="13">
        <f>[1]!b_info_couponrate(B531)</f>
        <v>3.05</v>
      </c>
      <c r="N531" s="14" t="str">
        <f>[1]!B_Info_ListedDate(B531)</f>
        <v>2016-08-29</v>
      </c>
      <c r="O531" s="14" t="str">
        <f>[1]!b_issue_firstissue(B531)</f>
        <v>2016-08-23</v>
      </c>
      <c r="P531" s="4">
        <f t="shared" ca="1" si="29"/>
        <v>42989</v>
      </c>
    </row>
    <row r="532" spans="2:16">
      <c r="B532" s="7">
        <v>160213</v>
      </c>
      <c r="C532" s="7">
        <v>4.3550000000000004</v>
      </c>
      <c r="D532" s="18" t="str">
        <f>[1]!b_info_name(B532)</f>
        <v>16国开13</v>
      </c>
      <c r="E532" s="19">
        <f>[1]!b_info_latestissurercreditrating(B532)</f>
        <v>0</v>
      </c>
      <c r="F532" s="20">
        <f ca="1">[1]!b_anal_day(B532,$A$5)/365</f>
        <v>8.9616438356164387</v>
      </c>
      <c r="G532" s="21">
        <f ca="1">[1]!b_anal_yield_cnbd(B532,$A$5)</f>
        <v>0</v>
      </c>
      <c r="H532" s="21">
        <f t="shared" ca="1" si="27"/>
        <v>435.50000000000006</v>
      </c>
      <c r="I532" s="21">
        <f ca="1">[1]!b_anal_yield_cnbd(B532,$A$7)</f>
        <v>0</v>
      </c>
      <c r="J532" s="21">
        <f t="shared" ca="1" si="28"/>
        <v>0</v>
      </c>
      <c r="K532" s="19" t="str">
        <f>[1]!s_info_Nature(B532)</f>
        <v>中央国有企业</v>
      </c>
      <c r="L532" s="19" t="str">
        <f>[1]!b_info_windl1type(B532)</f>
        <v>金融债</v>
      </c>
      <c r="M532" s="13">
        <f>[1]!b_info_couponrate(B532)</f>
        <v>3.05</v>
      </c>
      <c r="N532" s="14" t="str">
        <f>[1]!B_Info_ListedDate(B532)</f>
        <v>2016-08-29</v>
      </c>
      <c r="O532" s="14" t="str">
        <f>[1]!b_issue_firstissue(B532)</f>
        <v>2016-08-23</v>
      </c>
      <c r="P532" s="4">
        <f t="shared" ca="1" si="29"/>
        <v>42989</v>
      </c>
    </row>
    <row r="533" spans="2:16">
      <c r="B533" s="7">
        <v>160213</v>
      </c>
      <c r="C533" s="7">
        <v>4.3550000000000004</v>
      </c>
      <c r="D533" s="18" t="str">
        <f>[1]!b_info_name(B533)</f>
        <v>16国开13</v>
      </c>
      <c r="E533" s="19">
        <f>[1]!b_info_latestissurercreditrating(B533)</f>
        <v>0</v>
      </c>
      <c r="F533" s="20">
        <f ca="1">[1]!b_anal_day(B533,$A$5)/365</f>
        <v>8.9616438356164387</v>
      </c>
      <c r="G533" s="21">
        <f ca="1">[1]!b_anal_yield_cnbd(B533,$A$5)</f>
        <v>0</v>
      </c>
      <c r="H533" s="21">
        <f t="shared" ca="1" si="27"/>
        <v>435.50000000000006</v>
      </c>
      <c r="I533" s="21">
        <f ca="1">[1]!b_anal_yield_cnbd(B533,$A$7)</f>
        <v>0</v>
      </c>
      <c r="J533" s="21">
        <f t="shared" ca="1" si="28"/>
        <v>0</v>
      </c>
      <c r="K533" s="19" t="str">
        <f>[1]!s_info_Nature(B533)</f>
        <v>中央国有企业</v>
      </c>
      <c r="L533" s="19" t="str">
        <f>[1]!b_info_windl1type(B533)</f>
        <v>金融债</v>
      </c>
      <c r="M533" s="13">
        <f>[1]!b_info_couponrate(B533)</f>
        <v>3.05</v>
      </c>
      <c r="N533" s="14" t="str">
        <f>[1]!B_Info_ListedDate(B533)</f>
        <v>2016-08-29</v>
      </c>
      <c r="O533" s="14" t="str">
        <f>[1]!b_issue_firstissue(B533)</f>
        <v>2016-08-23</v>
      </c>
      <c r="P533" s="4">
        <f t="shared" ca="1" si="29"/>
        <v>42989</v>
      </c>
    </row>
    <row r="534" spans="2:16">
      <c r="B534" s="7">
        <v>170201</v>
      </c>
      <c r="C534" s="7">
        <v>4.3550000000000004</v>
      </c>
      <c r="D534" s="18" t="str">
        <f>[1]!b_info_name(B534)</f>
        <v>17国开01</v>
      </c>
      <c r="E534" s="19">
        <f>[1]!b_info_latestissurercreditrating(B534)</f>
        <v>0</v>
      </c>
      <c r="F534" s="20">
        <f ca="1">[1]!b_anal_day(B534,$A$5)/365</f>
        <v>6.3342465753424655</v>
      </c>
      <c r="G534" s="21">
        <f ca="1">[1]!b_anal_yield_cnbd(B534,$A$5)</f>
        <v>0</v>
      </c>
      <c r="H534" s="21">
        <f t="shared" ca="1" si="27"/>
        <v>435.50000000000006</v>
      </c>
      <c r="I534" s="21">
        <f ca="1">[1]!b_anal_yield_cnbd(B534,$A$7)</f>
        <v>0</v>
      </c>
      <c r="J534" s="21">
        <f t="shared" ca="1" si="28"/>
        <v>0</v>
      </c>
      <c r="K534" s="19" t="str">
        <f>[1]!s_info_Nature(B534)</f>
        <v>中央国有企业</v>
      </c>
      <c r="L534" s="19" t="str">
        <f>[1]!b_info_windl1type(B534)</f>
        <v>金融债</v>
      </c>
      <c r="M534" s="13">
        <f>[1]!b_info_couponrate(B534)</f>
        <v>3.85</v>
      </c>
      <c r="N534" s="14" t="str">
        <f>[1]!B_Info_ListedDate(B534)</f>
        <v>2017-01-11</v>
      </c>
      <c r="O534" s="14" t="str">
        <f>[1]!b_issue_firstissue(B534)</f>
        <v>2017-01-05</v>
      </c>
      <c r="P534" s="4">
        <f t="shared" ca="1" si="29"/>
        <v>42989</v>
      </c>
    </row>
    <row r="535" spans="2:16">
      <c r="B535" s="7">
        <v>160213</v>
      </c>
      <c r="C535" s="7">
        <v>4.3550000000000004</v>
      </c>
      <c r="D535" s="18" t="str">
        <f>[1]!b_info_name(B535)</f>
        <v>16国开13</v>
      </c>
      <c r="E535" s="19">
        <f>[1]!b_info_latestissurercreditrating(B535)</f>
        <v>0</v>
      </c>
      <c r="F535" s="20">
        <f ca="1">[1]!b_anal_day(B535,$A$5)/365</f>
        <v>8.9616438356164387</v>
      </c>
      <c r="G535" s="21">
        <f ca="1">[1]!b_anal_yield_cnbd(B535,$A$5)</f>
        <v>0</v>
      </c>
      <c r="H535" s="21">
        <f t="shared" ca="1" si="27"/>
        <v>435.50000000000006</v>
      </c>
      <c r="I535" s="21">
        <f ca="1">[1]!b_anal_yield_cnbd(B535,$A$7)</f>
        <v>0</v>
      </c>
      <c r="J535" s="21">
        <f t="shared" ca="1" si="28"/>
        <v>0</v>
      </c>
      <c r="K535" s="19" t="str">
        <f>[1]!s_info_Nature(B535)</f>
        <v>中央国有企业</v>
      </c>
      <c r="L535" s="19" t="str">
        <f>[1]!b_info_windl1type(B535)</f>
        <v>金融债</v>
      </c>
      <c r="M535" s="13">
        <f>[1]!b_info_couponrate(B535)</f>
        <v>3.05</v>
      </c>
      <c r="N535" s="14" t="str">
        <f>[1]!B_Info_ListedDate(B535)</f>
        <v>2016-08-29</v>
      </c>
      <c r="O535" s="14" t="str">
        <f>[1]!b_issue_firstissue(B535)</f>
        <v>2016-08-23</v>
      </c>
      <c r="P535" s="4">
        <f t="shared" ca="1" si="29"/>
        <v>42989</v>
      </c>
    </row>
    <row r="536" spans="2:16">
      <c r="B536" s="7">
        <v>160213</v>
      </c>
      <c r="C536" s="7">
        <v>4.3525</v>
      </c>
      <c r="D536" s="18" t="str">
        <f>[1]!b_info_name(B536)</f>
        <v>16国开13</v>
      </c>
      <c r="E536" s="19">
        <f>[1]!b_info_latestissurercreditrating(B536)</f>
        <v>0</v>
      </c>
      <c r="F536" s="20">
        <f ca="1">[1]!b_anal_day(B536,$A$5)/365</f>
        <v>8.9616438356164387</v>
      </c>
      <c r="G536" s="21">
        <f ca="1">[1]!b_anal_yield_cnbd(B536,$A$5)</f>
        <v>0</v>
      </c>
      <c r="H536" s="21">
        <f t="shared" ca="1" si="27"/>
        <v>435.25</v>
      </c>
      <c r="I536" s="21">
        <f ca="1">[1]!b_anal_yield_cnbd(B536,$A$7)</f>
        <v>0</v>
      </c>
      <c r="J536" s="21">
        <f t="shared" ca="1" si="28"/>
        <v>0</v>
      </c>
      <c r="K536" s="19" t="str">
        <f>[1]!s_info_Nature(B536)</f>
        <v>中央国有企业</v>
      </c>
      <c r="L536" s="19" t="str">
        <f>[1]!b_info_windl1type(B536)</f>
        <v>金融债</v>
      </c>
      <c r="M536" s="13">
        <f>[1]!b_info_couponrate(B536)</f>
        <v>3.05</v>
      </c>
      <c r="N536" s="14" t="str">
        <f>[1]!B_Info_ListedDate(B536)</f>
        <v>2016-08-29</v>
      </c>
      <c r="O536" s="14" t="str">
        <f>[1]!b_issue_firstissue(B536)</f>
        <v>2016-08-23</v>
      </c>
      <c r="P536" s="4">
        <f t="shared" ca="1" si="29"/>
        <v>42989</v>
      </c>
    </row>
    <row r="537" spans="2:16">
      <c r="B537" s="7">
        <v>160213</v>
      </c>
      <c r="C537" s="7">
        <v>4.3525</v>
      </c>
      <c r="D537" s="18" t="str">
        <f>[1]!b_info_name(B537)</f>
        <v>16国开13</v>
      </c>
      <c r="E537" s="19">
        <f>[1]!b_info_latestissurercreditrating(B537)</f>
        <v>0</v>
      </c>
      <c r="F537" s="20">
        <f ca="1">[1]!b_anal_day(B537,$A$5)/365</f>
        <v>8.9616438356164387</v>
      </c>
      <c r="G537" s="21">
        <f ca="1">[1]!b_anal_yield_cnbd(B537,$A$5)</f>
        <v>0</v>
      </c>
      <c r="H537" s="21">
        <f t="shared" ca="1" si="27"/>
        <v>435.25</v>
      </c>
      <c r="I537" s="21">
        <f ca="1">[1]!b_anal_yield_cnbd(B537,$A$7)</f>
        <v>0</v>
      </c>
      <c r="J537" s="21">
        <f t="shared" ca="1" si="28"/>
        <v>0</v>
      </c>
      <c r="K537" s="19" t="str">
        <f>[1]!s_info_Nature(B537)</f>
        <v>中央国有企业</v>
      </c>
      <c r="L537" s="19" t="str">
        <f>[1]!b_info_windl1type(B537)</f>
        <v>金融债</v>
      </c>
      <c r="M537" s="13">
        <f>[1]!b_info_couponrate(B537)</f>
        <v>3.05</v>
      </c>
      <c r="N537" s="14" t="str">
        <f>[1]!B_Info_ListedDate(B537)</f>
        <v>2016-08-29</v>
      </c>
      <c r="O537" s="14" t="str">
        <f>[1]!b_issue_firstissue(B537)</f>
        <v>2016-08-23</v>
      </c>
      <c r="P537" s="4">
        <f t="shared" ca="1" si="29"/>
        <v>42989</v>
      </c>
    </row>
    <row r="538" spans="2:16">
      <c r="B538" s="7">
        <v>160213</v>
      </c>
      <c r="C538" s="7">
        <v>4.3525</v>
      </c>
      <c r="D538" s="18" t="str">
        <f>[1]!b_info_name(B538)</f>
        <v>16国开13</v>
      </c>
      <c r="E538" s="19">
        <f>[1]!b_info_latestissurercreditrating(B538)</f>
        <v>0</v>
      </c>
      <c r="F538" s="20">
        <f ca="1">[1]!b_anal_day(B538,$A$5)/365</f>
        <v>8.9616438356164387</v>
      </c>
      <c r="G538" s="21">
        <f ca="1">[1]!b_anal_yield_cnbd(B538,$A$5)</f>
        <v>0</v>
      </c>
      <c r="H538" s="21">
        <f t="shared" ca="1" si="27"/>
        <v>435.25</v>
      </c>
      <c r="I538" s="21">
        <f ca="1">[1]!b_anal_yield_cnbd(B538,$A$7)</f>
        <v>0</v>
      </c>
      <c r="J538" s="21">
        <f t="shared" ca="1" si="28"/>
        <v>0</v>
      </c>
      <c r="K538" s="19" t="str">
        <f>[1]!s_info_Nature(B538)</f>
        <v>中央国有企业</v>
      </c>
      <c r="L538" s="19" t="str">
        <f>[1]!b_info_windl1type(B538)</f>
        <v>金融债</v>
      </c>
      <c r="M538" s="13">
        <f>[1]!b_info_couponrate(B538)</f>
        <v>3.05</v>
      </c>
      <c r="N538" s="14" t="str">
        <f>[1]!B_Info_ListedDate(B538)</f>
        <v>2016-08-29</v>
      </c>
      <c r="O538" s="14" t="str">
        <f>[1]!b_issue_firstissue(B538)</f>
        <v>2016-08-23</v>
      </c>
      <c r="P538" s="4">
        <f t="shared" ca="1" si="29"/>
        <v>42989</v>
      </c>
    </row>
    <row r="539" spans="2:16">
      <c r="B539" s="7">
        <v>160213</v>
      </c>
      <c r="C539" s="7">
        <v>4.3525</v>
      </c>
      <c r="D539" s="18" t="str">
        <f>[1]!b_info_name(B539)</f>
        <v>16国开13</v>
      </c>
      <c r="E539" s="19">
        <f>[1]!b_info_latestissurercreditrating(B539)</f>
        <v>0</v>
      </c>
      <c r="F539" s="20">
        <f ca="1">[1]!b_anal_day(B539,$A$5)/365</f>
        <v>8.9616438356164387</v>
      </c>
      <c r="G539" s="21">
        <f ca="1">[1]!b_anal_yield_cnbd(B539,$A$5)</f>
        <v>0</v>
      </c>
      <c r="H539" s="21">
        <f t="shared" ca="1" si="27"/>
        <v>435.25</v>
      </c>
      <c r="I539" s="21">
        <f ca="1">[1]!b_anal_yield_cnbd(B539,$A$7)</f>
        <v>0</v>
      </c>
      <c r="J539" s="21">
        <f t="shared" ca="1" si="28"/>
        <v>0</v>
      </c>
      <c r="K539" s="19" t="str">
        <f>[1]!s_info_Nature(B539)</f>
        <v>中央国有企业</v>
      </c>
      <c r="L539" s="19" t="str">
        <f>[1]!b_info_windl1type(B539)</f>
        <v>金融债</v>
      </c>
      <c r="M539" s="13">
        <f>[1]!b_info_couponrate(B539)</f>
        <v>3.05</v>
      </c>
      <c r="N539" s="14" t="str">
        <f>[1]!B_Info_ListedDate(B539)</f>
        <v>2016-08-29</v>
      </c>
      <c r="O539" s="14" t="str">
        <f>[1]!b_issue_firstissue(B539)</f>
        <v>2016-08-23</v>
      </c>
      <c r="P539" s="4">
        <f t="shared" ca="1" si="29"/>
        <v>42989</v>
      </c>
    </row>
    <row r="540" spans="2:16">
      <c r="B540" s="7">
        <v>160213</v>
      </c>
      <c r="C540" s="7">
        <v>4.3525</v>
      </c>
      <c r="D540" s="18" t="str">
        <f>[1]!b_info_name(B540)</f>
        <v>16国开13</v>
      </c>
      <c r="E540" s="19">
        <f>[1]!b_info_latestissurercreditrating(B540)</f>
        <v>0</v>
      </c>
      <c r="F540" s="20">
        <f ca="1">[1]!b_anal_day(B540,$A$5)/365</f>
        <v>8.9616438356164387</v>
      </c>
      <c r="G540" s="21">
        <f ca="1">[1]!b_anal_yield_cnbd(B540,$A$5)</f>
        <v>0</v>
      </c>
      <c r="H540" s="21">
        <f t="shared" ca="1" si="27"/>
        <v>435.25</v>
      </c>
      <c r="I540" s="21">
        <f ca="1">[1]!b_anal_yield_cnbd(B540,$A$7)</f>
        <v>0</v>
      </c>
      <c r="J540" s="21">
        <f t="shared" ca="1" si="28"/>
        <v>0</v>
      </c>
      <c r="K540" s="19" t="str">
        <f>[1]!s_info_Nature(B540)</f>
        <v>中央国有企业</v>
      </c>
      <c r="L540" s="19" t="str">
        <f>[1]!b_info_windl1type(B540)</f>
        <v>金融债</v>
      </c>
      <c r="M540" s="13">
        <f>[1]!b_info_couponrate(B540)</f>
        <v>3.05</v>
      </c>
      <c r="N540" s="14" t="str">
        <f>[1]!B_Info_ListedDate(B540)</f>
        <v>2016-08-29</v>
      </c>
      <c r="O540" s="14" t="str">
        <f>[1]!b_issue_firstissue(B540)</f>
        <v>2016-08-23</v>
      </c>
      <c r="P540" s="4">
        <f t="shared" ca="1" si="29"/>
        <v>42989</v>
      </c>
    </row>
    <row r="541" spans="2:16">
      <c r="B541" s="7">
        <v>160213</v>
      </c>
      <c r="C541" s="7">
        <v>4.3525</v>
      </c>
      <c r="D541" s="18" t="str">
        <f>[1]!b_info_name(B541)</f>
        <v>16国开13</v>
      </c>
      <c r="E541" s="19">
        <f>[1]!b_info_latestissurercreditrating(B541)</f>
        <v>0</v>
      </c>
      <c r="F541" s="20">
        <f ca="1">[1]!b_anal_day(B541,$A$5)/365</f>
        <v>8.9616438356164387</v>
      </c>
      <c r="G541" s="21">
        <f ca="1">[1]!b_anal_yield_cnbd(B541,$A$5)</f>
        <v>0</v>
      </c>
      <c r="H541" s="21">
        <f t="shared" ca="1" si="27"/>
        <v>435.25</v>
      </c>
      <c r="I541" s="21">
        <f ca="1">[1]!b_anal_yield_cnbd(B541,$A$7)</f>
        <v>0</v>
      </c>
      <c r="J541" s="21">
        <f t="shared" ca="1" si="28"/>
        <v>0</v>
      </c>
      <c r="K541" s="19" t="str">
        <f>[1]!s_info_Nature(B541)</f>
        <v>中央国有企业</v>
      </c>
      <c r="L541" s="19" t="str">
        <f>[1]!b_info_windl1type(B541)</f>
        <v>金融债</v>
      </c>
      <c r="M541" s="13">
        <f>[1]!b_info_couponrate(B541)</f>
        <v>3.05</v>
      </c>
      <c r="N541" s="14" t="str">
        <f>[1]!B_Info_ListedDate(B541)</f>
        <v>2016-08-29</v>
      </c>
      <c r="O541" s="14" t="str">
        <f>[1]!b_issue_firstissue(B541)</f>
        <v>2016-08-23</v>
      </c>
      <c r="P541" s="4">
        <f t="shared" ca="1" si="29"/>
        <v>42989</v>
      </c>
    </row>
    <row r="542" spans="2:16">
      <c r="B542" s="7">
        <v>160213</v>
      </c>
      <c r="C542" s="7">
        <v>4.3525</v>
      </c>
      <c r="D542" s="18" t="str">
        <f>[1]!b_info_name(B542)</f>
        <v>16国开13</v>
      </c>
      <c r="E542" s="19">
        <f>[1]!b_info_latestissurercreditrating(B542)</f>
        <v>0</v>
      </c>
      <c r="F542" s="20">
        <f ca="1">[1]!b_anal_day(B542,$A$5)/365</f>
        <v>8.9616438356164387</v>
      </c>
      <c r="G542" s="21">
        <f ca="1">[1]!b_anal_yield_cnbd(B542,$A$5)</f>
        <v>0</v>
      </c>
      <c r="H542" s="21">
        <f t="shared" ca="1" si="27"/>
        <v>435.25</v>
      </c>
      <c r="I542" s="21">
        <f ca="1">[1]!b_anal_yield_cnbd(B542,$A$7)</f>
        <v>0</v>
      </c>
      <c r="J542" s="21">
        <f t="shared" ca="1" si="28"/>
        <v>0</v>
      </c>
      <c r="K542" s="19" t="str">
        <f>[1]!s_info_Nature(B542)</f>
        <v>中央国有企业</v>
      </c>
      <c r="L542" s="19" t="str">
        <f>[1]!b_info_windl1type(B542)</f>
        <v>金融债</v>
      </c>
      <c r="M542" s="13">
        <f>[1]!b_info_couponrate(B542)</f>
        <v>3.05</v>
      </c>
      <c r="N542" s="14" t="str">
        <f>[1]!B_Info_ListedDate(B542)</f>
        <v>2016-08-29</v>
      </c>
      <c r="O542" s="14" t="str">
        <f>[1]!b_issue_firstissue(B542)</f>
        <v>2016-08-23</v>
      </c>
      <c r="P542" s="4">
        <f t="shared" ca="1" si="29"/>
        <v>42989</v>
      </c>
    </row>
    <row r="543" spans="2:16">
      <c r="B543" s="7">
        <v>160213</v>
      </c>
      <c r="C543" s="7">
        <v>4.3525</v>
      </c>
      <c r="D543" s="18" t="str">
        <f>[1]!b_info_name(B543)</f>
        <v>16国开13</v>
      </c>
      <c r="E543" s="19">
        <f>[1]!b_info_latestissurercreditrating(B543)</f>
        <v>0</v>
      </c>
      <c r="F543" s="20">
        <f ca="1">[1]!b_anal_day(B543,$A$5)/365</f>
        <v>8.9616438356164387</v>
      </c>
      <c r="G543" s="21">
        <f ca="1">[1]!b_anal_yield_cnbd(B543,$A$5)</f>
        <v>0</v>
      </c>
      <c r="H543" s="21">
        <f t="shared" ca="1" si="27"/>
        <v>435.25</v>
      </c>
      <c r="I543" s="21">
        <f ca="1">[1]!b_anal_yield_cnbd(B543,$A$7)</f>
        <v>0</v>
      </c>
      <c r="J543" s="21">
        <f t="shared" ca="1" si="28"/>
        <v>0</v>
      </c>
      <c r="K543" s="19" t="str">
        <f>[1]!s_info_Nature(B543)</f>
        <v>中央国有企业</v>
      </c>
      <c r="L543" s="19" t="str">
        <f>[1]!b_info_windl1type(B543)</f>
        <v>金融债</v>
      </c>
      <c r="M543" s="13">
        <f>[1]!b_info_couponrate(B543)</f>
        <v>3.05</v>
      </c>
      <c r="N543" s="14" t="str">
        <f>[1]!B_Info_ListedDate(B543)</f>
        <v>2016-08-29</v>
      </c>
      <c r="O543" s="14" t="str">
        <f>[1]!b_issue_firstissue(B543)</f>
        <v>2016-08-23</v>
      </c>
      <c r="P543" s="4">
        <f t="shared" ca="1" si="29"/>
        <v>42989</v>
      </c>
    </row>
    <row r="544" spans="2:16">
      <c r="B544" s="7">
        <v>160213</v>
      </c>
      <c r="C544" s="7">
        <v>4.3525</v>
      </c>
      <c r="D544" s="18" t="str">
        <f>[1]!b_info_name(B544)</f>
        <v>16国开13</v>
      </c>
      <c r="E544" s="19">
        <f>[1]!b_info_latestissurercreditrating(B544)</f>
        <v>0</v>
      </c>
      <c r="F544" s="20">
        <f ca="1">[1]!b_anal_day(B544,$A$5)/365</f>
        <v>8.9616438356164387</v>
      </c>
      <c r="G544" s="21">
        <f ca="1">[1]!b_anal_yield_cnbd(B544,$A$5)</f>
        <v>0</v>
      </c>
      <c r="H544" s="21">
        <f t="shared" ca="1" si="27"/>
        <v>435.25</v>
      </c>
      <c r="I544" s="21">
        <f ca="1">[1]!b_anal_yield_cnbd(B544,$A$7)</f>
        <v>0</v>
      </c>
      <c r="J544" s="21">
        <f t="shared" ca="1" si="28"/>
        <v>0</v>
      </c>
      <c r="K544" s="19" t="str">
        <f>[1]!s_info_Nature(B544)</f>
        <v>中央国有企业</v>
      </c>
      <c r="L544" s="19" t="str">
        <f>[1]!b_info_windl1type(B544)</f>
        <v>金融债</v>
      </c>
      <c r="M544" s="13">
        <f>[1]!b_info_couponrate(B544)</f>
        <v>3.05</v>
      </c>
      <c r="N544" s="14" t="str">
        <f>[1]!B_Info_ListedDate(B544)</f>
        <v>2016-08-29</v>
      </c>
      <c r="O544" s="14" t="str">
        <f>[1]!b_issue_firstissue(B544)</f>
        <v>2016-08-23</v>
      </c>
      <c r="P544" s="4">
        <f t="shared" ca="1" si="29"/>
        <v>42989</v>
      </c>
    </row>
    <row r="545" spans="2:16">
      <c r="B545" s="7">
        <v>160213</v>
      </c>
      <c r="C545" s="7">
        <v>4.3525</v>
      </c>
      <c r="D545" s="18" t="str">
        <f>[1]!b_info_name(B545)</f>
        <v>16国开13</v>
      </c>
      <c r="E545" s="19">
        <f>[1]!b_info_latestissurercreditrating(B545)</f>
        <v>0</v>
      </c>
      <c r="F545" s="20">
        <f ca="1">[1]!b_anal_day(B545,$A$5)/365</f>
        <v>8.9616438356164387</v>
      </c>
      <c r="G545" s="21">
        <f ca="1">[1]!b_anal_yield_cnbd(B545,$A$5)</f>
        <v>0</v>
      </c>
      <c r="H545" s="21">
        <f t="shared" ca="1" si="27"/>
        <v>435.25</v>
      </c>
      <c r="I545" s="21">
        <f ca="1">[1]!b_anal_yield_cnbd(B545,$A$7)</f>
        <v>0</v>
      </c>
      <c r="J545" s="21">
        <f t="shared" ca="1" si="28"/>
        <v>0</v>
      </c>
      <c r="K545" s="19" t="str">
        <f>[1]!s_info_Nature(B545)</f>
        <v>中央国有企业</v>
      </c>
      <c r="L545" s="19" t="str">
        <f>[1]!b_info_windl1type(B545)</f>
        <v>金融债</v>
      </c>
      <c r="M545" s="13">
        <f>[1]!b_info_couponrate(B545)</f>
        <v>3.05</v>
      </c>
      <c r="N545" s="14" t="str">
        <f>[1]!B_Info_ListedDate(B545)</f>
        <v>2016-08-29</v>
      </c>
      <c r="O545" s="14" t="str">
        <f>[1]!b_issue_firstissue(B545)</f>
        <v>2016-08-23</v>
      </c>
      <c r="P545" s="4">
        <f t="shared" ca="1" si="29"/>
        <v>42989</v>
      </c>
    </row>
    <row r="546" spans="2:16">
      <c r="B546" s="7">
        <v>160213</v>
      </c>
      <c r="C546" s="7">
        <v>4.3525</v>
      </c>
      <c r="D546" s="18" t="str">
        <f>[1]!b_info_name(B546)</f>
        <v>16国开13</v>
      </c>
      <c r="E546" s="19">
        <f>[1]!b_info_latestissurercreditrating(B546)</f>
        <v>0</v>
      </c>
      <c r="F546" s="20">
        <f ca="1">[1]!b_anal_day(B546,$A$5)/365</f>
        <v>8.9616438356164387</v>
      </c>
      <c r="G546" s="21">
        <f ca="1">[1]!b_anal_yield_cnbd(B546,$A$5)</f>
        <v>0</v>
      </c>
      <c r="H546" s="21">
        <f t="shared" ca="1" si="27"/>
        <v>435.25</v>
      </c>
      <c r="I546" s="21">
        <f ca="1">[1]!b_anal_yield_cnbd(B546,$A$7)</f>
        <v>0</v>
      </c>
      <c r="J546" s="21">
        <f t="shared" ca="1" si="28"/>
        <v>0</v>
      </c>
      <c r="K546" s="19" t="str">
        <f>[1]!s_info_Nature(B546)</f>
        <v>中央国有企业</v>
      </c>
      <c r="L546" s="19" t="str">
        <f>[1]!b_info_windl1type(B546)</f>
        <v>金融债</v>
      </c>
      <c r="M546" s="13">
        <f>[1]!b_info_couponrate(B546)</f>
        <v>3.05</v>
      </c>
      <c r="N546" s="14" t="str">
        <f>[1]!B_Info_ListedDate(B546)</f>
        <v>2016-08-29</v>
      </c>
      <c r="O546" s="14" t="str">
        <f>[1]!b_issue_firstissue(B546)</f>
        <v>2016-08-23</v>
      </c>
      <c r="P546" s="4">
        <f t="shared" ca="1" si="29"/>
        <v>42989</v>
      </c>
    </row>
    <row r="547" spans="2:16">
      <c r="B547" s="7">
        <v>160213</v>
      </c>
      <c r="C547" s="7">
        <v>4.3525</v>
      </c>
      <c r="D547" s="18" t="str">
        <f>[1]!b_info_name(B547)</f>
        <v>16国开13</v>
      </c>
      <c r="E547" s="19">
        <f>[1]!b_info_latestissurercreditrating(B547)</f>
        <v>0</v>
      </c>
      <c r="F547" s="20">
        <f ca="1">[1]!b_anal_day(B547,$A$5)/365</f>
        <v>8.9616438356164387</v>
      </c>
      <c r="G547" s="21">
        <f ca="1">[1]!b_anal_yield_cnbd(B547,$A$5)</f>
        <v>0</v>
      </c>
      <c r="H547" s="21">
        <f t="shared" ca="1" si="27"/>
        <v>435.25</v>
      </c>
      <c r="I547" s="21">
        <f ca="1">[1]!b_anal_yield_cnbd(B547,$A$7)</f>
        <v>0</v>
      </c>
      <c r="J547" s="21">
        <f t="shared" ca="1" si="28"/>
        <v>0</v>
      </c>
      <c r="K547" s="19" t="str">
        <f>[1]!s_info_Nature(B547)</f>
        <v>中央国有企业</v>
      </c>
      <c r="L547" s="19" t="str">
        <f>[1]!b_info_windl1type(B547)</f>
        <v>金融债</v>
      </c>
      <c r="M547" s="13">
        <f>[1]!b_info_couponrate(B547)</f>
        <v>3.05</v>
      </c>
      <c r="N547" s="14" t="str">
        <f>[1]!B_Info_ListedDate(B547)</f>
        <v>2016-08-29</v>
      </c>
      <c r="O547" s="14" t="str">
        <f>[1]!b_issue_firstissue(B547)</f>
        <v>2016-08-23</v>
      </c>
      <c r="P547" s="4">
        <f t="shared" ca="1" si="29"/>
        <v>42989</v>
      </c>
    </row>
    <row r="548" spans="2:16">
      <c r="B548" s="7">
        <v>160213</v>
      </c>
      <c r="C548" s="7">
        <v>4.3525</v>
      </c>
      <c r="D548" s="18" t="str">
        <f>[1]!b_info_name(B548)</f>
        <v>16国开13</v>
      </c>
      <c r="E548" s="19">
        <f>[1]!b_info_latestissurercreditrating(B548)</f>
        <v>0</v>
      </c>
      <c r="F548" s="20">
        <f ca="1">[1]!b_anal_day(B548,$A$5)/365</f>
        <v>8.9616438356164387</v>
      </c>
      <c r="G548" s="21">
        <f ca="1">[1]!b_anal_yield_cnbd(B548,$A$5)</f>
        <v>0</v>
      </c>
      <c r="H548" s="21">
        <f t="shared" ref="H548:H611" ca="1" si="30">(IF(C548&lt;0.1,C548*100,C548)-G548)*100</f>
        <v>435.25</v>
      </c>
      <c r="I548" s="21">
        <f ca="1">[1]!b_anal_yield_cnbd(B548,$A$7)</f>
        <v>0</v>
      </c>
      <c r="J548" s="21">
        <f t="shared" ref="J548:J611" ca="1" si="31">(G548-I548)*100</f>
        <v>0</v>
      </c>
      <c r="K548" s="19" t="str">
        <f>[1]!s_info_Nature(B548)</f>
        <v>中央国有企业</v>
      </c>
      <c r="L548" s="19" t="str">
        <f>[1]!b_info_windl1type(B548)</f>
        <v>金融债</v>
      </c>
      <c r="M548" s="13">
        <f>[1]!b_info_couponrate(B548)</f>
        <v>3.05</v>
      </c>
      <c r="N548" s="14" t="str">
        <f>[1]!B_Info_ListedDate(B548)</f>
        <v>2016-08-29</v>
      </c>
      <c r="O548" s="14" t="str">
        <f>[1]!b_issue_firstissue(B548)</f>
        <v>2016-08-23</v>
      </c>
      <c r="P548" s="4">
        <f t="shared" ref="P548:P611" ca="1" si="32">$A$2</f>
        <v>42989</v>
      </c>
    </row>
    <row r="549" spans="2:16">
      <c r="B549" s="7">
        <v>160213</v>
      </c>
      <c r="C549" s="7">
        <v>4.3525</v>
      </c>
      <c r="D549" s="18" t="str">
        <f>[1]!b_info_name(B549)</f>
        <v>16国开13</v>
      </c>
      <c r="E549" s="19">
        <f>[1]!b_info_latestissurercreditrating(B549)</f>
        <v>0</v>
      </c>
      <c r="F549" s="20">
        <f ca="1">[1]!b_anal_day(B549,$A$5)/365</f>
        <v>8.9616438356164387</v>
      </c>
      <c r="G549" s="21">
        <f ca="1">[1]!b_anal_yield_cnbd(B549,$A$5)</f>
        <v>0</v>
      </c>
      <c r="H549" s="21">
        <f t="shared" ca="1" si="30"/>
        <v>435.25</v>
      </c>
      <c r="I549" s="21">
        <f ca="1">[1]!b_anal_yield_cnbd(B549,$A$7)</f>
        <v>0</v>
      </c>
      <c r="J549" s="21">
        <f t="shared" ca="1" si="31"/>
        <v>0</v>
      </c>
      <c r="K549" s="19" t="str">
        <f>[1]!s_info_Nature(B549)</f>
        <v>中央国有企业</v>
      </c>
      <c r="L549" s="19" t="str">
        <f>[1]!b_info_windl1type(B549)</f>
        <v>金融债</v>
      </c>
      <c r="M549" s="13">
        <f>[1]!b_info_couponrate(B549)</f>
        <v>3.05</v>
      </c>
      <c r="N549" s="14" t="str">
        <f>[1]!B_Info_ListedDate(B549)</f>
        <v>2016-08-29</v>
      </c>
      <c r="O549" s="14" t="str">
        <f>[1]!b_issue_firstissue(B549)</f>
        <v>2016-08-23</v>
      </c>
      <c r="P549" s="4">
        <f t="shared" ca="1" si="32"/>
        <v>42989</v>
      </c>
    </row>
    <row r="550" spans="2:16">
      <c r="B550" s="7">
        <v>160213</v>
      </c>
      <c r="C550" s="7">
        <v>4.3525</v>
      </c>
      <c r="D550" s="18" t="str">
        <f>[1]!b_info_name(B550)</f>
        <v>16国开13</v>
      </c>
      <c r="E550" s="19">
        <f>[1]!b_info_latestissurercreditrating(B550)</f>
        <v>0</v>
      </c>
      <c r="F550" s="20">
        <f ca="1">[1]!b_anal_day(B550,$A$5)/365</f>
        <v>8.9616438356164387</v>
      </c>
      <c r="G550" s="21">
        <f ca="1">[1]!b_anal_yield_cnbd(B550,$A$5)</f>
        <v>0</v>
      </c>
      <c r="H550" s="21">
        <f t="shared" ca="1" si="30"/>
        <v>435.25</v>
      </c>
      <c r="I550" s="21">
        <f ca="1">[1]!b_anal_yield_cnbd(B550,$A$7)</f>
        <v>0</v>
      </c>
      <c r="J550" s="21">
        <f t="shared" ca="1" si="31"/>
        <v>0</v>
      </c>
      <c r="K550" s="19" t="str">
        <f>[1]!s_info_Nature(B550)</f>
        <v>中央国有企业</v>
      </c>
      <c r="L550" s="19" t="str">
        <f>[1]!b_info_windl1type(B550)</f>
        <v>金融债</v>
      </c>
      <c r="M550" s="13">
        <f>[1]!b_info_couponrate(B550)</f>
        <v>3.05</v>
      </c>
      <c r="N550" s="14" t="str">
        <f>[1]!B_Info_ListedDate(B550)</f>
        <v>2016-08-29</v>
      </c>
      <c r="O550" s="14" t="str">
        <f>[1]!b_issue_firstissue(B550)</f>
        <v>2016-08-23</v>
      </c>
      <c r="P550" s="4">
        <f t="shared" ca="1" si="32"/>
        <v>42989</v>
      </c>
    </row>
    <row r="551" spans="2:16">
      <c r="B551" s="7">
        <v>160213</v>
      </c>
      <c r="C551" s="7">
        <v>4.3525</v>
      </c>
      <c r="D551" s="18" t="str">
        <f>[1]!b_info_name(B551)</f>
        <v>16国开13</v>
      </c>
      <c r="E551" s="19">
        <f>[1]!b_info_latestissurercreditrating(B551)</f>
        <v>0</v>
      </c>
      <c r="F551" s="20">
        <f ca="1">[1]!b_anal_day(B551,$A$5)/365</f>
        <v>8.9616438356164387</v>
      </c>
      <c r="G551" s="21">
        <f ca="1">[1]!b_anal_yield_cnbd(B551,$A$5)</f>
        <v>0</v>
      </c>
      <c r="H551" s="21">
        <f t="shared" ca="1" si="30"/>
        <v>435.25</v>
      </c>
      <c r="I551" s="21">
        <f ca="1">[1]!b_anal_yield_cnbd(B551,$A$7)</f>
        <v>0</v>
      </c>
      <c r="J551" s="21">
        <f t="shared" ca="1" si="31"/>
        <v>0</v>
      </c>
      <c r="K551" s="19" t="str">
        <f>[1]!s_info_Nature(B551)</f>
        <v>中央国有企业</v>
      </c>
      <c r="L551" s="19" t="str">
        <f>[1]!b_info_windl1type(B551)</f>
        <v>金融债</v>
      </c>
      <c r="M551" s="13">
        <f>[1]!b_info_couponrate(B551)</f>
        <v>3.05</v>
      </c>
      <c r="N551" s="14" t="str">
        <f>[1]!B_Info_ListedDate(B551)</f>
        <v>2016-08-29</v>
      </c>
      <c r="O551" s="14" t="str">
        <f>[1]!b_issue_firstissue(B551)</f>
        <v>2016-08-23</v>
      </c>
      <c r="P551" s="4">
        <f t="shared" ca="1" si="32"/>
        <v>42989</v>
      </c>
    </row>
    <row r="552" spans="2:16">
      <c r="B552" s="7">
        <v>160213</v>
      </c>
      <c r="C552" s="7">
        <v>4.3525</v>
      </c>
      <c r="D552" s="18" t="str">
        <f>[1]!b_info_name(B552)</f>
        <v>16国开13</v>
      </c>
      <c r="E552" s="19">
        <f>[1]!b_info_latestissurercreditrating(B552)</f>
        <v>0</v>
      </c>
      <c r="F552" s="20">
        <f ca="1">[1]!b_anal_day(B552,$A$5)/365</f>
        <v>8.9616438356164387</v>
      </c>
      <c r="G552" s="21">
        <f ca="1">[1]!b_anal_yield_cnbd(B552,$A$5)</f>
        <v>0</v>
      </c>
      <c r="H552" s="21">
        <f t="shared" ca="1" si="30"/>
        <v>435.25</v>
      </c>
      <c r="I552" s="21">
        <f ca="1">[1]!b_anal_yield_cnbd(B552,$A$7)</f>
        <v>0</v>
      </c>
      <c r="J552" s="21">
        <f t="shared" ca="1" si="31"/>
        <v>0</v>
      </c>
      <c r="K552" s="19" t="str">
        <f>[1]!s_info_Nature(B552)</f>
        <v>中央国有企业</v>
      </c>
      <c r="L552" s="19" t="str">
        <f>[1]!b_info_windl1type(B552)</f>
        <v>金融债</v>
      </c>
      <c r="M552" s="13">
        <f>[1]!b_info_couponrate(B552)</f>
        <v>3.05</v>
      </c>
      <c r="N552" s="14" t="str">
        <f>[1]!B_Info_ListedDate(B552)</f>
        <v>2016-08-29</v>
      </c>
      <c r="O552" s="14" t="str">
        <f>[1]!b_issue_firstissue(B552)</f>
        <v>2016-08-23</v>
      </c>
      <c r="P552" s="4">
        <f t="shared" ca="1" si="32"/>
        <v>42989</v>
      </c>
    </row>
    <row r="553" spans="2:16">
      <c r="B553" s="7">
        <v>160213</v>
      </c>
      <c r="C553" s="7">
        <v>4.3525</v>
      </c>
      <c r="D553" s="18" t="str">
        <f>[1]!b_info_name(B553)</f>
        <v>16国开13</v>
      </c>
      <c r="E553" s="19">
        <f>[1]!b_info_latestissurercreditrating(B553)</f>
        <v>0</v>
      </c>
      <c r="F553" s="20">
        <f ca="1">[1]!b_anal_day(B553,$A$5)/365</f>
        <v>8.9616438356164387</v>
      </c>
      <c r="G553" s="21">
        <f ca="1">[1]!b_anal_yield_cnbd(B553,$A$5)</f>
        <v>0</v>
      </c>
      <c r="H553" s="21">
        <f t="shared" ca="1" si="30"/>
        <v>435.25</v>
      </c>
      <c r="I553" s="21">
        <f ca="1">[1]!b_anal_yield_cnbd(B553,$A$7)</f>
        <v>0</v>
      </c>
      <c r="J553" s="21">
        <f t="shared" ca="1" si="31"/>
        <v>0</v>
      </c>
      <c r="K553" s="19" t="str">
        <f>[1]!s_info_Nature(B553)</f>
        <v>中央国有企业</v>
      </c>
      <c r="L553" s="19" t="str">
        <f>[1]!b_info_windl1type(B553)</f>
        <v>金融债</v>
      </c>
      <c r="M553" s="13">
        <f>[1]!b_info_couponrate(B553)</f>
        <v>3.05</v>
      </c>
      <c r="N553" s="14" t="str">
        <f>[1]!B_Info_ListedDate(B553)</f>
        <v>2016-08-29</v>
      </c>
      <c r="O553" s="14" t="str">
        <f>[1]!b_issue_firstissue(B553)</f>
        <v>2016-08-23</v>
      </c>
      <c r="P553" s="4">
        <f t="shared" ca="1" si="32"/>
        <v>42989</v>
      </c>
    </row>
    <row r="554" spans="2:16">
      <c r="B554" s="7">
        <v>160213</v>
      </c>
      <c r="C554" s="7">
        <v>4.3525</v>
      </c>
      <c r="D554" s="18" t="str">
        <f>[1]!b_info_name(B554)</f>
        <v>16国开13</v>
      </c>
      <c r="E554" s="19">
        <f>[1]!b_info_latestissurercreditrating(B554)</f>
        <v>0</v>
      </c>
      <c r="F554" s="20">
        <f ca="1">[1]!b_anal_day(B554,$A$5)/365</f>
        <v>8.9616438356164387</v>
      </c>
      <c r="G554" s="21">
        <f ca="1">[1]!b_anal_yield_cnbd(B554,$A$5)</f>
        <v>0</v>
      </c>
      <c r="H554" s="21">
        <f t="shared" ca="1" si="30"/>
        <v>435.25</v>
      </c>
      <c r="I554" s="21">
        <f ca="1">[1]!b_anal_yield_cnbd(B554,$A$7)</f>
        <v>0</v>
      </c>
      <c r="J554" s="21">
        <f t="shared" ca="1" si="31"/>
        <v>0</v>
      </c>
      <c r="K554" s="19" t="str">
        <f>[1]!s_info_Nature(B554)</f>
        <v>中央国有企业</v>
      </c>
      <c r="L554" s="19" t="str">
        <f>[1]!b_info_windl1type(B554)</f>
        <v>金融债</v>
      </c>
      <c r="M554" s="13">
        <f>[1]!b_info_couponrate(B554)</f>
        <v>3.05</v>
      </c>
      <c r="N554" s="14" t="str">
        <f>[1]!B_Info_ListedDate(B554)</f>
        <v>2016-08-29</v>
      </c>
      <c r="O554" s="14" t="str">
        <f>[1]!b_issue_firstissue(B554)</f>
        <v>2016-08-23</v>
      </c>
      <c r="P554" s="4">
        <f t="shared" ca="1" si="32"/>
        <v>42989</v>
      </c>
    </row>
    <row r="555" spans="2:16">
      <c r="B555" s="7">
        <v>160213</v>
      </c>
      <c r="C555" s="7">
        <v>4.3525</v>
      </c>
      <c r="D555" s="18" t="str">
        <f>[1]!b_info_name(B555)</f>
        <v>16国开13</v>
      </c>
      <c r="E555" s="19">
        <f>[1]!b_info_latestissurercreditrating(B555)</f>
        <v>0</v>
      </c>
      <c r="F555" s="20">
        <f ca="1">[1]!b_anal_day(B555,$A$5)/365</f>
        <v>8.9616438356164387</v>
      </c>
      <c r="G555" s="21">
        <f ca="1">[1]!b_anal_yield_cnbd(B555,$A$5)</f>
        <v>0</v>
      </c>
      <c r="H555" s="21">
        <f t="shared" ca="1" si="30"/>
        <v>435.25</v>
      </c>
      <c r="I555" s="21">
        <f ca="1">[1]!b_anal_yield_cnbd(B555,$A$7)</f>
        <v>0</v>
      </c>
      <c r="J555" s="21">
        <f t="shared" ca="1" si="31"/>
        <v>0</v>
      </c>
      <c r="K555" s="19" t="str">
        <f>[1]!s_info_Nature(B555)</f>
        <v>中央国有企业</v>
      </c>
      <c r="L555" s="19" t="str">
        <f>[1]!b_info_windl1type(B555)</f>
        <v>金融债</v>
      </c>
      <c r="M555" s="13">
        <f>[1]!b_info_couponrate(B555)</f>
        <v>3.05</v>
      </c>
      <c r="N555" s="14" t="str">
        <f>[1]!B_Info_ListedDate(B555)</f>
        <v>2016-08-29</v>
      </c>
      <c r="O555" s="14" t="str">
        <f>[1]!b_issue_firstissue(B555)</f>
        <v>2016-08-23</v>
      </c>
      <c r="P555" s="4">
        <f t="shared" ca="1" si="32"/>
        <v>42989</v>
      </c>
    </row>
    <row r="556" spans="2:16">
      <c r="B556" s="7">
        <v>160213</v>
      </c>
      <c r="C556" s="7">
        <v>4.3525</v>
      </c>
      <c r="D556" s="18" t="str">
        <f>[1]!b_info_name(B556)</f>
        <v>16国开13</v>
      </c>
      <c r="E556" s="19">
        <f>[1]!b_info_latestissurercreditrating(B556)</f>
        <v>0</v>
      </c>
      <c r="F556" s="20">
        <f ca="1">[1]!b_anal_day(B556,$A$5)/365</f>
        <v>8.9616438356164387</v>
      </c>
      <c r="G556" s="21">
        <f ca="1">[1]!b_anal_yield_cnbd(B556,$A$5)</f>
        <v>0</v>
      </c>
      <c r="H556" s="21">
        <f t="shared" ca="1" si="30"/>
        <v>435.25</v>
      </c>
      <c r="I556" s="21">
        <f ca="1">[1]!b_anal_yield_cnbd(B556,$A$7)</f>
        <v>0</v>
      </c>
      <c r="J556" s="21">
        <f t="shared" ca="1" si="31"/>
        <v>0</v>
      </c>
      <c r="K556" s="19" t="str">
        <f>[1]!s_info_Nature(B556)</f>
        <v>中央国有企业</v>
      </c>
      <c r="L556" s="19" t="str">
        <f>[1]!b_info_windl1type(B556)</f>
        <v>金融债</v>
      </c>
      <c r="M556" s="13">
        <f>[1]!b_info_couponrate(B556)</f>
        <v>3.05</v>
      </c>
      <c r="N556" s="14" t="str">
        <f>[1]!B_Info_ListedDate(B556)</f>
        <v>2016-08-29</v>
      </c>
      <c r="O556" s="14" t="str">
        <f>[1]!b_issue_firstissue(B556)</f>
        <v>2016-08-23</v>
      </c>
      <c r="P556" s="4">
        <f t="shared" ca="1" si="32"/>
        <v>42989</v>
      </c>
    </row>
    <row r="557" spans="2:16">
      <c r="B557" s="7">
        <v>160213</v>
      </c>
      <c r="C557" s="7">
        <v>4.3525</v>
      </c>
      <c r="D557" s="18" t="str">
        <f>[1]!b_info_name(B557)</f>
        <v>16国开13</v>
      </c>
      <c r="E557" s="19">
        <f>[1]!b_info_latestissurercreditrating(B557)</f>
        <v>0</v>
      </c>
      <c r="F557" s="20">
        <f ca="1">[1]!b_anal_day(B557,$A$5)/365</f>
        <v>8.9616438356164387</v>
      </c>
      <c r="G557" s="21">
        <f ca="1">[1]!b_anal_yield_cnbd(B557,$A$5)</f>
        <v>0</v>
      </c>
      <c r="H557" s="21">
        <f t="shared" ca="1" si="30"/>
        <v>435.25</v>
      </c>
      <c r="I557" s="21">
        <f ca="1">[1]!b_anal_yield_cnbd(B557,$A$7)</f>
        <v>0</v>
      </c>
      <c r="J557" s="21">
        <f t="shared" ca="1" si="31"/>
        <v>0</v>
      </c>
      <c r="K557" s="19" t="str">
        <f>[1]!s_info_Nature(B557)</f>
        <v>中央国有企业</v>
      </c>
      <c r="L557" s="19" t="str">
        <f>[1]!b_info_windl1type(B557)</f>
        <v>金融债</v>
      </c>
      <c r="M557" s="13">
        <f>[1]!b_info_couponrate(B557)</f>
        <v>3.05</v>
      </c>
      <c r="N557" s="14" t="str">
        <f>[1]!B_Info_ListedDate(B557)</f>
        <v>2016-08-29</v>
      </c>
      <c r="O557" s="14" t="str">
        <f>[1]!b_issue_firstissue(B557)</f>
        <v>2016-08-23</v>
      </c>
      <c r="P557" s="4">
        <f t="shared" ca="1" si="32"/>
        <v>42989</v>
      </c>
    </row>
    <row r="558" spans="2:16">
      <c r="B558" s="7">
        <v>160213</v>
      </c>
      <c r="C558" s="7">
        <v>4.3525</v>
      </c>
      <c r="D558" s="18" t="str">
        <f>[1]!b_info_name(B558)</f>
        <v>16国开13</v>
      </c>
      <c r="E558" s="19">
        <f>[1]!b_info_latestissurercreditrating(B558)</f>
        <v>0</v>
      </c>
      <c r="F558" s="20">
        <f ca="1">[1]!b_anal_day(B558,$A$5)/365</f>
        <v>8.9616438356164387</v>
      </c>
      <c r="G558" s="21">
        <f ca="1">[1]!b_anal_yield_cnbd(B558,$A$5)</f>
        <v>0</v>
      </c>
      <c r="H558" s="21">
        <f t="shared" ca="1" si="30"/>
        <v>435.25</v>
      </c>
      <c r="I558" s="21">
        <f ca="1">[1]!b_anal_yield_cnbd(B558,$A$7)</f>
        <v>0</v>
      </c>
      <c r="J558" s="21">
        <f t="shared" ca="1" si="31"/>
        <v>0</v>
      </c>
      <c r="K558" s="19" t="str">
        <f>[1]!s_info_Nature(B558)</f>
        <v>中央国有企业</v>
      </c>
      <c r="L558" s="19" t="str">
        <f>[1]!b_info_windl1type(B558)</f>
        <v>金融债</v>
      </c>
      <c r="M558" s="13">
        <f>[1]!b_info_couponrate(B558)</f>
        <v>3.05</v>
      </c>
      <c r="N558" s="14" t="str">
        <f>[1]!B_Info_ListedDate(B558)</f>
        <v>2016-08-29</v>
      </c>
      <c r="O558" s="14" t="str">
        <f>[1]!b_issue_firstissue(B558)</f>
        <v>2016-08-23</v>
      </c>
      <c r="P558" s="4">
        <f t="shared" ca="1" si="32"/>
        <v>42989</v>
      </c>
    </row>
    <row r="559" spans="2:16">
      <c r="B559" s="7">
        <v>160213</v>
      </c>
      <c r="C559" s="7">
        <v>4.3525</v>
      </c>
      <c r="D559" s="18" t="str">
        <f>[1]!b_info_name(B559)</f>
        <v>16国开13</v>
      </c>
      <c r="E559" s="19">
        <f>[1]!b_info_latestissurercreditrating(B559)</f>
        <v>0</v>
      </c>
      <c r="F559" s="20">
        <f ca="1">[1]!b_anal_day(B559,$A$5)/365</f>
        <v>8.9616438356164387</v>
      </c>
      <c r="G559" s="21">
        <f ca="1">[1]!b_anal_yield_cnbd(B559,$A$5)</f>
        <v>0</v>
      </c>
      <c r="H559" s="21">
        <f t="shared" ca="1" si="30"/>
        <v>435.25</v>
      </c>
      <c r="I559" s="21">
        <f ca="1">[1]!b_anal_yield_cnbd(B559,$A$7)</f>
        <v>0</v>
      </c>
      <c r="J559" s="21">
        <f t="shared" ca="1" si="31"/>
        <v>0</v>
      </c>
      <c r="K559" s="19" t="str">
        <f>[1]!s_info_Nature(B559)</f>
        <v>中央国有企业</v>
      </c>
      <c r="L559" s="19" t="str">
        <f>[1]!b_info_windl1type(B559)</f>
        <v>金融债</v>
      </c>
      <c r="M559" s="13">
        <f>[1]!b_info_couponrate(B559)</f>
        <v>3.05</v>
      </c>
      <c r="N559" s="14" t="str">
        <f>[1]!B_Info_ListedDate(B559)</f>
        <v>2016-08-29</v>
      </c>
      <c r="O559" s="14" t="str">
        <f>[1]!b_issue_firstissue(B559)</f>
        <v>2016-08-23</v>
      </c>
      <c r="P559" s="4">
        <f t="shared" ca="1" si="32"/>
        <v>42989</v>
      </c>
    </row>
    <row r="560" spans="2:16">
      <c r="B560" s="7">
        <v>160213</v>
      </c>
      <c r="C560" s="7">
        <v>4.3525</v>
      </c>
      <c r="D560" s="18" t="str">
        <f>[1]!b_info_name(B560)</f>
        <v>16国开13</v>
      </c>
      <c r="E560" s="19">
        <f>[1]!b_info_latestissurercreditrating(B560)</f>
        <v>0</v>
      </c>
      <c r="F560" s="20">
        <f ca="1">[1]!b_anal_day(B560,$A$5)/365</f>
        <v>8.9616438356164387</v>
      </c>
      <c r="G560" s="21">
        <f ca="1">[1]!b_anal_yield_cnbd(B560,$A$5)</f>
        <v>0</v>
      </c>
      <c r="H560" s="21">
        <f t="shared" ca="1" si="30"/>
        <v>435.25</v>
      </c>
      <c r="I560" s="21">
        <f ca="1">[1]!b_anal_yield_cnbd(B560,$A$7)</f>
        <v>0</v>
      </c>
      <c r="J560" s="21">
        <f t="shared" ca="1" si="31"/>
        <v>0</v>
      </c>
      <c r="K560" s="19" t="str">
        <f>[1]!s_info_Nature(B560)</f>
        <v>中央国有企业</v>
      </c>
      <c r="L560" s="19" t="str">
        <f>[1]!b_info_windl1type(B560)</f>
        <v>金融债</v>
      </c>
      <c r="M560" s="13">
        <f>[1]!b_info_couponrate(B560)</f>
        <v>3.05</v>
      </c>
      <c r="N560" s="14" t="str">
        <f>[1]!B_Info_ListedDate(B560)</f>
        <v>2016-08-29</v>
      </c>
      <c r="O560" s="14" t="str">
        <f>[1]!b_issue_firstissue(B560)</f>
        <v>2016-08-23</v>
      </c>
      <c r="P560" s="4">
        <f t="shared" ca="1" si="32"/>
        <v>42989</v>
      </c>
    </row>
    <row r="561" spans="2:16">
      <c r="B561" s="7">
        <v>160213</v>
      </c>
      <c r="C561" s="7">
        <v>4.3525</v>
      </c>
      <c r="D561" s="18" t="str">
        <f>[1]!b_info_name(B561)</f>
        <v>16国开13</v>
      </c>
      <c r="E561" s="19">
        <f>[1]!b_info_latestissurercreditrating(B561)</f>
        <v>0</v>
      </c>
      <c r="F561" s="20">
        <f ca="1">[1]!b_anal_day(B561,$A$5)/365</f>
        <v>8.9616438356164387</v>
      </c>
      <c r="G561" s="21">
        <f ca="1">[1]!b_anal_yield_cnbd(B561,$A$5)</f>
        <v>0</v>
      </c>
      <c r="H561" s="21">
        <f t="shared" ca="1" si="30"/>
        <v>435.25</v>
      </c>
      <c r="I561" s="21">
        <f ca="1">[1]!b_anal_yield_cnbd(B561,$A$7)</f>
        <v>0</v>
      </c>
      <c r="J561" s="21">
        <f t="shared" ca="1" si="31"/>
        <v>0</v>
      </c>
      <c r="K561" s="19" t="str">
        <f>[1]!s_info_Nature(B561)</f>
        <v>中央国有企业</v>
      </c>
      <c r="L561" s="19" t="str">
        <f>[1]!b_info_windl1type(B561)</f>
        <v>金融债</v>
      </c>
      <c r="M561" s="13">
        <f>[1]!b_info_couponrate(B561)</f>
        <v>3.05</v>
      </c>
      <c r="N561" s="14" t="str">
        <f>[1]!B_Info_ListedDate(B561)</f>
        <v>2016-08-29</v>
      </c>
      <c r="O561" s="14" t="str">
        <f>[1]!b_issue_firstissue(B561)</f>
        <v>2016-08-23</v>
      </c>
      <c r="P561" s="4">
        <f t="shared" ca="1" si="32"/>
        <v>42989</v>
      </c>
    </row>
    <row r="562" spans="2:16">
      <c r="B562" s="7">
        <v>160213</v>
      </c>
      <c r="C562" s="7">
        <v>4.3525</v>
      </c>
      <c r="D562" s="18" t="str">
        <f>[1]!b_info_name(B562)</f>
        <v>16国开13</v>
      </c>
      <c r="E562" s="19">
        <f>[1]!b_info_latestissurercreditrating(B562)</f>
        <v>0</v>
      </c>
      <c r="F562" s="20">
        <f ca="1">[1]!b_anal_day(B562,$A$5)/365</f>
        <v>8.9616438356164387</v>
      </c>
      <c r="G562" s="21">
        <f ca="1">[1]!b_anal_yield_cnbd(B562,$A$5)</f>
        <v>0</v>
      </c>
      <c r="H562" s="21">
        <f t="shared" ca="1" si="30"/>
        <v>435.25</v>
      </c>
      <c r="I562" s="21">
        <f ca="1">[1]!b_anal_yield_cnbd(B562,$A$7)</f>
        <v>0</v>
      </c>
      <c r="J562" s="21">
        <f t="shared" ca="1" si="31"/>
        <v>0</v>
      </c>
      <c r="K562" s="19" t="str">
        <f>[1]!s_info_Nature(B562)</f>
        <v>中央国有企业</v>
      </c>
      <c r="L562" s="19" t="str">
        <f>[1]!b_info_windl1type(B562)</f>
        <v>金融债</v>
      </c>
      <c r="M562" s="13">
        <f>[1]!b_info_couponrate(B562)</f>
        <v>3.05</v>
      </c>
      <c r="N562" s="14" t="str">
        <f>[1]!B_Info_ListedDate(B562)</f>
        <v>2016-08-29</v>
      </c>
      <c r="O562" s="14" t="str">
        <f>[1]!b_issue_firstissue(B562)</f>
        <v>2016-08-23</v>
      </c>
      <c r="P562" s="4">
        <f t="shared" ca="1" si="32"/>
        <v>42989</v>
      </c>
    </row>
    <row r="563" spans="2:16">
      <c r="B563" s="7">
        <v>160213</v>
      </c>
      <c r="C563" s="7">
        <v>4.3525</v>
      </c>
      <c r="D563" s="18" t="str">
        <f>[1]!b_info_name(B563)</f>
        <v>16国开13</v>
      </c>
      <c r="E563" s="19">
        <f>[1]!b_info_latestissurercreditrating(B563)</f>
        <v>0</v>
      </c>
      <c r="F563" s="20">
        <f ca="1">[1]!b_anal_day(B563,$A$5)/365</f>
        <v>8.9616438356164387</v>
      </c>
      <c r="G563" s="21">
        <f ca="1">[1]!b_anal_yield_cnbd(B563,$A$5)</f>
        <v>0</v>
      </c>
      <c r="H563" s="21">
        <f t="shared" ca="1" si="30"/>
        <v>435.25</v>
      </c>
      <c r="I563" s="21">
        <f ca="1">[1]!b_anal_yield_cnbd(B563,$A$7)</f>
        <v>0</v>
      </c>
      <c r="J563" s="21">
        <f t="shared" ca="1" si="31"/>
        <v>0</v>
      </c>
      <c r="K563" s="19" t="str">
        <f>[1]!s_info_Nature(B563)</f>
        <v>中央国有企业</v>
      </c>
      <c r="L563" s="19" t="str">
        <f>[1]!b_info_windl1type(B563)</f>
        <v>金融债</v>
      </c>
      <c r="M563" s="13">
        <f>[1]!b_info_couponrate(B563)</f>
        <v>3.05</v>
      </c>
      <c r="N563" s="14" t="str">
        <f>[1]!B_Info_ListedDate(B563)</f>
        <v>2016-08-29</v>
      </c>
      <c r="O563" s="14" t="str">
        <f>[1]!b_issue_firstissue(B563)</f>
        <v>2016-08-23</v>
      </c>
      <c r="P563" s="4">
        <f t="shared" ca="1" si="32"/>
        <v>42989</v>
      </c>
    </row>
    <row r="564" spans="2:16">
      <c r="B564" s="7">
        <v>160213</v>
      </c>
      <c r="C564" s="7">
        <v>4.3525</v>
      </c>
      <c r="D564" s="18" t="str">
        <f>[1]!b_info_name(B564)</f>
        <v>16国开13</v>
      </c>
      <c r="E564" s="19">
        <f>[1]!b_info_latestissurercreditrating(B564)</f>
        <v>0</v>
      </c>
      <c r="F564" s="20">
        <f ca="1">[1]!b_anal_day(B564,$A$5)/365</f>
        <v>8.9616438356164387</v>
      </c>
      <c r="G564" s="21">
        <f ca="1">[1]!b_anal_yield_cnbd(B564,$A$5)</f>
        <v>0</v>
      </c>
      <c r="H564" s="21">
        <f t="shared" ca="1" si="30"/>
        <v>435.25</v>
      </c>
      <c r="I564" s="21">
        <f ca="1">[1]!b_anal_yield_cnbd(B564,$A$7)</f>
        <v>0</v>
      </c>
      <c r="J564" s="21">
        <f t="shared" ca="1" si="31"/>
        <v>0</v>
      </c>
      <c r="K564" s="19" t="str">
        <f>[1]!s_info_Nature(B564)</f>
        <v>中央国有企业</v>
      </c>
      <c r="L564" s="19" t="str">
        <f>[1]!b_info_windl1type(B564)</f>
        <v>金融债</v>
      </c>
      <c r="M564" s="13">
        <f>[1]!b_info_couponrate(B564)</f>
        <v>3.05</v>
      </c>
      <c r="N564" s="14" t="str">
        <f>[1]!B_Info_ListedDate(B564)</f>
        <v>2016-08-29</v>
      </c>
      <c r="O564" s="14" t="str">
        <f>[1]!b_issue_firstissue(B564)</f>
        <v>2016-08-23</v>
      </c>
      <c r="P564" s="4">
        <f t="shared" ca="1" si="32"/>
        <v>42989</v>
      </c>
    </row>
    <row r="565" spans="2:16">
      <c r="B565" s="7">
        <v>160206</v>
      </c>
      <c r="C565" s="7">
        <v>4.3499999999999996</v>
      </c>
      <c r="D565" s="18" t="str">
        <f>[1]!b_info_name(B565)</f>
        <v>16国开06</v>
      </c>
      <c r="E565" s="19">
        <f>[1]!b_info_latestissurercreditrating(B565)</f>
        <v>0</v>
      </c>
      <c r="F565" s="20">
        <f ca="1">[1]!b_anal_day(B565,$A$5)/365</f>
        <v>3.4438356164383563</v>
      </c>
      <c r="G565" s="21">
        <f ca="1">[1]!b_anal_yield_cnbd(B565,$A$5)</f>
        <v>0</v>
      </c>
      <c r="H565" s="21">
        <f t="shared" ca="1" si="30"/>
        <v>434.99999999999994</v>
      </c>
      <c r="I565" s="21">
        <f ca="1">[1]!b_anal_yield_cnbd(B565,$A$7)</f>
        <v>0</v>
      </c>
      <c r="J565" s="21">
        <f t="shared" ca="1" si="31"/>
        <v>0</v>
      </c>
      <c r="K565" s="19" t="str">
        <f>[1]!s_info_Nature(B565)</f>
        <v>中央国有企业</v>
      </c>
      <c r="L565" s="19" t="str">
        <f>[1]!b_info_windl1type(B565)</f>
        <v>金融债</v>
      </c>
      <c r="M565" s="13">
        <f>[1]!b_info_couponrate(B565)</f>
        <v>2.96</v>
      </c>
      <c r="N565" s="14" t="str">
        <f>[1]!B_Info_ListedDate(B565)</f>
        <v>2016-02-22</v>
      </c>
      <c r="O565" s="14" t="str">
        <f>[1]!b_issue_firstissue(B565)</f>
        <v>2016-02-16</v>
      </c>
      <c r="P565" s="4">
        <f t="shared" ca="1" si="32"/>
        <v>42989</v>
      </c>
    </row>
    <row r="566" spans="2:16">
      <c r="B566" s="7">
        <v>160213</v>
      </c>
      <c r="C566" s="7">
        <v>4.3499999999999996</v>
      </c>
      <c r="D566" s="18" t="str">
        <f>[1]!b_info_name(B566)</f>
        <v>16国开13</v>
      </c>
      <c r="E566" s="19">
        <f>[1]!b_info_latestissurercreditrating(B566)</f>
        <v>0</v>
      </c>
      <c r="F566" s="20">
        <f ca="1">[1]!b_anal_day(B566,$A$5)/365</f>
        <v>8.9616438356164387</v>
      </c>
      <c r="G566" s="21">
        <f ca="1">[1]!b_anal_yield_cnbd(B566,$A$5)</f>
        <v>0</v>
      </c>
      <c r="H566" s="21">
        <f t="shared" ca="1" si="30"/>
        <v>434.99999999999994</v>
      </c>
      <c r="I566" s="21">
        <f ca="1">[1]!b_anal_yield_cnbd(B566,$A$7)</f>
        <v>0</v>
      </c>
      <c r="J566" s="21">
        <f t="shared" ca="1" si="31"/>
        <v>0</v>
      </c>
      <c r="K566" s="19" t="str">
        <f>[1]!s_info_Nature(B566)</f>
        <v>中央国有企业</v>
      </c>
      <c r="L566" s="19" t="str">
        <f>[1]!b_info_windl1type(B566)</f>
        <v>金融债</v>
      </c>
      <c r="M566" s="13">
        <f>[1]!b_info_couponrate(B566)</f>
        <v>3.05</v>
      </c>
      <c r="N566" s="14" t="str">
        <f>[1]!B_Info_ListedDate(B566)</f>
        <v>2016-08-29</v>
      </c>
      <c r="O566" s="14" t="str">
        <f>[1]!b_issue_firstissue(B566)</f>
        <v>2016-08-23</v>
      </c>
      <c r="P566" s="4">
        <f t="shared" ca="1" si="32"/>
        <v>42989</v>
      </c>
    </row>
    <row r="567" spans="2:16">
      <c r="B567" s="7">
        <v>160213</v>
      </c>
      <c r="C567" s="7">
        <v>4.3499999999999996</v>
      </c>
      <c r="D567" s="18" t="str">
        <f>[1]!b_info_name(B567)</f>
        <v>16国开13</v>
      </c>
      <c r="E567" s="19">
        <f>[1]!b_info_latestissurercreditrating(B567)</f>
        <v>0</v>
      </c>
      <c r="F567" s="20">
        <f ca="1">[1]!b_anal_day(B567,$A$5)/365</f>
        <v>8.9616438356164387</v>
      </c>
      <c r="G567" s="21">
        <f ca="1">[1]!b_anal_yield_cnbd(B567,$A$5)</f>
        <v>0</v>
      </c>
      <c r="H567" s="21">
        <f t="shared" ca="1" si="30"/>
        <v>434.99999999999994</v>
      </c>
      <c r="I567" s="21">
        <f ca="1">[1]!b_anal_yield_cnbd(B567,$A$7)</f>
        <v>0</v>
      </c>
      <c r="J567" s="21">
        <f t="shared" ca="1" si="31"/>
        <v>0</v>
      </c>
      <c r="K567" s="19" t="str">
        <f>[1]!s_info_Nature(B567)</f>
        <v>中央国有企业</v>
      </c>
      <c r="L567" s="19" t="str">
        <f>[1]!b_info_windl1type(B567)</f>
        <v>金融债</v>
      </c>
      <c r="M567" s="13">
        <f>[1]!b_info_couponrate(B567)</f>
        <v>3.05</v>
      </c>
      <c r="N567" s="14" t="str">
        <f>[1]!B_Info_ListedDate(B567)</f>
        <v>2016-08-29</v>
      </c>
      <c r="O567" s="14" t="str">
        <f>[1]!b_issue_firstissue(B567)</f>
        <v>2016-08-23</v>
      </c>
      <c r="P567" s="4">
        <f t="shared" ca="1" si="32"/>
        <v>42989</v>
      </c>
    </row>
    <row r="568" spans="2:16">
      <c r="B568" s="7">
        <v>160213</v>
      </c>
      <c r="C568" s="7">
        <v>4.3499999999999996</v>
      </c>
      <c r="D568" s="18" t="str">
        <f>[1]!b_info_name(B568)</f>
        <v>16国开13</v>
      </c>
      <c r="E568" s="19">
        <f>[1]!b_info_latestissurercreditrating(B568)</f>
        <v>0</v>
      </c>
      <c r="F568" s="20">
        <f ca="1">[1]!b_anal_day(B568,$A$5)/365</f>
        <v>8.9616438356164387</v>
      </c>
      <c r="G568" s="21">
        <f ca="1">[1]!b_anal_yield_cnbd(B568,$A$5)</f>
        <v>0</v>
      </c>
      <c r="H568" s="21">
        <f t="shared" ca="1" si="30"/>
        <v>434.99999999999994</v>
      </c>
      <c r="I568" s="21">
        <f ca="1">[1]!b_anal_yield_cnbd(B568,$A$7)</f>
        <v>0</v>
      </c>
      <c r="J568" s="21">
        <f t="shared" ca="1" si="31"/>
        <v>0</v>
      </c>
      <c r="K568" s="19" t="str">
        <f>[1]!s_info_Nature(B568)</f>
        <v>中央国有企业</v>
      </c>
      <c r="L568" s="19" t="str">
        <f>[1]!b_info_windl1type(B568)</f>
        <v>金融债</v>
      </c>
      <c r="M568" s="13">
        <f>[1]!b_info_couponrate(B568)</f>
        <v>3.05</v>
      </c>
      <c r="N568" s="14" t="str">
        <f>[1]!B_Info_ListedDate(B568)</f>
        <v>2016-08-29</v>
      </c>
      <c r="O568" s="14" t="str">
        <f>[1]!b_issue_firstissue(B568)</f>
        <v>2016-08-23</v>
      </c>
      <c r="P568" s="4">
        <f t="shared" ca="1" si="32"/>
        <v>42989</v>
      </c>
    </row>
    <row r="569" spans="2:16">
      <c r="B569" s="7">
        <v>160213</v>
      </c>
      <c r="C569" s="7">
        <v>4.3499999999999996</v>
      </c>
      <c r="D569" s="18" t="str">
        <f>[1]!b_info_name(B569)</f>
        <v>16国开13</v>
      </c>
      <c r="E569" s="19">
        <f>[1]!b_info_latestissurercreditrating(B569)</f>
        <v>0</v>
      </c>
      <c r="F569" s="20">
        <f ca="1">[1]!b_anal_day(B569,$A$5)/365</f>
        <v>8.9616438356164387</v>
      </c>
      <c r="G569" s="21">
        <f ca="1">[1]!b_anal_yield_cnbd(B569,$A$5)</f>
        <v>0</v>
      </c>
      <c r="H569" s="21">
        <f t="shared" ca="1" si="30"/>
        <v>434.99999999999994</v>
      </c>
      <c r="I569" s="21">
        <f ca="1">[1]!b_anal_yield_cnbd(B569,$A$7)</f>
        <v>0</v>
      </c>
      <c r="J569" s="21">
        <f t="shared" ca="1" si="31"/>
        <v>0</v>
      </c>
      <c r="K569" s="19" t="str">
        <f>[1]!s_info_Nature(B569)</f>
        <v>中央国有企业</v>
      </c>
      <c r="L569" s="19" t="str">
        <f>[1]!b_info_windl1type(B569)</f>
        <v>金融债</v>
      </c>
      <c r="M569" s="13">
        <f>[1]!b_info_couponrate(B569)</f>
        <v>3.05</v>
      </c>
      <c r="N569" s="14" t="str">
        <f>[1]!B_Info_ListedDate(B569)</f>
        <v>2016-08-29</v>
      </c>
      <c r="O569" s="14" t="str">
        <f>[1]!b_issue_firstissue(B569)</f>
        <v>2016-08-23</v>
      </c>
      <c r="P569" s="4">
        <f t="shared" ca="1" si="32"/>
        <v>42989</v>
      </c>
    </row>
    <row r="570" spans="2:16">
      <c r="B570" s="7">
        <v>160213</v>
      </c>
      <c r="C570" s="7">
        <v>4.3499999999999996</v>
      </c>
      <c r="D570" s="18" t="str">
        <f>[1]!b_info_name(B570)</f>
        <v>16国开13</v>
      </c>
      <c r="E570" s="19">
        <f>[1]!b_info_latestissurercreditrating(B570)</f>
        <v>0</v>
      </c>
      <c r="F570" s="20">
        <f ca="1">[1]!b_anal_day(B570,$A$5)/365</f>
        <v>8.9616438356164387</v>
      </c>
      <c r="G570" s="21">
        <f ca="1">[1]!b_anal_yield_cnbd(B570,$A$5)</f>
        <v>0</v>
      </c>
      <c r="H570" s="21">
        <f t="shared" ca="1" si="30"/>
        <v>434.99999999999994</v>
      </c>
      <c r="I570" s="21">
        <f ca="1">[1]!b_anal_yield_cnbd(B570,$A$7)</f>
        <v>0</v>
      </c>
      <c r="J570" s="21">
        <f t="shared" ca="1" si="31"/>
        <v>0</v>
      </c>
      <c r="K570" s="19" t="str">
        <f>[1]!s_info_Nature(B570)</f>
        <v>中央国有企业</v>
      </c>
      <c r="L570" s="19" t="str">
        <f>[1]!b_info_windl1type(B570)</f>
        <v>金融债</v>
      </c>
      <c r="M570" s="13">
        <f>[1]!b_info_couponrate(B570)</f>
        <v>3.05</v>
      </c>
      <c r="N570" s="14" t="str">
        <f>[1]!B_Info_ListedDate(B570)</f>
        <v>2016-08-29</v>
      </c>
      <c r="O570" s="14" t="str">
        <f>[1]!b_issue_firstissue(B570)</f>
        <v>2016-08-23</v>
      </c>
      <c r="P570" s="4">
        <f t="shared" ca="1" si="32"/>
        <v>42989</v>
      </c>
    </row>
    <row r="571" spans="2:16">
      <c r="B571" s="7">
        <v>160213</v>
      </c>
      <c r="C571" s="7">
        <v>4.3499999999999996</v>
      </c>
      <c r="D571" s="18" t="str">
        <f>[1]!b_info_name(B571)</f>
        <v>16国开13</v>
      </c>
      <c r="E571" s="19">
        <f>[1]!b_info_latestissurercreditrating(B571)</f>
        <v>0</v>
      </c>
      <c r="F571" s="20">
        <f ca="1">[1]!b_anal_day(B571,$A$5)/365</f>
        <v>8.9616438356164387</v>
      </c>
      <c r="G571" s="21">
        <f ca="1">[1]!b_anal_yield_cnbd(B571,$A$5)</f>
        <v>0</v>
      </c>
      <c r="H571" s="21">
        <f t="shared" ca="1" si="30"/>
        <v>434.99999999999994</v>
      </c>
      <c r="I571" s="21">
        <f ca="1">[1]!b_anal_yield_cnbd(B571,$A$7)</f>
        <v>0</v>
      </c>
      <c r="J571" s="21">
        <f t="shared" ca="1" si="31"/>
        <v>0</v>
      </c>
      <c r="K571" s="19" t="str">
        <f>[1]!s_info_Nature(B571)</f>
        <v>中央国有企业</v>
      </c>
      <c r="L571" s="19" t="str">
        <f>[1]!b_info_windl1type(B571)</f>
        <v>金融债</v>
      </c>
      <c r="M571" s="13">
        <f>[1]!b_info_couponrate(B571)</f>
        <v>3.05</v>
      </c>
      <c r="N571" s="14" t="str">
        <f>[1]!B_Info_ListedDate(B571)</f>
        <v>2016-08-29</v>
      </c>
      <c r="O571" s="14" t="str">
        <f>[1]!b_issue_firstissue(B571)</f>
        <v>2016-08-23</v>
      </c>
      <c r="P571" s="4">
        <f t="shared" ca="1" si="32"/>
        <v>42989</v>
      </c>
    </row>
    <row r="572" spans="2:16">
      <c r="B572" s="7">
        <v>160213</v>
      </c>
      <c r="C572" s="7">
        <v>4.3499999999999996</v>
      </c>
      <c r="D572" s="18" t="str">
        <f>[1]!b_info_name(B572)</f>
        <v>16国开13</v>
      </c>
      <c r="E572" s="19">
        <f>[1]!b_info_latestissurercreditrating(B572)</f>
        <v>0</v>
      </c>
      <c r="F572" s="20">
        <f ca="1">[1]!b_anal_day(B572,$A$5)/365</f>
        <v>8.9616438356164387</v>
      </c>
      <c r="G572" s="21">
        <f ca="1">[1]!b_anal_yield_cnbd(B572,$A$5)</f>
        <v>0</v>
      </c>
      <c r="H572" s="21">
        <f t="shared" ca="1" si="30"/>
        <v>434.99999999999994</v>
      </c>
      <c r="I572" s="21">
        <f ca="1">[1]!b_anal_yield_cnbd(B572,$A$7)</f>
        <v>0</v>
      </c>
      <c r="J572" s="21">
        <f t="shared" ca="1" si="31"/>
        <v>0</v>
      </c>
      <c r="K572" s="19" t="str">
        <f>[1]!s_info_Nature(B572)</f>
        <v>中央国有企业</v>
      </c>
      <c r="L572" s="19" t="str">
        <f>[1]!b_info_windl1type(B572)</f>
        <v>金融债</v>
      </c>
      <c r="M572" s="13">
        <f>[1]!b_info_couponrate(B572)</f>
        <v>3.05</v>
      </c>
      <c r="N572" s="14" t="str">
        <f>[1]!B_Info_ListedDate(B572)</f>
        <v>2016-08-29</v>
      </c>
      <c r="O572" s="14" t="str">
        <f>[1]!b_issue_firstissue(B572)</f>
        <v>2016-08-23</v>
      </c>
      <c r="P572" s="4">
        <f t="shared" ca="1" si="32"/>
        <v>42989</v>
      </c>
    </row>
    <row r="573" spans="2:16">
      <c r="B573" s="7">
        <v>160213</v>
      </c>
      <c r="C573" s="7">
        <v>4.3499999999999996</v>
      </c>
      <c r="D573" s="18" t="str">
        <f>[1]!b_info_name(B573)</f>
        <v>16国开13</v>
      </c>
      <c r="E573" s="19">
        <f>[1]!b_info_latestissurercreditrating(B573)</f>
        <v>0</v>
      </c>
      <c r="F573" s="20">
        <f ca="1">[1]!b_anal_day(B573,$A$5)/365</f>
        <v>8.9616438356164387</v>
      </c>
      <c r="G573" s="21">
        <f ca="1">[1]!b_anal_yield_cnbd(B573,$A$5)</f>
        <v>0</v>
      </c>
      <c r="H573" s="21">
        <f t="shared" ca="1" si="30"/>
        <v>434.99999999999994</v>
      </c>
      <c r="I573" s="21">
        <f ca="1">[1]!b_anal_yield_cnbd(B573,$A$7)</f>
        <v>0</v>
      </c>
      <c r="J573" s="21">
        <f t="shared" ca="1" si="31"/>
        <v>0</v>
      </c>
      <c r="K573" s="19" t="str">
        <f>[1]!s_info_Nature(B573)</f>
        <v>中央国有企业</v>
      </c>
      <c r="L573" s="19" t="str">
        <f>[1]!b_info_windl1type(B573)</f>
        <v>金融债</v>
      </c>
      <c r="M573" s="13">
        <f>[1]!b_info_couponrate(B573)</f>
        <v>3.05</v>
      </c>
      <c r="N573" s="14" t="str">
        <f>[1]!B_Info_ListedDate(B573)</f>
        <v>2016-08-29</v>
      </c>
      <c r="O573" s="14" t="str">
        <f>[1]!b_issue_firstissue(B573)</f>
        <v>2016-08-23</v>
      </c>
      <c r="P573" s="4">
        <f t="shared" ca="1" si="32"/>
        <v>42989</v>
      </c>
    </row>
    <row r="574" spans="2:16">
      <c r="B574" s="7">
        <v>170403</v>
      </c>
      <c r="C574" s="7">
        <v>4.3499999999999996</v>
      </c>
      <c r="D574" s="18" t="str">
        <f>[1]!b_info_name(B574)</f>
        <v>17农发03</v>
      </c>
      <c r="E574" s="19">
        <f>[1]!b_info_latestissurercreditrating(B574)</f>
        <v>0</v>
      </c>
      <c r="F574" s="20">
        <f ca="1">[1]!b_anal_day(B574,$A$5)/365</f>
        <v>4.3260273972602743</v>
      </c>
      <c r="G574" s="21">
        <f ca="1">[1]!b_anal_yield_cnbd(B574,$A$5)</f>
        <v>0</v>
      </c>
      <c r="H574" s="21">
        <f t="shared" ca="1" si="30"/>
        <v>434.99999999999994</v>
      </c>
      <c r="I574" s="21">
        <f ca="1">[1]!b_anal_yield_cnbd(B574,$A$7)</f>
        <v>0</v>
      </c>
      <c r="J574" s="21">
        <f t="shared" ca="1" si="31"/>
        <v>0</v>
      </c>
      <c r="K574" s="19" t="str">
        <f>[1]!s_info_Nature(B574)</f>
        <v>中央国有企业</v>
      </c>
      <c r="L574" s="19" t="str">
        <f>[1]!b_info_windl1type(B574)</f>
        <v>金融债</v>
      </c>
      <c r="M574" s="13">
        <f>[1]!b_info_couponrate(B574)</f>
        <v>3.7</v>
      </c>
      <c r="N574" s="14" t="str">
        <f>[1]!B_Info_ListedDate(B574)</f>
        <v>2017-01-10</v>
      </c>
      <c r="O574" s="14" t="str">
        <f>[1]!b_issue_firstissue(B574)</f>
        <v>2017-01-04</v>
      </c>
      <c r="P574" s="4">
        <f t="shared" ca="1" si="32"/>
        <v>42989</v>
      </c>
    </row>
    <row r="575" spans="2:16">
      <c r="B575" s="7">
        <v>160213</v>
      </c>
      <c r="C575" s="7">
        <v>4.3499999999999996</v>
      </c>
      <c r="D575" s="18" t="str">
        <f>[1]!b_info_name(B575)</f>
        <v>16国开13</v>
      </c>
      <c r="E575" s="19">
        <f>[1]!b_info_latestissurercreditrating(B575)</f>
        <v>0</v>
      </c>
      <c r="F575" s="20">
        <f ca="1">[1]!b_anal_day(B575,$A$5)/365</f>
        <v>8.9616438356164387</v>
      </c>
      <c r="G575" s="21">
        <f ca="1">[1]!b_anal_yield_cnbd(B575,$A$5)</f>
        <v>0</v>
      </c>
      <c r="H575" s="21">
        <f t="shared" ca="1" si="30"/>
        <v>434.99999999999994</v>
      </c>
      <c r="I575" s="21">
        <f ca="1">[1]!b_anal_yield_cnbd(B575,$A$7)</f>
        <v>0</v>
      </c>
      <c r="J575" s="21">
        <f t="shared" ca="1" si="31"/>
        <v>0</v>
      </c>
      <c r="K575" s="19" t="str">
        <f>[1]!s_info_Nature(B575)</f>
        <v>中央国有企业</v>
      </c>
      <c r="L575" s="19" t="str">
        <f>[1]!b_info_windl1type(B575)</f>
        <v>金融债</v>
      </c>
      <c r="M575" s="13">
        <f>[1]!b_info_couponrate(B575)</f>
        <v>3.05</v>
      </c>
      <c r="N575" s="14" t="str">
        <f>[1]!B_Info_ListedDate(B575)</f>
        <v>2016-08-29</v>
      </c>
      <c r="O575" s="14" t="str">
        <f>[1]!b_issue_firstissue(B575)</f>
        <v>2016-08-23</v>
      </c>
      <c r="P575" s="4">
        <f t="shared" ca="1" si="32"/>
        <v>42989</v>
      </c>
    </row>
    <row r="576" spans="2:16">
      <c r="B576" s="7">
        <v>160213</v>
      </c>
      <c r="C576" s="7">
        <v>4.3499999999999996</v>
      </c>
      <c r="D576" s="18" t="str">
        <f>[1]!b_info_name(B576)</f>
        <v>16国开13</v>
      </c>
      <c r="E576" s="19">
        <f>[1]!b_info_latestissurercreditrating(B576)</f>
        <v>0</v>
      </c>
      <c r="F576" s="20">
        <f ca="1">[1]!b_anal_day(B576,$A$5)/365</f>
        <v>8.9616438356164387</v>
      </c>
      <c r="G576" s="21">
        <f ca="1">[1]!b_anal_yield_cnbd(B576,$A$5)</f>
        <v>0</v>
      </c>
      <c r="H576" s="21">
        <f t="shared" ca="1" si="30"/>
        <v>434.99999999999994</v>
      </c>
      <c r="I576" s="21">
        <f ca="1">[1]!b_anal_yield_cnbd(B576,$A$7)</f>
        <v>0</v>
      </c>
      <c r="J576" s="21">
        <f t="shared" ca="1" si="31"/>
        <v>0</v>
      </c>
      <c r="K576" s="19" t="str">
        <f>[1]!s_info_Nature(B576)</f>
        <v>中央国有企业</v>
      </c>
      <c r="L576" s="19" t="str">
        <f>[1]!b_info_windl1type(B576)</f>
        <v>金融债</v>
      </c>
      <c r="M576" s="13">
        <f>[1]!b_info_couponrate(B576)</f>
        <v>3.05</v>
      </c>
      <c r="N576" s="14" t="str">
        <f>[1]!B_Info_ListedDate(B576)</f>
        <v>2016-08-29</v>
      </c>
      <c r="O576" s="14" t="str">
        <f>[1]!b_issue_firstissue(B576)</f>
        <v>2016-08-23</v>
      </c>
      <c r="P576" s="4">
        <f t="shared" ca="1" si="32"/>
        <v>42989</v>
      </c>
    </row>
    <row r="577" spans="2:16">
      <c r="B577" s="7">
        <v>160213</v>
      </c>
      <c r="C577" s="7">
        <v>4.3499999999999996</v>
      </c>
      <c r="D577" s="18" t="str">
        <f>[1]!b_info_name(B577)</f>
        <v>16国开13</v>
      </c>
      <c r="E577" s="19">
        <f>[1]!b_info_latestissurercreditrating(B577)</f>
        <v>0</v>
      </c>
      <c r="F577" s="20">
        <f ca="1">[1]!b_anal_day(B577,$A$5)/365</f>
        <v>8.9616438356164387</v>
      </c>
      <c r="G577" s="21">
        <f ca="1">[1]!b_anal_yield_cnbd(B577,$A$5)</f>
        <v>0</v>
      </c>
      <c r="H577" s="21">
        <f t="shared" ca="1" si="30"/>
        <v>434.99999999999994</v>
      </c>
      <c r="I577" s="21">
        <f ca="1">[1]!b_anal_yield_cnbd(B577,$A$7)</f>
        <v>0</v>
      </c>
      <c r="J577" s="21">
        <f t="shared" ca="1" si="31"/>
        <v>0</v>
      </c>
      <c r="K577" s="19" t="str">
        <f>[1]!s_info_Nature(B577)</f>
        <v>中央国有企业</v>
      </c>
      <c r="L577" s="19" t="str">
        <f>[1]!b_info_windl1type(B577)</f>
        <v>金融债</v>
      </c>
      <c r="M577" s="13">
        <f>[1]!b_info_couponrate(B577)</f>
        <v>3.05</v>
      </c>
      <c r="N577" s="14" t="str">
        <f>[1]!B_Info_ListedDate(B577)</f>
        <v>2016-08-29</v>
      </c>
      <c r="O577" s="14" t="str">
        <f>[1]!b_issue_firstissue(B577)</f>
        <v>2016-08-23</v>
      </c>
      <c r="P577" s="4">
        <f t="shared" ca="1" si="32"/>
        <v>42989</v>
      </c>
    </row>
    <row r="578" spans="2:16">
      <c r="B578" s="7">
        <v>160213</v>
      </c>
      <c r="C578" s="7">
        <v>4.3499999999999996</v>
      </c>
      <c r="D578" s="18" t="str">
        <f>[1]!b_info_name(B578)</f>
        <v>16国开13</v>
      </c>
      <c r="E578" s="19">
        <f>[1]!b_info_latestissurercreditrating(B578)</f>
        <v>0</v>
      </c>
      <c r="F578" s="20">
        <f ca="1">[1]!b_anal_day(B578,$A$5)/365</f>
        <v>8.9616438356164387</v>
      </c>
      <c r="G578" s="21">
        <f ca="1">[1]!b_anal_yield_cnbd(B578,$A$5)</f>
        <v>0</v>
      </c>
      <c r="H578" s="21">
        <f t="shared" ca="1" si="30"/>
        <v>434.99999999999994</v>
      </c>
      <c r="I578" s="21">
        <f ca="1">[1]!b_anal_yield_cnbd(B578,$A$7)</f>
        <v>0</v>
      </c>
      <c r="J578" s="21">
        <f t="shared" ca="1" si="31"/>
        <v>0</v>
      </c>
      <c r="K578" s="19" t="str">
        <f>[1]!s_info_Nature(B578)</f>
        <v>中央国有企业</v>
      </c>
      <c r="L578" s="19" t="str">
        <f>[1]!b_info_windl1type(B578)</f>
        <v>金融债</v>
      </c>
      <c r="M578" s="13">
        <f>[1]!b_info_couponrate(B578)</f>
        <v>3.05</v>
      </c>
      <c r="N578" s="14" t="str">
        <f>[1]!B_Info_ListedDate(B578)</f>
        <v>2016-08-29</v>
      </c>
      <c r="O578" s="14" t="str">
        <f>[1]!b_issue_firstissue(B578)</f>
        <v>2016-08-23</v>
      </c>
      <c r="P578" s="4">
        <f t="shared" ca="1" si="32"/>
        <v>42989</v>
      </c>
    </row>
    <row r="579" spans="2:16">
      <c r="B579" s="7">
        <v>160213</v>
      </c>
      <c r="C579" s="7">
        <v>4.3499999999999996</v>
      </c>
      <c r="D579" s="18" t="str">
        <f>[1]!b_info_name(B579)</f>
        <v>16国开13</v>
      </c>
      <c r="E579" s="19">
        <f>[1]!b_info_latestissurercreditrating(B579)</f>
        <v>0</v>
      </c>
      <c r="F579" s="20">
        <f ca="1">[1]!b_anal_day(B579,$A$5)/365</f>
        <v>8.9616438356164387</v>
      </c>
      <c r="G579" s="21">
        <f ca="1">[1]!b_anal_yield_cnbd(B579,$A$5)</f>
        <v>0</v>
      </c>
      <c r="H579" s="21">
        <f t="shared" ca="1" si="30"/>
        <v>434.99999999999994</v>
      </c>
      <c r="I579" s="21">
        <f ca="1">[1]!b_anal_yield_cnbd(B579,$A$7)</f>
        <v>0</v>
      </c>
      <c r="J579" s="21">
        <f t="shared" ca="1" si="31"/>
        <v>0</v>
      </c>
      <c r="K579" s="19" t="str">
        <f>[1]!s_info_Nature(B579)</f>
        <v>中央国有企业</v>
      </c>
      <c r="L579" s="19" t="str">
        <f>[1]!b_info_windl1type(B579)</f>
        <v>金融债</v>
      </c>
      <c r="M579" s="13">
        <f>[1]!b_info_couponrate(B579)</f>
        <v>3.05</v>
      </c>
      <c r="N579" s="14" t="str">
        <f>[1]!B_Info_ListedDate(B579)</f>
        <v>2016-08-29</v>
      </c>
      <c r="O579" s="14" t="str">
        <f>[1]!b_issue_firstissue(B579)</f>
        <v>2016-08-23</v>
      </c>
      <c r="P579" s="4">
        <f t="shared" ca="1" si="32"/>
        <v>42989</v>
      </c>
    </row>
    <row r="580" spans="2:16">
      <c r="B580" s="7">
        <v>160213</v>
      </c>
      <c r="C580" s="7">
        <v>4.3499999999999996</v>
      </c>
      <c r="D580" s="18" t="str">
        <f>[1]!b_info_name(B580)</f>
        <v>16国开13</v>
      </c>
      <c r="E580" s="19">
        <f>[1]!b_info_latestissurercreditrating(B580)</f>
        <v>0</v>
      </c>
      <c r="F580" s="20">
        <f ca="1">[1]!b_anal_day(B580,$A$5)/365</f>
        <v>8.9616438356164387</v>
      </c>
      <c r="G580" s="21">
        <f ca="1">[1]!b_anal_yield_cnbd(B580,$A$5)</f>
        <v>0</v>
      </c>
      <c r="H580" s="21">
        <f t="shared" ca="1" si="30"/>
        <v>434.99999999999994</v>
      </c>
      <c r="I580" s="21">
        <f ca="1">[1]!b_anal_yield_cnbd(B580,$A$7)</f>
        <v>0</v>
      </c>
      <c r="J580" s="21">
        <f t="shared" ca="1" si="31"/>
        <v>0</v>
      </c>
      <c r="K580" s="19" t="str">
        <f>[1]!s_info_Nature(B580)</f>
        <v>中央国有企业</v>
      </c>
      <c r="L580" s="19" t="str">
        <f>[1]!b_info_windl1type(B580)</f>
        <v>金融债</v>
      </c>
      <c r="M580" s="13">
        <f>[1]!b_info_couponrate(B580)</f>
        <v>3.05</v>
      </c>
      <c r="N580" s="14" t="str">
        <f>[1]!B_Info_ListedDate(B580)</f>
        <v>2016-08-29</v>
      </c>
      <c r="O580" s="14" t="str">
        <f>[1]!b_issue_firstissue(B580)</f>
        <v>2016-08-23</v>
      </c>
      <c r="P580" s="4">
        <f t="shared" ca="1" si="32"/>
        <v>42989</v>
      </c>
    </row>
    <row r="581" spans="2:16">
      <c r="B581" s="7">
        <v>160213</v>
      </c>
      <c r="C581" s="7">
        <v>4.3499999999999996</v>
      </c>
      <c r="D581" s="18" t="str">
        <f>[1]!b_info_name(B581)</f>
        <v>16国开13</v>
      </c>
      <c r="E581" s="19">
        <f>[1]!b_info_latestissurercreditrating(B581)</f>
        <v>0</v>
      </c>
      <c r="F581" s="20">
        <f ca="1">[1]!b_anal_day(B581,$A$5)/365</f>
        <v>8.9616438356164387</v>
      </c>
      <c r="G581" s="21">
        <f ca="1">[1]!b_anal_yield_cnbd(B581,$A$5)</f>
        <v>0</v>
      </c>
      <c r="H581" s="21">
        <f t="shared" ca="1" si="30"/>
        <v>434.99999999999994</v>
      </c>
      <c r="I581" s="21">
        <f ca="1">[1]!b_anal_yield_cnbd(B581,$A$7)</f>
        <v>0</v>
      </c>
      <c r="J581" s="21">
        <f t="shared" ca="1" si="31"/>
        <v>0</v>
      </c>
      <c r="K581" s="19" t="str">
        <f>[1]!s_info_Nature(B581)</f>
        <v>中央国有企业</v>
      </c>
      <c r="L581" s="19" t="str">
        <f>[1]!b_info_windl1type(B581)</f>
        <v>金融债</v>
      </c>
      <c r="M581" s="13">
        <f>[1]!b_info_couponrate(B581)</f>
        <v>3.05</v>
      </c>
      <c r="N581" s="14" t="str">
        <f>[1]!B_Info_ListedDate(B581)</f>
        <v>2016-08-29</v>
      </c>
      <c r="O581" s="14" t="str">
        <f>[1]!b_issue_firstissue(B581)</f>
        <v>2016-08-23</v>
      </c>
      <c r="P581" s="4">
        <f t="shared" ca="1" si="32"/>
        <v>42989</v>
      </c>
    </row>
    <row r="582" spans="2:16">
      <c r="B582" s="7">
        <v>160213</v>
      </c>
      <c r="C582" s="7">
        <v>4.3499999999999996</v>
      </c>
      <c r="D582" s="18" t="str">
        <f>[1]!b_info_name(B582)</f>
        <v>16国开13</v>
      </c>
      <c r="E582" s="19">
        <f>[1]!b_info_latestissurercreditrating(B582)</f>
        <v>0</v>
      </c>
      <c r="F582" s="20">
        <f ca="1">[1]!b_anal_day(B582,$A$5)/365</f>
        <v>8.9616438356164387</v>
      </c>
      <c r="G582" s="21">
        <f ca="1">[1]!b_anal_yield_cnbd(B582,$A$5)</f>
        <v>0</v>
      </c>
      <c r="H582" s="21">
        <f t="shared" ca="1" si="30"/>
        <v>434.99999999999994</v>
      </c>
      <c r="I582" s="21">
        <f ca="1">[1]!b_anal_yield_cnbd(B582,$A$7)</f>
        <v>0</v>
      </c>
      <c r="J582" s="21">
        <f t="shared" ca="1" si="31"/>
        <v>0</v>
      </c>
      <c r="K582" s="19" t="str">
        <f>[1]!s_info_Nature(B582)</f>
        <v>中央国有企业</v>
      </c>
      <c r="L582" s="19" t="str">
        <f>[1]!b_info_windl1type(B582)</f>
        <v>金融债</v>
      </c>
      <c r="M582" s="13">
        <f>[1]!b_info_couponrate(B582)</f>
        <v>3.05</v>
      </c>
      <c r="N582" s="14" t="str">
        <f>[1]!B_Info_ListedDate(B582)</f>
        <v>2016-08-29</v>
      </c>
      <c r="O582" s="14" t="str">
        <f>[1]!b_issue_firstissue(B582)</f>
        <v>2016-08-23</v>
      </c>
      <c r="P582" s="4">
        <f t="shared" ca="1" si="32"/>
        <v>42989</v>
      </c>
    </row>
    <row r="583" spans="2:16">
      <c r="B583" s="7">
        <v>170403</v>
      </c>
      <c r="C583" s="7">
        <v>4.3499999999999996</v>
      </c>
      <c r="D583" s="18" t="str">
        <f>[1]!b_info_name(B583)</f>
        <v>17农发03</v>
      </c>
      <c r="E583" s="19">
        <f>[1]!b_info_latestissurercreditrating(B583)</f>
        <v>0</v>
      </c>
      <c r="F583" s="20">
        <f ca="1">[1]!b_anal_day(B583,$A$5)/365</f>
        <v>4.3260273972602743</v>
      </c>
      <c r="G583" s="21">
        <f ca="1">[1]!b_anal_yield_cnbd(B583,$A$5)</f>
        <v>0</v>
      </c>
      <c r="H583" s="21">
        <f t="shared" ca="1" si="30"/>
        <v>434.99999999999994</v>
      </c>
      <c r="I583" s="21">
        <f ca="1">[1]!b_anal_yield_cnbd(B583,$A$7)</f>
        <v>0</v>
      </c>
      <c r="J583" s="21">
        <f t="shared" ca="1" si="31"/>
        <v>0</v>
      </c>
      <c r="K583" s="19" t="str">
        <f>[1]!s_info_Nature(B583)</f>
        <v>中央国有企业</v>
      </c>
      <c r="L583" s="19" t="str">
        <f>[1]!b_info_windl1type(B583)</f>
        <v>金融债</v>
      </c>
      <c r="M583" s="13">
        <f>[1]!b_info_couponrate(B583)</f>
        <v>3.7</v>
      </c>
      <c r="N583" s="14" t="str">
        <f>[1]!B_Info_ListedDate(B583)</f>
        <v>2017-01-10</v>
      </c>
      <c r="O583" s="14" t="str">
        <f>[1]!b_issue_firstissue(B583)</f>
        <v>2017-01-04</v>
      </c>
      <c r="P583" s="4">
        <f t="shared" ca="1" si="32"/>
        <v>42989</v>
      </c>
    </row>
    <row r="584" spans="2:16">
      <c r="B584" s="7">
        <v>160213</v>
      </c>
      <c r="C584" s="7">
        <v>4.3499999999999996</v>
      </c>
      <c r="D584" s="18" t="str">
        <f>[1]!b_info_name(B584)</f>
        <v>16国开13</v>
      </c>
      <c r="E584" s="19">
        <f>[1]!b_info_latestissurercreditrating(B584)</f>
        <v>0</v>
      </c>
      <c r="F584" s="20">
        <f ca="1">[1]!b_anal_day(B584,$A$5)/365</f>
        <v>8.9616438356164387</v>
      </c>
      <c r="G584" s="21">
        <f ca="1">[1]!b_anal_yield_cnbd(B584,$A$5)</f>
        <v>0</v>
      </c>
      <c r="H584" s="21">
        <f t="shared" ca="1" si="30"/>
        <v>434.99999999999994</v>
      </c>
      <c r="I584" s="21">
        <f ca="1">[1]!b_anal_yield_cnbd(B584,$A$7)</f>
        <v>0</v>
      </c>
      <c r="J584" s="21">
        <f t="shared" ca="1" si="31"/>
        <v>0</v>
      </c>
      <c r="K584" s="19" t="str">
        <f>[1]!s_info_Nature(B584)</f>
        <v>中央国有企业</v>
      </c>
      <c r="L584" s="19" t="str">
        <f>[1]!b_info_windl1type(B584)</f>
        <v>金融债</v>
      </c>
      <c r="M584" s="13">
        <f>[1]!b_info_couponrate(B584)</f>
        <v>3.05</v>
      </c>
      <c r="N584" s="14" t="str">
        <f>[1]!B_Info_ListedDate(B584)</f>
        <v>2016-08-29</v>
      </c>
      <c r="O584" s="14" t="str">
        <f>[1]!b_issue_firstissue(B584)</f>
        <v>2016-08-23</v>
      </c>
      <c r="P584" s="4">
        <f t="shared" ca="1" si="32"/>
        <v>42989</v>
      </c>
    </row>
    <row r="585" spans="2:16">
      <c r="B585" s="7">
        <v>11759019</v>
      </c>
      <c r="C585" s="7">
        <v>4.3499999999999996</v>
      </c>
      <c r="D585" s="18" t="str">
        <f>[1]!b_info_name(B585)</f>
        <v>17鲁高速SCP003</v>
      </c>
      <c r="E585" s="19" t="str">
        <f>[1]!b_info_latestissurercreditrating(B585)</f>
        <v>AAA</v>
      </c>
      <c r="F585" s="20">
        <f ca="1">[1]!b_anal_day(B585,$A$5)/365</f>
        <v>2.7397260273972603E-3</v>
      </c>
      <c r="G585" s="21">
        <f ca="1">[1]!b_anal_yield_cnbd(B585,$A$5)</f>
        <v>0</v>
      </c>
      <c r="H585" s="21">
        <f t="shared" ca="1" si="30"/>
        <v>434.99999999999994</v>
      </c>
      <c r="I585" s="21">
        <f ca="1">[1]!b_anal_yield_cnbd(B585,$A$7)</f>
        <v>0</v>
      </c>
      <c r="J585" s="21">
        <f t="shared" ca="1" si="31"/>
        <v>0</v>
      </c>
      <c r="K585" s="19" t="str">
        <f>[1]!s_info_Nature(B585)</f>
        <v>地方国有企业</v>
      </c>
      <c r="L585" s="19" t="str">
        <f>[1]!b_info_windl1type(B585)</f>
        <v>短期融资券</v>
      </c>
      <c r="M585" s="13">
        <f>[1]!b_info_couponrate(B585)</f>
        <v>4.2</v>
      </c>
      <c r="N585" s="14" t="str">
        <f>[1]!B_Info_ListedDate(B585)</f>
        <v>2017-03-16</v>
      </c>
      <c r="O585" s="14" t="str">
        <f>[1]!b_issue_firstissue(B585)</f>
        <v>2017-03-13</v>
      </c>
      <c r="P585" s="4">
        <f t="shared" ca="1" si="32"/>
        <v>42989</v>
      </c>
    </row>
    <row r="586" spans="2:16">
      <c r="B586" s="7">
        <v>160213</v>
      </c>
      <c r="C586" s="7">
        <v>4.3475000000000001</v>
      </c>
      <c r="D586" s="18" t="str">
        <f>[1]!b_info_name(B586)</f>
        <v>16国开13</v>
      </c>
      <c r="E586" s="19">
        <f>[1]!b_info_latestissurercreditrating(B586)</f>
        <v>0</v>
      </c>
      <c r="F586" s="20">
        <f ca="1">[1]!b_anal_day(B586,$A$5)/365</f>
        <v>8.9616438356164387</v>
      </c>
      <c r="G586" s="21">
        <f ca="1">[1]!b_anal_yield_cnbd(B586,$A$5)</f>
        <v>0</v>
      </c>
      <c r="H586" s="21">
        <f t="shared" ca="1" si="30"/>
        <v>434.75</v>
      </c>
      <c r="I586" s="21">
        <f ca="1">[1]!b_anal_yield_cnbd(B586,$A$7)</f>
        <v>0</v>
      </c>
      <c r="J586" s="21">
        <f t="shared" ca="1" si="31"/>
        <v>0</v>
      </c>
      <c r="K586" s="19" t="str">
        <f>[1]!s_info_Nature(B586)</f>
        <v>中央国有企业</v>
      </c>
      <c r="L586" s="19" t="str">
        <f>[1]!b_info_windl1type(B586)</f>
        <v>金融债</v>
      </c>
      <c r="M586" s="13">
        <f>[1]!b_info_couponrate(B586)</f>
        <v>3.05</v>
      </c>
      <c r="N586" s="14" t="str">
        <f>[1]!B_Info_ListedDate(B586)</f>
        <v>2016-08-29</v>
      </c>
      <c r="O586" s="14" t="str">
        <f>[1]!b_issue_firstissue(B586)</f>
        <v>2016-08-23</v>
      </c>
      <c r="P586" s="4">
        <f t="shared" ca="1" si="32"/>
        <v>42989</v>
      </c>
    </row>
    <row r="587" spans="2:16">
      <c r="B587" s="7">
        <v>160213</v>
      </c>
      <c r="C587" s="7">
        <v>4.3449999999999998</v>
      </c>
      <c r="D587" s="18" t="str">
        <f>[1]!b_info_name(B587)</f>
        <v>16国开13</v>
      </c>
      <c r="E587" s="19">
        <f>[1]!b_info_latestissurercreditrating(B587)</f>
        <v>0</v>
      </c>
      <c r="F587" s="20">
        <f ca="1">[1]!b_anal_day(B587,$A$5)/365</f>
        <v>8.9616438356164387</v>
      </c>
      <c r="G587" s="21">
        <f ca="1">[1]!b_anal_yield_cnbd(B587,$A$5)</f>
        <v>0</v>
      </c>
      <c r="H587" s="21">
        <f t="shared" ca="1" si="30"/>
        <v>434.5</v>
      </c>
      <c r="I587" s="21">
        <f ca="1">[1]!b_anal_yield_cnbd(B587,$A$7)</f>
        <v>0</v>
      </c>
      <c r="J587" s="21">
        <f t="shared" ca="1" si="31"/>
        <v>0</v>
      </c>
      <c r="K587" s="19" t="str">
        <f>[1]!s_info_Nature(B587)</f>
        <v>中央国有企业</v>
      </c>
      <c r="L587" s="19" t="str">
        <f>[1]!b_info_windl1type(B587)</f>
        <v>金融债</v>
      </c>
      <c r="M587" s="13">
        <f>[1]!b_info_couponrate(B587)</f>
        <v>3.05</v>
      </c>
      <c r="N587" s="14" t="str">
        <f>[1]!B_Info_ListedDate(B587)</f>
        <v>2016-08-29</v>
      </c>
      <c r="O587" s="14" t="str">
        <f>[1]!b_issue_firstissue(B587)</f>
        <v>2016-08-23</v>
      </c>
      <c r="P587" s="4">
        <f t="shared" ca="1" si="32"/>
        <v>42989</v>
      </c>
    </row>
    <row r="588" spans="2:16">
      <c r="B588" s="7">
        <v>160213</v>
      </c>
      <c r="C588" s="7">
        <v>4.3449999999999998</v>
      </c>
      <c r="D588" s="18" t="str">
        <f>[1]!b_info_name(B588)</f>
        <v>16国开13</v>
      </c>
      <c r="E588" s="19">
        <f>[1]!b_info_latestissurercreditrating(B588)</f>
        <v>0</v>
      </c>
      <c r="F588" s="20">
        <f ca="1">[1]!b_anal_day(B588,$A$5)/365</f>
        <v>8.9616438356164387</v>
      </c>
      <c r="G588" s="21">
        <f ca="1">[1]!b_anal_yield_cnbd(B588,$A$5)</f>
        <v>0</v>
      </c>
      <c r="H588" s="21">
        <f t="shared" ca="1" si="30"/>
        <v>434.5</v>
      </c>
      <c r="I588" s="21">
        <f ca="1">[1]!b_anal_yield_cnbd(B588,$A$7)</f>
        <v>0</v>
      </c>
      <c r="J588" s="21">
        <f t="shared" ca="1" si="31"/>
        <v>0</v>
      </c>
      <c r="K588" s="19" t="str">
        <f>[1]!s_info_Nature(B588)</f>
        <v>中央国有企业</v>
      </c>
      <c r="L588" s="19" t="str">
        <f>[1]!b_info_windl1type(B588)</f>
        <v>金融债</v>
      </c>
      <c r="M588" s="13">
        <f>[1]!b_info_couponrate(B588)</f>
        <v>3.05</v>
      </c>
      <c r="N588" s="14" t="str">
        <f>[1]!B_Info_ListedDate(B588)</f>
        <v>2016-08-29</v>
      </c>
      <c r="O588" s="14" t="str">
        <f>[1]!b_issue_firstissue(B588)</f>
        <v>2016-08-23</v>
      </c>
      <c r="P588" s="4">
        <f t="shared" ca="1" si="32"/>
        <v>42989</v>
      </c>
    </row>
    <row r="589" spans="2:16">
      <c r="B589" s="7">
        <v>160213</v>
      </c>
      <c r="C589" s="7">
        <v>4.3449999999999998</v>
      </c>
      <c r="D589" s="18" t="str">
        <f>[1]!b_info_name(B589)</f>
        <v>16国开13</v>
      </c>
      <c r="E589" s="19">
        <f>[1]!b_info_latestissurercreditrating(B589)</f>
        <v>0</v>
      </c>
      <c r="F589" s="20">
        <f ca="1">[1]!b_anal_day(B589,$A$5)/365</f>
        <v>8.9616438356164387</v>
      </c>
      <c r="G589" s="21">
        <f ca="1">[1]!b_anal_yield_cnbd(B589,$A$5)</f>
        <v>0</v>
      </c>
      <c r="H589" s="21">
        <f t="shared" ca="1" si="30"/>
        <v>434.5</v>
      </c>
      <c r="I589" s="21">
        <f ca="1">[1]!b_anal_yield_cnbd(B589,$A$7)</f>
        <v>0</v>
      </c>
      <c r="J589" s="21">
        <f t="shared" ca="1" si="31"/>
        <v>0</v>
      </c>
      <c r="K589" s="19" t="str">
        <f>[1]!s_info_Nature(B589)</f>
        <v>中央国有企业</v>
      </c>
      <c r="L589" s="19" t="str">
        <f>[1]!b_info_windl1type(B589)</f>
        <v>金融债</v>
      </c>
      <c r="M589" s="13">
        <f>[1]!b_info_couponrate(B589)</f>
        <v>3.05</v>
      </c>
      <c r="N589" s="14" t="str">
        <f>[1]!B_Info_ListedDate(B589)</f>
        <v>2016-08-29</v>
      </c>
      <c r="O589" s="14" t="str">
        <f>[1]!b_issue_firstissue(B589)</f>
        <v>2016-08-23</v>
      </c>
      <c r="P589" s="4">
        <f t="shared" ca="1" si="32"/>
        <v>42989</v>
      </c>
    </row>
    <row r="590" spans="2:16">
      <c r="B590" s="7">
        <v>160213</v>
      </c>
      <c r="C590" s="7">
        <v>4.3449999999999998</v>
      </c>
      <c r="D590" s="18" t="str">
        <f>[1]!b_info_name(B590)</f>
        <v>16国开13</v>
      </c>
      <c r="E590" s="19">
        <f>[1]!b_info_latestissurercreditrating(B590)</f>
        <v>0</v>
      </c>
      <c r="F590" s="20">
        <f ca="1">[1]!b_anal_day(B590,$A$5)/365</f>
        <v>8.9616438356164387</v>
      </c>
      <c r="G590" s="21">
        <f ca="1">[1]!b_anal_yield_cnbd(B590,$A$5)</f>
        <v>0</v>
      </c>
      <c r="H590" s="21">
        <f t="shared" ca="1" si="30"/>
        <v>434.5</v>
      </c>
      <c r="I590" s="21">
        <f ca="1">[1]!b_anal_yield_cnbd(B590,$A$7)</f>
        <v>0</v>
      </c>
      <c r="J590" s="21">
        <f t="shared" ca="1" si="31"/>
        <v>0</v>
      </c>
      <c r="K590" s="19" t="str">
        <f>[1]!s_info_Nature(B590)</f>
        <v>中央国有企业</v>
      </c>
      <c r="L590" s="19" t="str">
        <f>[1]!b_info_windl1type(B590)</f>
        <v>金融债</v>
      </c>
      <c r="M590" s="13">
        <f>[1]!b_info_couponrate(B590)</f>
        <v>3.05</v>
      </c>
      <c r="N590" s="14" t="str">
        <f>[1]!B_Info_ListedDate(B590)</f>
        <v>2016-08-29</v>
      </c>
      <c r="O590" s="14" t="str">
        <f>[1]!b_issue_firstissue(B590)</f>
        <v>2016-08-23</v>
      </c>
      <c r="P590" s="4">
        <f t="shared" ca="1" si="32"/>
        <v>42989</v>
      </c>
    </row>
    <row r="591" spans="2:16">
      <c r="B591" s="7">
        <v>160213</v>
      </c>
      <c r="C591" s="7">
        <v>4.3449999999999998</v>
      </c>
      <c r="D591" s="18" t="str">
        <f>[1]!b_info_name(B591)</f>
        <v>16国开13</v>
      </c>
      <c r="E591" s="19">
        <f>[1]!b_info_latestissurercreditrating(B591)</f>
        <v>0</v>
      </c>
      <c r="F591" s="20">
        <f ca="1">[1]!b_anal_day(B591,$A$5)/365</f>
        <v>8.9616438356164387</v>
      </c>
      <c r="G591" s="21">
        <f ca="1">[1]!b_anal_yield_cnbd(B591,$A$5)</f>
        <v>0</v>
      </c>
      <c r="H591" s="21">
        <f t="shared" ca="1" si="30"/>
        <v>434.5</v>
      </c>
      <c r="I591" s="21">
        <f ca="1">[1]!b_anal_yield_cnbd(B591,$A$7)</f>
        <v>0</v>
      </c>
      <c r="J591" s="21">
        <f t="shared" ca="1" si="31"/>
        <v>0</v>
      </c>
      <c r="K591" s="19" t="str">
        <f>[1]!s_info_Nature(B591)</f>
        <v>中央国有企业</v>
      </c>
      <c r="L591" s="19" t="str">
        <f>[1]!b_info_windl1type(B591)</f>
        <v>金融债</v>
      </c>
      <c r="M591" s="13">
        <f>[1]!b_info_couponrate(B591)</f>
        <v>3.05</v>
      </c>
      <c r="N591" s="14" t="str">
        <f>[1]!B_Info_ListedDate(B591)</f>
        <v>2016-08-29</v>
      </c>
      <c r="O591" s="14" t="str">
        <f>[1]!b_issue_firstissue(B591)</f>
        <v>2016-08-23</v>
      </c>
      <c r="P591" s="4">
        <f t="shared" ca="1" si="32"/>
        <v>42989</v>
      </c>
    </row>
    <row r="592" spans="2:16">
      <c r="B592" s="7">
        <v>11698382</v>
      </c>
      <c r="C592" s="7">
        <v>4.34</v>
      </c>
      <c r="D592" s="18" t="str">
        <f>[1]!b_info_name(B592)</f>
        <v>16杭金投SCP003</v>
      </c>
      <c r="E592" s="19" t="str">
        <f>[1]!b_info_latestissurercreditrating(B592)</f>
        <v>AAA</v>
      </c>
      <c r="F592" s="20">
        <f ca="1">[1]!b_anal_day(B592,$A$5)/365</f>
        <v>0</v>
      </c>
      <c r="G592" s="21">
        <f ca="1">[1]!b_anal_yield_cnbd(B592,$A$5)</f>
        <v>0</v>
      </c>
      <c r="H592" s="21">
        <f t="shared" ca="1" si="30"/>
        <v>434</v>
      </c>
      <c r="I592" s="21">
        <f ca="1">[1]!b_anal_yield_cnbd(B592,$A$7)</f>
        <v>0</v>
      </c>
      <c r="J592" s="21">
        <f t="shared" ca="1" si="31"/>
        <v>0</v>
      </c>
      <c r="K592" s="19" t="str">
        <f>[1]!s_info_Nature(B592)</f>
        <v>地方国有企业</v>
      </c>
      <c r="L592" s="19" t="str">
        <f>[1]!b_info_windl1type(B592)</f>
        <v>短期融资券</v>
      </c>
      <c r="M592" s="13">
        <f>[1]!b_info_couponrate(B592)</f>
        <v>2.99</v>
      </c>
      <c r="N592" s="14" t="str">
        <f>[1]!B_Info_ListedDate(B592)</f>
        <v>2016-08-31</v>
      </c>
      <c r="O592" s="14" t="str">
        <f>[1]!b_issue_firstissue(B592)</f>
        <v>2016-08-29</v>
      </c>
      <c r="P592" s="4">
        <f t="shared" ca="1" si="32"/>
        <v>42989</v>
      </c>
    </row>
    <row r="593" spans="2:16">
      <c r="B593" s="7">
        <v>1382111</v>
      </c>
      <c r="C593" s="7">
        <v>4.33</v>
      </c>
      <c r="D593" s="18" t="str">
        <f>[1]!b_info_name(B593)</f>
        <v>13国网MTN1</v>
      </c>
      <c r="E593" s="19" t="str">
        <f>[1]!b_info_latestissurercreditrating(B593)</f>
        <v>AAA</v>
      </c>
      <c r="F593" s="20">
        <f ca="1">[1]!b_anal_day(B593,$A$5)/365</f>
        <v>0.52602739726027392</v>
      </c>
      <c r="G593" s="21">
        <f ca="1">[1]!b_anal_yield_cnbd(B593,$A$5)</f>
        <v>0</v>
      </c>
      <c r="H593" s="21">
        <f t="shared" ca="1" si="30"/>
        <v>433</v>
      </c>
      <c r="I593" s="21">
        <f ca="1">[1]!b_anal_yield_cnbd(B593,$A$7)</f>
        <v>0</v>
      </c>
      <c r="J593" s="21">
        <f t="shared" ca="1" si="31"/>
        <v>0</v>
      </c>
      <c r="K593" s="19" t="str">
        <f>[1]!s_info_Nature(B593)</f>
        <v>中央国有企业</v>
      </c>
      <c r="L593" s="19" t="str">
        <f>[1]!b_info_windl1type(B593)</f>
        <v>中期票据</v>
      </c>
      <c r="M593" s="13">
        <f>[1]!b_info_couponrate(B593)</f>
        <v>4.6500000000000004</v>
      </c>
      <c r="N593" s="14" t="str">
        <f>[1]!B_Info_ListedDate(B593)</f>
        <v>2013-03-22</v>
      </c>
      <c r="O593" s="14" t="str">
        <f>[1]!b_issue_firstissue(B593)</f>
        <v>2013-03-20</v>
      </c>
      <c r="P593" s="4">
        <f t="shared" ca="1" si="32"/>
        <v>42989</v>
      </c>
    </row>
    <row r="594" spans="2:16">
      <c r="B594" s="7">
        <v>160206</v>
      </c>
      <c r="C594" s="7">
        <v>4.33</v>
      </c>
      <c r="D594" s="18" t="str">
        <f>[1]!b_info_name(B594)</f>
        <v>16国开06</v>
      </c>
      <c r="E594" s="19">
        <f>[1]!b_info_latestissurercreditrating(B594)</f>
        <v>0</v>
      </c>
      <c r="F594" s="20">
        <f ca="1">[1]!b_anal_day(B594,$A$5)/365</f>
        <v>3.4438356164383563</v>
      </c>
      <c r="G594" s="21">
        <f ca="1">[1]!b_anal_yield_cnbd(B594,$A$5)</f>
        <v>0</v>
      </c>
      <c r="H594" s="21">
        <f t="shared" ca="1" si="30"/>
        <v>433</v>
      </c>
      <c r="I594" s="21">
        <f ca="1">[1]!b_anal_yield_cnbd(B594,$A$7)</f>
        <v>0</v>
      </c>
      <c r="J594" s="21">
        <f t="shared" ca="1" si="31"/>
        <v>0</v>
      </c>
      <c r="K594" s="19" t="str">
        <f>[1]!s_info_Nature(B594)</f>
        <v>中央国有企业</v>
      </c>
      <c r="L594" s="19" t="str">
        <f>[1]!b_info_windl1type(B594)</f>
        <v>金融债</v>
      </c>
      <c r="M594" s="13">
        <f>[1]!b_info_couponrate(B594)</f>
        <v>2.96</v>
      </c>
      <c r="N594" s="14" t="str">
        <f>[1]!B_Info_ListedDate(B594)</f>
        <v>2016-02-22</v>
      </c>
      <c r="O594" s="14" t="str">
        <f>[1]!b_issue_firstissue(B594)</f>
        <v>2016-02-16</v>
      </c>
      <c r="P594" s="4">
        <f t="shared" ca="1" si="32"/>
        <v>42989</v>
      </c>
    </row>
    <row r="595" spans="2:16">
      <c r="B595" s="7">
        <v>160206</v>
      </c>
      <c r="C595" s="7">
        <v>4.32</v>
      </c>
      <c r="D595" s="18" t="str">
        <f>[1]!b_info_name(B595)</f>
        <v>16国开06</v>
      </c>
      <c r="E595" s="19">
        <f>[1]!b_info_latestissurercreditrating(B595)</f>
        <v>0</v>
      </c>
      <c r="F595" s="20">
        <f ca="1">[1]!b_anal_day(B595,$A$5)/365</f>
        <v>3.4438356164383563</v>
      </c>
      <c r="G595" s="21">
        <f ca="1">[1]!b_anal_yield_cnbd(B595,$A$5)</f>
        <v>0</v>
      </c>
      <c r="H595" s="21">
        <f t="shared" ca="1" si="30"/>
        <v>432</v>
      </c>
      <c r="I595" s="21">
        <f ca="1">[1]!b_anal_yield_cnbd(B595,$A$7)</f>
        <v>0</v>
      </c>
      <c r="J595" s="21">
        <f t="shared" ca="1" si="31"/>
        <v>0</v>
      </c>
      <c r="K595" s="19" t="str">
        <f>[1]!s_info_Nature(B595)</f>
        <v>中央国有企业</v>
      </c>
      <c r="L595" s="19" t="str">
        <f>[1]!b_info_windl1type(B595)</f>
        <v>金融债</v>
      </c>
      <c r="M595" s="13">
        <f>[1]!b_info_couponrate(B595)</f>
        <v>2.96</v>
      </c>
      <c r="N595" s="14" t="str">
        <f>[1]!B_Info_ListedDate(B595)</f>
        <v>2016-02-22</v>
      </c>
      <c r="O595" s="14" t="str">
        <f>[1]!b_issue_firstissue(B595)</f>
        <v>2016-02-16</v>
      </c>
      <c r="P595" s="4">
        <f t="shared" ca="1" si="32"/>
        <v>42989</v>
      </c>
    </row>
    <row r="596" spans="2:16">
      <c r="B596" s="7">
        <v>1382111</v>
      </c>
      <c r="C596" s="7">
        <v>4.32</v>
      </c>
      <c r="D596" s="18" t="str">
        <f>[1]!b_info_name(B596)</f>
        <v>13国网MTN1</v>
      </c>
      <c r="E596" s="19" t="str">
        <f>[1]!b_info_latestissurercreditrating(B596)</f>
        <v>AAA</v>
      </c>
      <c r="F596" s="20">
        <f ca="1">[1]!b_anal_day(B596,$A$5)/365</f>
        <v>0.52602739726027392</v>
      </c>
      <c r="G596" s="21">
        <f ca="1">[1]!b_anal_yield_cnbd(B596,$A$5)</f>
        <v>0</v>
      </c>
      <c r="H596" s="21">
        <f t="shared" ca="1" si="30"/>
        <v>432</v>
      </c>
      <c r="I596" s="21">
        <f ca="1">[1]!b_anal_yield_cnbd(B596,$A$7)</f>
        <v>0</v>
      </c>
      <c r="J596" s="21">
        <f t="shared" ca="1" si="31"/>
        <v>0</v>
      </c>
      <c r="K596" s="19" t="str">
        <f>[1]!s_info_Nature(B596)</f>
        <v>中央国有企业</v>
      </c>
      <c r="L596" s="19" t="str">
        <f>[1]!b_info_windl1type(B596)</f>
        <v>中期票据</v>
      </c>
      <c r="M596" s="13">
        <f>[1]!b_info_couponrate(B596)</f>
        <v>4.6500000000000004</v>
      </c>
      <c r="N596" s="14" t="str">
        <f>[1]!B_Info_ListedDate(B596)</f>
        <v>2013-03-22</v>
      </c>
      <c r="O596" s="14" t="str">
        <f>[1]!b_issue_firstissue(B596)</f>
        <v>2013-03-20</v>
      </c>
      <c r="P596" s="4">
        <f t="shared" ca="1" si="32"/>
        <v>42989</v>
      </c>
    </row>
    <row r="597" spans="2:16">
      <c r="B597" s="7">
        <v>1382111</v>
      </c>
      <c r="C597" s="7">
        <v>4.32</v>
      </c>
      <c r="D597" s="18" t="str">
        <f>[1]!b_info_name(B597)</f>
        <v>13国网MTN1</v>
      </c>
      <c r="E597" s="19" t="str">
        <f>[1]!b_info_latestissurercreditrating(B597)</f>
        <v>AAA</v>
      </c>
      <c r="F597" s="20">
        <f ca="1">[1]!b_anal_day(B597,$A$5)/365</f>
        <v>0.52602739726027392</v>
      </c>
      <c r="G597" s="21">
        <f ca="1">[1]!b_anal_yield_cnbd(B597,$A$5)</f>
        <v>0</v>
      </c>
      <c r="H597" s="21">
        <f t="shared" ca="1" si="30"/>
        <v>432</v>
      </c>
      <c r="I597" s="21">
        <f ca="1">[1]!b_anal_yield_cnbd(B597,$A$7)</f>
        <v>0</v>
      </c>
      <c r="J597" s="21">
        <f t="shared" ca="1" si="31"/>
        <v>0</v>
      </c>
      <c r="K597" s="19" t="str">
        <f>[1]!s_info_Nature(B597)</f>
        <v>中央国有企业</v>
      </c>
      <c r="L597" s="19" t="str">
        <f>[1]!b_info_windl1type(B597)</f>
        <v>中期票据</v>
      </c>
      <c r="M597" s="13">
        <f>[1]!b_info_couponrate(B597)</f>
        <v>4.6500000000000004</v>
      </c>
      <c r="N597" s="14" t="str">
        <f>[1]!B_Info_ListedDate(B597)</f>
        <v>2013-03-22</v>
      </c>
      <c r="O597" s="14" t="str">
        <f>[1]!b_issue_firstissue(B597)</f>
        <v>2013-03-20</v>
      </c>
      <c r="P597" s="4">
        <f t="shared" ca="1" si="32"/>
        <v>42989</v>
      </c>
    </row>
    <row r="598" spans="2:16">
      <c r="B598" s="7">
        <v>160206</v>
      </c>
      <c r="C598" s="7">
        <v>4.32</v>
      </c>
      <c r="D598" s="18" t="str">
        <f>[1]!b_info_name(B598)</f>
        <v>16国开06</v>
      </c>
      <c r="E598" s="19">
        <f>[1]!b_info_latestissurercreditrating(B598)</f>
        <v>0</v>
      </c>
      <c r="F598" s="20">
        <f ca="1">[1]!b_anal_day(B598,$A$5)/365</f>
        <v>3.4438356164383563</v>
      </c>
      <c r="G598" s="21">
        <f ca="1">[1]!b_anal_yield_cnbd(B598,$A$5)</f>
        <v>0</v>
      </c>
      <c r="H598" s="21">
        <f t="shared" ca="1" si="30"/>
        <v>432</v>
      </c>
      <c r="I598" s="21">
        <f ca="1">[1]!b_anal_yield_cnbd(B598,$A$7)</f>
        <v>0</v>
      </c>
      <c r="J598" s="21">
        <f t="shared" ca="1" si="31"/>
        <v>0</v>
      </c>
      <c r="K598" s="19" t="str">
        <f>[1]!s_info_Nature(B598)</f>
        <v>中央国有企业</v>
      </c>
      <c r="L598" s="19" t="str">
        <f>[1]!b_info_windl1type(B598)</f>
        <v>金融债</v>
      </c>
      <c r="M598" s="13">
        <f>[1]!b_info_couponrate(B598)</f>
        <v>2.96</v>
      </c>
      <c r="N598" s="14" t="str">
        <f>[1]!B_Info_ListedDate(B598)</f>
        <v>2016-02-22</v>
      </c>
      <c r="O598" s="14" t="str">
        <f>[1]!b_issue_firstissue(B598)</f>
        <v>2016-02-16</v>
      </c>
      <c r="P598" s="4">
        <f t="shared" ca="1" si="32"/>
        <v>42989</v>
      </c>
    </row>
    <row r="599" spans="2:16">
      <c r="B599" s="7">
        <v>150220</v>
      </c>
      <c r="C599" s="7">
        <v>4.3099999999999996</v>
      </c>
      <c r="D599" s="18" t="str">
        <f>[1]!b_info_name(B599)</f>
        <v>15国开20</v>
      </c>
      <c r="E599" s="19">
        <f>[1]!b_info_latestissurercreditrating(B599)</f>
        <v>0</v>
      </c>
      <c r="F599" s="20">
        <f ca="1">[1]!b_anal_day(B599,$A$5)/365</f>
        <v>3.0410958904109591</v>
      </c>
      <c r="G599" s="21">
        <f ca="1">[1]!b_anal_yield_cnbd(B599,$A$5)</f>
        <v>0</v>
      </c>
      <c r="H599" s="21">
        <f t="shared" ca="1" si="30"/>
        <v>430.99999999999994</v>
      </c>
      <c r="I599" s="21">
        <f ca="1">[1]!b_anal_yield_cnbd(B599,$A$7)</f>
        <v>0</v>
      </c>
      <c r="J599" s="21">
        <f t="shared" ca="1" si="31"/>
        <v>0</v>
      </c>
      <c r="K599" s="19" t="str">
        <f>[1]!s_info_Nature(B599)</f>
        <v>中央国有企业</v>
      </c>
      <c r="L599" s="19" t="str">
        <f>[1]!b_info_windl1type(B599)</f>
        <v>金融债</v>
      </c>
      <c r="M599" s="13">
        <f>[1]!b_info_couponrate(B599)</f>
        <v>3.46</v>
      </c>
      <c r="N599" s="14" t="str">
        <f>[1]!B_Info_ListedDate(B599)</f>
        <v>2015-09-28</v>
      </c>
      <c r="O599" s="14" t="str">
        <f>[1]!b_issue_firstissue(B599)</f>
        <v>2015-09-22</v>
      </c>
      <c r="P599" s="4">
        <f t="shared" ca="1" si="32"/>
        <v>42989</v>
      </c>
    </row>
    <row r="600" spans="2:16">
      <c r="B600" s="7">
        <v>1382111</v>
      </c>
      <c r="C600" s="7">
        <v>4.3099999999999996</v>
      </c>
      <c r="D600" s="18" t="str">
        <f>[1]!b_info_name(B600)</f>
        <v>13国网MTN1</v>
      </c>
      <c r="E600" s="19" t="str">
        <f>[1]!b_info_latestissurercreditrating(B600)</f>
        <v>AAA</v>
      </c>
      <c r="F600" s="20">
        <f ca="1">[1]!b_anal_day(B600,$A$5)/365</f>
        <v>0.52602739726027392</v>
      </c>
      <c r="G600" s="21">
        <f ca="1">[1]!b_anal_yield_cnbd(B600,$A$5)</f>
        <v>0</v>
      </c>
      <c r="H600" s="21">
        <f t="shared" ca="1" si="30"/>
        <v>430.99999999999994</v>
      </c>
      <c r="I600" s="21">
        <f ca="1">[1]!b_anal_yield_cnbd(B600,$A$7)</f>
        <v>0</v>
      </c>
      <c r="J600" s="21">
        <f t="shared" ca="1" si="31"/>
        <v>0</v>
      </c>
      <c r="K600" s="19" t="str">
        <f>[1]!s_info_Nature(B600)</f>
        <v>中央国有企业</v>
      </c>
      <c r="L600" s="19" t="str">
        <f>[1]!b_info_windl1type(B600)</f>
        <v>中期票据</v>
      </c>
      <c r="M600" s="13">
        <f>[1]!b_info_couponrate(B600)</f>
        <v>4.6500000000000004</v>
      </c>
      <c r="N600" s="14" t="str">
        <f>[1]!B_Info_ListedDate(B600)</f>
        <v>2013-03-22</v>
      </c>
      <c r="O600" s="14" t="str">
        <f>[1]!b_issue_firstissue(B600)</f>
        <v>2013-03-20</v>
      </c>
      <c r="P600" s="4">
        <f t="shared" ca="1" si="32"/>
        <v>42989</v>
      </c>
    </row>
    <row r="601" spans="2:16">
      <c r="B601" s="7">
        <v>150220</v>
      </c>
      <c r="C601" s="7">
        <v>4.3099999999999996</v>
      </c>
      <c r="D601" s="18" t="str">
        <f>[1]!b_info_name(B601)</f>
        <v>15国开20</v>
      </c>
      <c r="E601" s="19">
        <f>[1]!b_info_latestissurercreditrating(B601)</f>
        <v>0</v>
      </c>
      <c r="F601" s="20">
        <f ca="1">[1]!b_anal_day(B601,$A$5)/365</f>
        <v>3.0410958904109591</v>
      </c>
      <c r="G601" s="21">
        <f ca="1">[1]!b_anal_yield_cnbd(B601,$A$5)</f>
        <v>0</v>
      </c>
      <c r="H601" s="21">
        <f t="shared" ca="1" si="30"/>
        <v>430.99999999999994</v>
      </c>
      <c r="I601" s="21">
        <f ca="1">[1]!b_anal_yield_cnbd(B601,$A$7)</f>
        <v>0</v>
      </c>
      <c r="J601" s="21">
        <f t="shared" ca="1" si="31"/>
        <v>0</v>
      </c>
      <c r="K601" s="19" t="str">
        <f>[1]!s_info_Nature(B601)</f>
        <v>中央国有企业</v>
      </c>
      <c r="L601" s="19" t="str">
        <f>[1]!b_info_windl1type(B601)</f>
        <v>金融债</v>
      </c>
      <c r="M601" s="13">
        <f>[1]!b_info_couponrate(B601)</f>
        <v>3.46</v>
      </c>
      <c r="N601" s="14" t="str">
        <f>[1]!B_Info_ListedDate(B601)</f>
        <v>2015-09-28</v>
      </c>
      <c r="O601" s="14" t="str">
        <f>[1]!b_issue_firstissue(B601)</f>
        <v>2015-09-22</v>
      </c>
      <c r="P601" s="4">
        <f t="shared" ca="1" si="32"/>
        <v>42989</v>
      </c>
    </row>
    <row r="602" spans="2:16">
      <c r="B602" s="7">
        <v>170206</v>
      </c>
      <c r="C602" s="7">
        <v>4.3</v>
      </c>
      <c r="D602" s="18" t="str">
        <f>[1]!b_info_name(B602)</f>
        <v>17国开06</v>
      </c>
      <c r="E602" s="19">
        <f>[1]!b_info_latestissurercreditrating(B602)</f>
        <v>0</v>
      </c>
      <c r="F602" s="20">
        <f ca="1">[1]!b_anal_day(B602,$A$5)/365</f>
        <v>4.602739726027397</v>
      </c>
      <c r="G602" s="21">
        <f ca="1">[1]!b_anal_yield_cnbd(B602,$A$5)</f>
        <v>0</v>
      </c>
      <c r="H602" s="21">
        <f t="shared" ca="1" si="30"/>
        <v>430</v>
      </c>
      <c r="I602" s="21">
        <f ca="1">[1]!b_anal_yield_cnbd(B602,$A$7)</f>
        <v>0</v>
      </c>
      <c r="J602" s="21">
        <f t="shared" ca="1" si="31"/>
        <v>0</v>
      </c>
      <c r="K602" s="19" t="str">
        <f>[1]!s_info_Nature(B602)</f>
        <v>中央国有企业</v>
      </c>
      <c r="L602" s="19" t="str">
        <f>[1]!b_info_windl1type(B602)</f>
        <v>金融债</v>
      </c>
      <c r="M602" s="13">
        <f>[1]!b_info_couponrate(B602)</f>
        <v>4.0199999999999996</v>
      </c>
      <c r="N602" s="14" t="str">
        <f>[1]!B_Info_ListedDate(B602)</f>
        <v>2017-04-19</v>
      </c>
      <c r="O602" s="14" t="str">
        <f>[1]!b_issue_firstissue(B602)</f>
        <v>2017-04-13</v>
      </c>
      <c r="P602" s="4">
        <f t="shared" ca="1" si="32"/>
        <v>42989</v>
      </c>
    </row>
    <row r="603" spans="2:16">
      <c r="B603" s="7">
        <v>71721002</v>
      </c>
      <c r="C603" s="7">
        <v>4.3</v>
      </c>
      <c r="D603" s="18" t="str">
        <f>[1]!b_info_name(B603)</f>
        <v>17渤海证券CP002</v>
      </c>
      <c r="E603" s="19" t="str">
        <f>[1]!b_info_latestissurercreditrating(B603)</f>
        <v>AAA</v>
      </c>
      <c r="F603" s="20">
        <f ca="1">[1]!b_anal_day(B603,$A$5)/365</f>
        <v>0</v>
      </c>
      <c r="G603" s="21">
        <f ca="1">[1]!b_anal_yield_cnbd(B603,$A$5)</f>
        <v>0</v>
      </c>
      <c r="H603" s="21">
        <f t="shared" ca="1" si="30"/>
        <v>430</v>
      </c>
      <c r="I603" s="21">
        <f ca="1">[1]!b_anal_yield_cnbd(B603,$A$7)</f>
        <v>0</v>
      </c>
      <c r="J603" s="21">
        <f t="shared" ca="1" si="31"/>
        <v>0</v>
      </c>
      <c r="K603" s="19" t="str">
        <f>[1]!s_info_Nature(B603)</f>
        <v>地方国有企业</v>
      </c>
      <c r="L603" s="19" t="str">
        <f>[1]!b_info_windl1type(B603)</f>
        <v>金融债</v>
      </c>
      <c r="M603" s="13">
        <f>[1]!b_info_couponrate(B603)</f>
        <v>4.45</v>
      </c>
      <c r="N603" s="14" t="str">
        <f>[1]!B_Info_ListedDate(B603)</f>
        <v>2017-02-20</v>
      </c>
      <c r="O603" s="14" t="str">
        <f>[1]!b_issue_firstissue(B603)</f>
        <v>2017-02-16</v>
      </c>
      <c r="P603" s="4">
        <f t="shared" ca="1" si="32"/>
        <v>42989</v>
      </c>
    </row>
    <row r="604" spans="2:16">
      <c r="B604" s="7">
        <v>11698605</v>
      </c>
      <c r="C604" s="7">
        <v>4.3</v>
      </c>
      <c r="D604" s="18" t="str">
        <f>[1]!b_info_name(B604)</f>
        <v>16中粮SCP007</v>
      </c>
      <c r="E604" s="19" t="str">
        <f>[1]!b_info_latestissurercreditrating(B604)</f>
        <v>AAA</v>
      </c>
      <c r="F604" s="20">
        <f ca="1">[1]!b_anal_day(B604,$A$5)/365</f>
        <v>0</v>
      </c>
      <c r="G604" s="21">
        <f ca="1">[1]!b_anal_yield_cnbd(B604,$A$5)</f>
        <v>0</v>
      </c>
      <c r="H604" s="21">
        <f t="shared" ca="1" si="30"/>
        <v>430</v>
      </c>
      <c r="I604" s="21">
        <f ca="1">[1]!b_anal_yield_cnbd(B604,$A$7)</f>
        <v>0</v>
      </c>
      <c r="J604" s="21">
        <f t="shared" ca="1" si="31"/>
        <v>0</v>
      </c>
      <c r="K604" s="19" t="str">
        <f>[1]!s_info_Nature(B604)</f>
        <v>中央国有企业</v>
      </c>
      <c r="L604" s="19" t="str">
        <f>[1]!b_info_windl1type(B604)</f>
        <v>短期融资券</v>
      </c>
      <c r="M604" s="13">
        <f>[1]!b_info_couponrate(B604)</f>
        <v>2.69</v>
      </c>
      <c r="N604" s="14" t="str">
        <f>[1]!B_Info_ListedDate(B604)</f>
        <v>2016-10-20</v>
      </c>
      <c r="O604" s="14" t="str">
        <f>[1]!b_issue_firstissue(B604)</f>
        <v>2016-10-17</v>
      </c>
      <c r="P604" s="4">
        <f t="shared" ca="1" si="32"/>
        <v>42989</v>
      </c>
    </row>
    <row r="605" spans="2:16">
      <c r="B605" s="7">
        <v>111794968</v>
      </c>
      <c r="C605" s="7">
        <v>4.3</v>
      </c>
      <c r="D605" s="18" t="str">
        <f>[1]!b_info_name(B605)</f>
        <v>17天津银行CD048</v>
      </c>
      <c r="E605" s="19" t="str">
        <f>[1]!b_info_latestissurercreditrating(B605)</f>
        <v>AAA</v>
      </c>
      <c r="F605" s="20">
        <f ca="1">[1]!b_anal_day(B605,$A$5)/365</f>
        <v>0</v>
      </c>
      <c r="G605" s="21">
        <f ca="1">[1]!b_anal_yield_cnbd(B605,$A$5)</f>
        <v>0</v>
      </c>
      <c r="H605" s="21">
        <f t="shared" ca="1" si="30"/>
        <v>430</v>
      </c>
      <c r="I605" s="21">
        <f ca="1">[1]!b_anal_yield_cnbd(B605,$A$7)</f>
        <v>0</v>
      </c>
      <c r="J605" s="21">
        <f t="shared" ca="1" si="31"/>
        <v>0</v>
      </c>
      <c r="K605" s="19" t="str">
        <f>[1]!s_info_Nature(B605)</f>
        <v>公众企业</v>
      </c>
      <c r="L605" s="19" t="str">
        <f>[1]!b_info_windl1type(B605)</f>
        <v>同业存单</v>
      </c>
      <c r="M605" s="13">
        <f>[1]!b_info_couponrate(B605)</f>
        <v>4.5999999999999996</v>
      </c>
      <c r="N605" s="14" t="str">
        <f>[1]!B_Info_ListedDate(B605)</f>
        <v>2017-03-31</v>
      </c>
      <c r="O605" s="14" t="str">
        <f>[1]!b_issue_firstissue(B605)</f>
        <v>2017-03-30</v>
      </c>
      <c r="P605" s="4">
        <f t="shared" ca="1" si="32"/>
        <v>42989</v>
      </c>
    </row>
    <row r="606" spans="2:16">
      <c r="B606" s="7">
        <v>170206</v>
      </c>
      <c r="C606" s="7">
        <v>4.3</v>
      </c>
      <c r="D606" s="18" t="str">
        <f>[1]!b_info_name(B606)</f>
        <v>17国开06</v>
      </c>
      <c r="E606" s="19">
        <f>[1]!b_info_latestissurercreditrating(B606)</f>
        <v>0</v>
      </c>
      <c r="F606" s="20">
        <f ca="1">[1]!b_anal_day(B606,$A$5)/365</f>
        <v>4.602739726027397</v>
      </c>
      <c r="G606" s="21">
        <f ca="1">[1]!b_anal_yield_cnbd(B606,$A$5)</f>
        <v>0</v>
      </c>
      <c r="H606" s="21">
        <f t="shared" ca="1" si="30"/>
        <v>430</v>
      </c>
      <c r="I606" s="21">
        <f ca="1">[1]!b_anal_yield_cnbd(B606,$A$7)</f>
        <v>0</v>
      </c>
      <c r="J606" s="21">
        <f t="shared" ca="1" si="31"/>
        <v>0</v>
      </c>
      <c r="K606" s="19" t="str">
        <f>[1]!s_info_Nature(B606)</f>
        <v>中央国有企业</v>
      </c>
      <c r="L606" s="19" t="str">
        <f>[1]!b_info_windl1type(B606)</f>
        <v>金融债</v>
      </c>
      <c r="M606" s="13">
        <f>[1]!b_info_couponrate(B606)</f>
        <v>4.0199999999999996</v>
      </c>
      <c r="N606" s="14" t="str">
        <f>[1]!B_Info_ListedDate(B606)</f>
        <v>2017-04-19</v>
      </c>
      <c r="O606" s="14" t="str">
        <f>[1]!b_issue_firstissue(B606)</f>
        <v>2017-04-13</v>
      </c>
      <c r="P606" s="4">
        <f t="shared" ca="1" si="32"/>
        <v>42989</v>
      </c>
    </row>
    <row r="607" spans="2:16">
      <c r="B607" s="7">
        <v>170206</v>
      </c>
      <c r="C607" s="7">
        <v>4.3</v>
      </c>
      <c r="D607" s="18" t="str">
        <f>[1]!b_info_name(B607)</f>
        <v>17国开06</v>
      </c>
      <c r="E607" s="19">
        <f>[1]!b_info_latestissurercreditrating(B607)</f>
        <v>0</v>
      </c>
      <c r="F607" s="20">
        <f ca="1">[1]!b_anal_day(B607,$A$5)/365</f>
        <v>4.602739726027397</v>
      </c>
      <c r="G607" s="21">
        <f ca="1">[1]!b_anal_yield_cnbd(B607,$A$5)</f>
        <v>0</v>
      </c>
      <c r="H607" s="21">
        <f t="shared" ca="1" si="30"/>
        <v>430</v>
      </c>
      <c r="I607" s="21">
        <f ca="1">[1]!b_anal_yield_cnbd(B607,$A$7)</f>
        <v>0</v>
      </c>
      <c r="J607" s="21">
        <f t="shared" ca="1" si="31"/>
        <v>0</v>
      </c>
      <c r="K607" s="19" t="str">
        <f>[1]!s_info_Nature(B607)</f>
        <v>中央国有企业</v>
      </c>
      <c r="L607" s="19" t="str">
        <f>[1]!b_info_windl1type(B607)</f>
        <v>金融债</v>
      </c>
      <c r="M607" s="13">
        <f>[1]!b_info_couponrate(B607)</f>
        <v>4.0199999999999996</v>
      </c>
      <c r="N607" s="14" t="str">
        <f>[1]!B_Info_ListedDate(B607)</f>
        <v>2017-04-19</v>
      </c>
      <c r="O607" s="14" t="str">
        <f>[1]!b_issue_firstissue(B607)</f>
        <v>2017-04-13</v>
      </c>
      <c r="P607" s="4">
        <f t="shared" ca="1" si="32"/>
        <v>42989</v>
      </c>
    </row>
    <row r="608" spans="2:16">
      <c r="B608" s="7">
        <v>170206</v>
      </c>
      <c r="C608" s="7">
        <v>4.3</v>
      </c>
      <c r="D608" s="18" t="str">
        <f>[1]!b_info_name(B608)</f>
        <v>17国开06</v>
      </c>
      <c r="E608" s="19">
        <f>[1]!b_info_latestissurercreditrating(B608)</f>
        <v>0</v>
      </c>
      <c r="F608" s="20">
        <f ca="1">[1]!b_anal_day(B608,$A$5)/365</f>
        <v>4.602739726027397</v>
      </c>
      <c r="G608" s="21">
        <f ca="1">[1]!b_anal_yield_cnbd(B608,$A$5)</f>
        <v>0</v>
      </c>
      <c r="H608" s="21">
        <f t="shared" ca="1" si="30"/>
        <v>430</v>
      </c>
      <c r="I608" s="21">
        <f ca="1">[1]!b_anal_yield_cnbd(B608,$A$7)</f>
        <v>0</v>
      </c>
      <c r="J608" s="21">
        <f t="shared" ca="1" si="31"/>
        <v>0</v>
      </c>
      <c r="K608" s="19" t="str">
        <f>[1]!s_info_Nature(B608)</f>
        <v>中央国有企业</v>
      </c>
      <c r="L608" s="19" t="str">
        <f>[1]!b_info_windl1type(B608)</f>
        <v>金融债</v>
      </c>
      <c r="M608" s="13">
        <f>[1]!b_info_couponrate(B608)</f>
        <v>4.0199999999999996</v>
      </c>
      <c r="N608" s="14" t="str">
        <f>[1]!B_Info_ListedDate(B608)</f>
        <v>2017-04-19</v>
      </c>
      <c r="O608" s="14" t="str">
        <f>[1]!b_issue_firstissue(B608)</f>
        <v>2017-04-13</v>
      </c>
      <c r="P608" s="4">
        <f t="shared" ca="1" si="32"/>
        <v>42989</v>
      </c>
    </row>
    <row r="609" spans="2:16">
      <c r="B609" s="7">
        <v>170206</v>
      </c>
      <c r="C609" s="7">
        <v>4.3</v>
      </c>
      <c r="D609" s="18" t="str">
        <f>[1]!b_info_name(B609)</f>
        <v>17国开06</v>
      </c>
      <c r="E609" s="19">
        <f>[1]!b_info_latestissurercreditrating(B609)</f>
        <v>0</v>
      </c>
      <c r="F609" s="20">
        <f ca="1">[1]!b_anal_day(B609,$A$5)/365</f>
        <v>4.602739726027397</v>
      </c>
      <c r="G609" s="21">
        <f ca="1">[1]!b_anal_yield_cnbd(B609,$A$5)</f>
        <v>0</v>
      </c>
      <c r="H609" s="21">
        <f t="shared" ca="1" si="30"/>
        <v>430</v>
      </c>
      <c r="I609" s="21">
        <f ca="1">[1]!b_anal_yield_cnbd(B609,$A$7)</f>
        <v>0</v>
      </c>
      <c r="J609" s="21">
        <f t="shared" ca="1" si="31"/>
        <v>0</v>
      </c>
      <c r="K609" s="19" t="str">
        <f>[1]!s_info_Nature(B609)</f>
        <v>中央国有企业</v>
      </c>
      <c r="L609" s="19" t="str">
        <f>[1]!b_info_windl1type(B609)</f>
        <v>金融债</v>
      </c>
      <c r="M609" s="13">
        <f>[1]!b_info_couponrate(B609)</f>
        <v>4.0199999999999996</v>
      </c>
      <c r="N609" s="14" t="str">
        <f>[1]!B_Info_ListedDate(B609)</f>
        <v>2017-04-19</v>
      </c>
      <c r="O609" s="14" t="str">
        <f>[1]!b_issue_firstissue(B609)</f>
        <v>2017-04-13</v>
      </c>
      <c r="P609" s="4">
        <f t="shared" ca="1" si="32"/>
        <v>42989</v>
      </c>
    </row>
    <row r="610" spans="2:16">
      <c r="B610" s="7">
        <v>170206</v>
      </c>
      <c r="C610" s="7">
        <v>4.3</v>
      </c>
      <c r="D610" s="18" t="str">
        <f>[1]!b_info_name(B610)</f>
        <v>17国开06</v>
      </c>
      <c r="E610" s="19">
        <f>[1]!b_info_latestissurercreditrating(B610)</f>
        <v>0</v>
      </c>
      <c r="F610" s="20">
        <f ca="1">[1]!b_anal_day(B610,$A$5)/365</f>
        <v>4.602739726027397</v>
      </c>
      <c r="G610" s="21">
        <f ca="1">[1]!b_anal_yield_cnbd(B610,$A$5)</f>
        <v>0</v>
      </c>
      <c r="H610" s="21">
        <f t="shared" ca="1" si="30"/>
        <v>430</v>
      </c>
      <c r="I610" s="21">
        <f ca="1">[1]!b_anal_yield_cnbd(B610,$A$7)</f>
        <v>0</v>
      </c>
      <c r="J610" s="21">
        <f t="shared" ca="1" si="31"/>
        <v>0</v>
      </c>
      <c r="K610" s="19" t="str">
        <f>[1]!s_info_Nature(B610)</f>
        <v>中央国有企业</v>
      </c>
      <c r="L610" s="19" t="str">
        <f>[1]!b_info_windl1type(B610)</f>
        <v>金融债</v>
      </c>
      <c r="M610" s="13">
        <f>[1]!b_info_couponrate(B610)</f>
        <v>4.0199999999999996</v>
      </c>
      <c r="N610" s="14" t="str">
        <f>[1]!B_Info_ListedDate(B610)</f>
        <v>2017-04-19</v>
      </c>
      <c r="O610" s="14" t="str">
        <f>[1]!b_issue_firstissue(B610)</f>
        <v>2017-04-13</v>
      </c>
      <c r="P610" s="4">
        <f t="shared" ca="1" si="32"/>
        <v>42989</v>
      </c>
    </row>
    <row r="611" spans="2:16">
      <c r="B611" s="7">
        <v>11698413</v>
      </c>
      <c r="C611" s="7">
        <v>4.3</v>
      </c>
      <c r="D611" s="18" t="str">
        <f>[1]!b_info_name(B611)</f>
        <v>16太钢SCP001</v>
      </c>
      <c r="E611" s="19" t="str">
        <f>[1]!b_info_latestissurercreditrating(B611)</f>
        <v>AAA</v>
      </c>
      <c r="F611" s="20">
        <f ca="1">[1]!b_anal_day(B611,$A$5)/365</f>
        <v>0</v>
      </c>
      <c r="G611" s="21">
        <f ca="1">[1]!b_anal_yield_cnbd(B611,$A$5)</f>
        <v>0</v>
      </c>
      <c r="H611" s="21">
        <f t="shared" ca="1" si="30"/>
        <v>430</v>
      </c>
      <c r="I611" s="21">
        <f ca="1">[1]!b_anal_yield_cnbd(B611,$A$7)</f>
        <v>0</v>
      </c>
      <c r="J611" s="21">
        <f t="shared" ca="1" si="31"/>
        <v>0</v>
      </c>
      <c r="K611" s="19" t="str">
        <f>[1]!s_info_Nature(B611)</f>
        <v>地方国有企业</v>
      </c>
      <c r="L611" s="19" t="str">
        <f>[1]!b_info_windl1type(B611)</f>
        <v>短期融资券</v>
      </c>
      <c r="M611" s="13">
        <f>[1]!b_info_couponrate(B611)</f>
        <v>3.44</v>
      </c>
      <c r="N611" s="14" t="str">
        <f>[1]!B_Info_ListedDate(B611)</f>
        <v>2016-09-06</v>
      </c>
      <c r="O611" s="14" t="str">
        <f>[1]!b_issue_firstissue(B611)</f>
        <v>2016-09-01</v>
      </c>
      <c r="P611" s="4">
        <f t="shared" ca="1" si="32"/>
        <v>42989</v>
      </c>
    </row>
    <row r="612" spans="2:16">
      <c r="B612" s="7">
        <v>1282428</v>
      </c>
      <c r="C612" s="7">
        <v>4.3</v>
      </c>
      <c r="D612" s="18" t="str">
        <f>[1]!b_info_name(B612)</f>
        <v>12南车集MTN2</v>
      </c>
      <c r="E612" s="19" t="str">
        <f>[1]!b_info_latestissurercreditrating(B612)</f>
        <v>AAA</v>
      </c>
      <c r="F612" s="20">
        <f ca="1">[1]!b_anal_day(B612,$A$5)/365</f>
        <v>0.12602739726027398</v>
      </c>
      <c r="G612" s="21">
        <f ca="1">[1]!b_anal_yield_cnbd(B612,$A$5)</f>
        <v>0</v>
      </c>
      <c r="H612" s="21">
        <f t="shared" ref="H612:H675" ca="1" si="33">(IF(C612&lt;0.1,C612*100,C612)-G612)*100</f>
        <v>430</v>
      </c>
      <c r="I612" s="21">
        <f ca="1">[1]!b_anal_yield_cnbd(B612,$A$7)</f>
        <v>0</v>
      </c>
      <c r="J612" s="21">
        <f t="shared" ref="J612:J675" ca="1" si="34">(G612-I612)*100</f>
        <v>0</v>
      </c>
      <c r="K612" s="19" t="str">
        <f>[1]!s_info_Nature(B612)</f>
        <v>中央国有企业</v>
      </c>
      <c r="L612" s="19" t="str">
        <f>[1]!b_info_windl1type(B612)</f>
        <v>中期票据</v>
      </c>
      <c r="M612" s="13">
        <f>[1]!b_info_couponrate(B612)</f>
        <v>4.93</v>
      </c>
      <c r="N612" s="14" t="str">
        <f>[1]!B_Info_ListedDate(B612)</f>
        <v>2012-10-29</v>
      </c>
      <c r="O612" s="14" t="str">
        <f>[1]!b_issue_firstissue(B612)</f>
        <v>2012-10-25</v>
      </c>
      <c r="P612" s="4">
        <f t="shared" ref="P612:P675" ca="1" si="35">$A$2</f>
        <v>42989</v>
      </c>
    </row>
    <row r="613" spans="2:16">
      <c r="B613" s="7">
        <v>170206</v>
      </c>
      <c r="C613" s="7">
        <v>4.29</v>
      </c>
      <c r="D613" s="18" t="str">
        <f>[1]!b_info_name(B613)</f>
        <v>17国开06</v>
      </c>
      <c r="E613" s="19">
        <f>[1]!b_info_latestissurercreditrating(B613)</f>
        <v>0</v>
      </c>
      <c r="F613" s="20">
        <f ca="1">[1]!b_anal_day(B613,$A$5)/365</f>
        <v>4.602739726027397</v>
      </c>
      <c r="G613" s="21">
        <f ca="1">[1]!b_anal_yield_cnbd(B613,$A$5)</f>
        <v>0</v>
      </c>
      <c r="H613" s="21">
        <f t="shared" ca="1" si="33"/>
        <v>429</v>
      </c>
      <c r="I613" s="21">
        <f ca="1">[1]!b_anal_yield_cnbd(B613,$A$7)</f>
        <v>0</v>
      </c>
      <c r="J613" s="21">
        <f t="shared" ca="1" si="34"/>
        <v>0</v>
      </c>
      <c r="K613" s="19" t="str">
        <f>[1]!s_info_Nature(B613)</f>
        <v>中央国有企业</v>
      </c>
      <c r="L613" s="19" t="str">
        <f>[1]!b_info_windl1type(B613)</f>
        <v>金融债</v>
      </c>
      <c r="M613" s="13">
        <f>[1]!b_info_couponrate(B613)</f>
        <v>4.0199999999999996</v>
      </c>
      <c r="N613" s="14" t="str">
        <f>[1]!B_Info_ListedDate(B613)</f>
        <v>2017-04-19</v>
      </c>
      <c r="O613" s="14" t="str">
        <f>[1]!b_issue_firstissue(B613)</f>
        <v>2017-04-13</v>
      </c>
      <c r="P613" s="4">
        <f t="shared" ca="1" si="35"/>
        <v>42989</v>
      </c>
    </row>
    <row r="614" spans="2:16">
      <c r="B614" s="7" t="s">
        <v>834</v>
      </c>
      <c r="C614" s="7">
        <v>4.29</v>
      </c>
      <c r="D614" s="18" t="str">
        <f>[1]!b_info_name(B614)</f>
        <v>08华能G1</v>
      </c>
      <c r="E614" s="19" t="str">
        <f>[1]!b_info_latestissurercreditrating(B614)</f>
        <v>AAA</v>
      </c>
      <c r="F614" s="20">
        <f ca="1">[1]!b_anal_day(B614,$A$5)/365</f>
        <v>0.65753424657534243</v>
      </c>
      <c r="G614" s="21">
        <f ca="1">[1]!b_anal_yield_cnbd(B614,$A$5)</f>
        <v>0</v>
      </c>
      <c r="H614" s="21">
        <f t="shared" ca="1" si="33"/>
        <v>429</v>
      </c>
      <c r="I614" s="21">
        <f ca="1">[1]!b_anal_yield_cnbd(B614,$A$7)</f>
        <v>0</v>
      </c>
      <c r="J614" s="21">
        <f t="shared" ca="1" si="34"/>
        <v>0</v>
      </c>
      <c r="K614" s="19" t="str">
        <f>[1]!s_info_Nature(B614)</f>
        <v>中央国有企业</v>
      </c>
      <c r="L614" s="19" t="str">
        <f>[1]!b_info_windl1type(B614)</f>
        <v>公司债</v>
      </c>
      <c r="M614" s="13">
        <f>[1]!b_info_couponrate(B614)</f>
        <v>5.2</v>
      </c>
      <c r="N614" s="14" t="str">
        <f>[1]!B_Info_ListedDate(B614)</f>
        <v>2008-05-21</v>
      </c>
      <c r="O614" s="14" t="str">
        <f>[1]!b_issue_firstissue(B614)</f>
        <v>2008-05-08</v>
      </c>
      <c r="P614" s="4">
        <f t="shared" ca="1" si="35"/>
        <v>42989</v>
      </c>
    </row>
    <row r="615" spans="2:16">
      <c r="B615" s="7" t="s">
        <v>834</v>
      </c>
      <c r="C615" s="7">
        <v>4.29</v>
      </c>
      <c r="D615" s="18" t="str">
        <f>[1]!b_info_name(B615)</f>
        <v>08华能G1</v>
      </c>
      <c r="E615" s="19" t="str">
        <f>[1]!b_info_latestissurercreditrating(B615)</f>
        <v>AAA</v>
      </c>
      <c r="F615" s="20">
        <f ca="1">[1]!b_anal_day(B615,$A$5)/365</f>
        <v>0.65753424657534243</v>
      </c>
      <c r="G615" s="21">
        <f ca="1">[1]!b_anal_yield_cnbd(B615,$A$5)</f>
        <v>0</v>
      </c>
      <c r="H615" s="21">
        <f t="shared" ca="1" si="33"/>
        <v>429</v>
      </c>
      <c r="I615" s="21">
        <f ca="1">[1]!b_anal_yield_cnbd(B615,$A$7)</f>
        <v>0</v>
      </c>
      <c r="J615" s="21">
        <f t="shared" ca="1" si="34"/>
        <v>0</v>
      </c>
      <c r="K615" s="19" t="str">
        <f>[1]!s_info_Nature(B615)</f>
        <v>中央国有企业</v>
      </c>
      <c r="L615" s="19" t="str">
        <f>[1]!b_info_windl1type(B615)</f>
        <v>公司债</v>
      </c>
      <c r="M615" s="13">
        <f>[1]!b_info_couponrate(B615)</f>
        <v>5.2</v>
      </c>
      <c r="N615" s="14" t="str">
        <f>[1]!B_Info_ListedDate(B615)</f>
        <v>2008-05-21</v>
      </c>
      <c r="O615" s="14" t="str">
        <f>[1]!b_issue_firstissue(B615)</f>
        <v>2008-05-08</v>
      </c>
      <c r="P615" s="4">
        <f t="shared" ca="1" si="35"/>
        <v>42989</v>
      </c>
    </row>
    <row r="616" spans="2:16">
      <c r="B616" s="7">
        <v>111718094</v>
      </c>
      <c r="C616" s="7">
        <v>4.28</v>
      </c>
      <c r="D616" s="18" t="str">
        <f>[1]!b_info_name(B616)</f>
        <v>17华夏银行CD094</v>
      </c>
      <c r="E616" s="19" t="str">
        <f>[1]!b_info_latestissurercreditrating(B616)</f>
        <v>AAA</v>
      </c>
      <c r="F616" s="20">
        <f ca="1">[1]!b_anal_day(B616,$A$5)/365</f>
        <v>0</v>
      </c>
      <c r="G616" s="21">
        <f ca="1">[1]!b_anal_yield_cnbd(B616,$A$5)</f>
        <v>0</v>
      </c>
      <c r="H616" s="21">
        <f t="shared" ca="1" si="33"/>
        <v>428</v>
      </c>
      <c r="I616" s="21">
        <f ca="1">[1]!b_anal_yield_cnbd(B616,$A$7)</f>
        <v>0</v>
      </c>
      <c r="J616" s="21">
        <f t="shared" ca="1" si="34"/>
        <v>0</v>
      </c>
      <c r="K616" s="19" t="str">
        <f>[1]!s_info_Nature(B616)</f>
        <v>公众企业</v>
      </c>
      <c r="L616" s="19" t="str">
        <f>[1]!b_info_windl1type(B616)</f>
        <v>同业存单</v>
      </c>
      <c r="M616" s="13">
        <f>[1]!b_info_couponrate(B616)</f>
        <v>4.6501000000000001</v>
      </c>
      <c r="N616" s="14" t="str">
        <f>[1]!B_Info_ListedDate(B616)</f>
        <v>2017-03-24</v>
      </c>
      <c r="O616" s="14" t="str">
        <f>[1]!b_issue_firstissue(B616)</f>
        <v>2017-03-23</v>
      </c>
      <c r="P616" s="4">
        <f t="shared" ca="1" si="35"/>
        <v>42989</v>
      </c>
    </row>
    <row r="617" spans="2:16">
      <c r="B617" s="7">
        <v>111619193</v>
      </c>
      <c r="C617" s="7">
        <v>4.28</v>
      </c>
      <c r="D617" s="18" t="str">
        <f>[1]!b_info_name(B617)</f>
        <v>16恒丰银行CD193</v>
      </c>
      <c r="E617" s="19" t="str">
        <f>[1]!b_info_latestissurercreditrating(B617)</f>
        <v>AAA</v>
      </c>
      <c r="F617" s="20">
        <f ca="1">[1]!b_anal_day(B617,$A$5)/365</f>
        <v>0</v>
      </c>
      <c r="G617" s="21">
        <f ca="1">[1]!b_anal_yield_cnbd(B617,$A$5)</f>
        <v>0</v>
      </c>
      <c r="H617" s="21">
        <f t="shared" ca="1" si="33"/>
        <v>428</v>
      </c>
      <c r="I617" s="21">
        <f ca="1">[1]!b_anal_yield_cnbd(B617,$A$7)</f>
        <v>0</v>
      </c>
      <c r="J617" s="21">
        <f t="shared" ca="1" si="34"/>
        <v>0</v>
      </c>
      <c r="K617" s="19" t="str">
        <f>[1]!s_info_Nature(B617)</f>
        <v>地方国有企业</v>
      </c>
      <c r="L617" s="19" t="str">
        <f>[1]!b_info_windl1type(B617)</f>
        <v>同业存单</v>
      </c>
      <c r="M617" s="13">
        <f>[1]!b_info_couponrate(B617)</f>
        <v>3.45</v>
      </c>
      <c r="N617" s="14" t="str">
        <f>[1]!B_Info_ListedDate(B617)</f>
        <v>2016-11-21</v>
      </c>
      <c r="O617" s="14" t="str">
        <f>[1]!b_issue_firstissue(B617)</f>
        <v>2016-11-18</v>
      </c>
      <c r="P617" s="4">
        <f t="shared" ca="1" si="35"/>
        <v>42989</v>
      </c>
    </row>
    <row r="618" spans="2:16">
      <c r="B618" s="7">
        <v>1382060</v>
      </c>
      <c r="C618" s="7">
        <v>4.28</v>
      </c>
      <c r="D618" s="18" t="str">
        <f>[1]!b_info_name(B618)</f>
        <v>13中石油MTN1</v>
      </c>
      <c r="E618" s="19" t="str">
        <f>[1]!b_info_latestissurercreditrating(B618)</f>
        <v>AAA</v>
      </c>
      <c r="F618" s="20">
        <f ca="1">[1]!b_anal_day(B618,$A$5)/365</f>
        <v>0.45205479452054792</v>
      </c>
      <c r="G618" s="21">
        <f ca="1">[1]!b_anal_yield_cnbd(B618,$A$5)</f>
        <v>0</v>
      </c>
      <c r="H618" s="21">
        <f t="shared" ca="1" si="33"/>
        <v>428</v>
      </c>
      <c r="I618" s="21">
        <f ca="1">[1]!b_anal_yield_cnbd(B618,$A$7)</f>
        <v>0</v>
      </c>
      <c r="J618" s="21">
        <f t="shared" ca="1" si="34"/>
        <v>0</v>
      </c>
      <c r="K618" s="19" t="str">
        <f>[1]!s_info_Nature(B618)</f>
        <v>中央国有企业</v>
      </c>
      <c r="L618" s="19" t="str">
        <f>[1]!b_info_windl1type(B618)</f>
        <v>中期票据</v>
      </c>
      <c r="M618" s="13">
        <f>[1]!b_info_couponrate(B618)</f>
        <v>4.47</v>
      </c>
      <c r="N618" s="14" t="str">
        <f>[1]!B_Info_ListedDate(B618)</f>
        <v>2013-02-25</v>
      </c>
      <c r="O618" s="14" t="str">
        <f>[1]!b_issue_firstissue(B618)</f>
        <v>2013-02-21</v>
      </c>
      <c r="P618" s="4">
        <f t="shared" ca="1" si="35"/>
        <v>42989</v>
      </c>
    </row>
    <row r="619" spans="2:16">
      <c r="B619" s="7">
        <v>170210</v>
      </c>
      <c r="C619" s="7">
        <v>4.2699999999999996</v>
      </c>
      <c r="D619" s="18" t="str">
        <f>[1]!b_info_name(B619)</f>
        <v>17国开10</v>
      </c>
      <c r="E619" s="19">
        <f>[1]!b_info_latestissurercreditrating(B619)</f>
        <v>0</v>
      </c>
      <c r="F619" s="20">
        <f ca="1">[1]!b_anal_day(B619,$A$5)/365</f>
        <v>9.5863013698630137</v>
      </c>
      <c r="G619" s="21">
        <f ca="1">[1]!b_anal_yield_cnbd(B619,$A$5)</f>
        <v>0</v>
      </c>
      <c r="H619" s="21">
        <f t="shared" ca="1" si="33"/>
        <v>426.99999999999994</v>
      </c>
      <c r="I619" s="21">
        <f ca="1">[1]!b_anal_yield_cnbd(B619,$A$7)</f>
        <v>0</v>
      </c>
      <c r="J619" s="21">
        <f t="shared" ca="1" si="34"/>
        <v>0</v>
      </c>
      <c r="K619" s="19" t="str">
        <f>[1]!s_info_Nature(B619)</f>
        <v>中央国有企业</v>
      </c>
      <c r="L619" s="19" t="str">
        <f>[1]!b_info_windl1type(B619)</f>
        <v>金融债</v>
      </c>
      <c r="M619" s="13">
        <f>[1]!b_info_couponrate(B619)</f>
        <v>4.04</v>
      </c>
      <c r="N619" s="14" t="str">
        <f>[1]!B_Info_ListedDate(B619)</f>
        <v>2017-04-12</v>
      </c>
      <c r="O619" s="14" t="str">
        <f>[1]!b_issue_firstissue(B619)</f>
        <v>2017-04-06</v>
      </c>
      <c r="P619" s="4">
        <f t="shared" ca="1" si="35"/>
        <v>42989</v>
      </c>
    </row>
    <row r="620" spans="2:16">
      <c r="B620" s="7">
        <v>170210</v>
      </c>
      <c r="C620" s="7">
        <v>4.2699999999999996</v>
      </c>
      <c r="D620" s="18" t="str">
        <f>[1]!b_info_name(B620)</f>
        <v>17国开10</v>
      </c>
      <c r="E620" s="19">
        <f>[1]!b_info_latestissurercreditrating(B620)</f>
        <v>0</v>
      </c>
      <c r="F620" s="20">
        <f ca="1">[1]!b_anal_day(B620,$A$5)/365</f>
        <v>9.5863013698630137</v>
      </c>
      <c r="G620" s="21">
        <f ca="1">[1]!b_anal_yield_cnbd(B620,$A$5)</f>
        <v>0</v>
      </c>
      <c r="H620" s="21">
        <f t="shared" ca="1" si="33"/>
        <v>426.99999999999994</v>
      </c>
      <c r="I620" s="21">
        <f ca="1">[1]!b_anal_yield_cnbd(B620,$A$7)</f>
        <v>0</v>
      </c>
      <c r="J620" s="21">
        <f t="shared" ca="1" si="34"/>
        <v>0</v>
      </c>
      <c r="K620" s="19" t="str">
        <f>[1]!s_info_Nature(B620)</f>
        <v>中央国有企业</v>
      </c>
      <c r="L620" s="19" t="str">
        <f>[1]!b_info_windl1type(B620)</f>
        <v>金融债</v>
      </c>
      <c r="M620" s="13">
        <f>[1]!b_info_couponrate(B620)</f>
        <v>4.04</v>
      </c>
      <c r="N620" s="14" t="str">
        <f>[1]!B_Info_ListedDate(B620)</f>
        <v>2017-04-12</v>
      </c>
      <c r="O620" s="14" t="str">
        <f>[1]!b_issue_firstissue(B620)</f>
        <v>2017-04-06</v>
      </c>
      <c r="P620" s="4">
        <f t="shared" ca="1" si="35"/>
        <v>42989</v>
      </c>
    </row>
    <row r="621" spans="2:16">
      <c r="B621" s="7">
        <v>170210</v>
      </c>
      <c r="C621" s="7">
        <v>4.2699999999999996</v>
      </c>
      <c r="D621" s="18" t="str">
        <f>[1]!b_info_name(B621)</f>
        <v>17国开10</v>
      </c>
      <c r="E621" s="19">
        <f>[1]!b_info_latestissurercreditrating(B621)</f>
        <v>0</v>
      </c>
      <c r="F621" s="20">
        <f ca="1">[1]!b_anal_day(B621,$A$5)/365</f>
        <v>9.5863013698630137</v>
      </c>
      <c r="G621" s="21">
        <f ca="1">[1]!b_anal_yield_cnbd(B621,$A$5)</f>
        <v>0</v>
      </c>
      <c r="H621" s="21">
        <f t="shared" ca="1" si="33"/>
        <v>426.99999999999994</v>
      </c>
      <c r="I621" s="21">
        <f ca="1">[1]!b_anal_yield_cnbd(B621,$A$7)</f>
        <v>0</v>
      </c>
      <c r="J621" s="21">
        <f t="shared" ca="1" si="34"/>
        <v>0</v>
      </c>
      <c r="K621" s="19" t="str">
        <f>[1]!s_info_Nature(B621)</f>
        <v>中央国有企业</v>
      </c>
      <c r="L621" s="19" t="str">
        <f>[1]!b_info_windl1type(B621)</f>
        <v>金融债</v>
      </c>
      <c r="M621" s="13">
        <f>[1]!b_info_couponrate(B621)</f>
        <v>4.04</v>
      </c>
      <c r="N621" s="14" t="str">
        <f>[1]!B_Info_ListedDate(B621)</f>
        <v>2017-04-12</v>
      </c>
      <c r="O621" s="14" t="str">
        <f>[1]!b_issue_firstissue(B621)</f>
        <v>2017-04-06</v>
      </c>
      <c r="P621" s="4">
        <f t="shared" ca="1" si="35"/>
        <v>42989</v>
      </c>
    </row>
    <row r="622" spans="2:16">
      <c r="B622" s="7">
        <v>170210</v>
      </c>
      <c r="C622" s="7">
        <v>4.2699999999999996</v>
      </c>
      <c r="D622" s="18" t="str">
        <f>[1]!b_info_name(B622)</f>
        <v>17国开10</v>
      </c>
      <c r="E622" s="19">
        <f>[1]!b_info_latestissurercreditrating(B622)</f>
        <v>0</v>
      </c>
      <c r="F622" s="20">
        <f ca="1">[1]!b_anal_day(B622,$A$5)/365</f>
        <v>9.5863013698630137</v>
      </c>
      <c r="G622" s="21">
        <f ca="1">[1]!b_anal_yield_cnbd(B622,$A$5)</f>
        <v>0</v>
      </c>
      <c r="H622" s="21">
        <f t="shared" ca="1" si="33"/>
        <v>426.99999999999994</v>
      </c>
      <c r="I622" s="21">
        <f ca="1">[1]!b_anal_yield_cnbd(B622,$A$7)</f>
        <v>0</v>
      </c>
      <c r="J622" s="21">
        <f t="shared" ca="1" si="34"/>
        <v>0</v>
      </c>
      <c r="K622" s="19" t="str">
        <f>[1]!s_info_Nature(B622)</f>
        <v>中央国有企业</v>
      </c>
      <c r="L622" s="19" t="str">
        <f>[1]!b_info_windl1type(B622)</f>
        <v>金融债</v>
      </c>
      <c r="M622" s="13">
        <f>[1]!b_info_couponrate(B622)</f>
        <v>4.04</v>
      </c>
      <c r="N622" s="14" t="str">
        <f>[1]!B_Info_ListedDate(B622)</f>
        <v>2017-04-12</v>
      </c>
      <c r="O622" s="14" t="str">
        <f>[1]!b_issue_firstissue(B622)</f>
        <v>2017-04-06</v>
      </c>
      <c r="P622" s="4">
        <f t="shared" ca="1" si="35"/>
        <v>42989</v>
      </c>
    </row>
    <row r="623" spans="2:16">
      <c r="B623" s="7">
        <v>170210</v>
      </c>
      <c r="C623" s="7">
        <v>4.2699999999999996</v>
      </c>
      <c r="D623" s="18" t="str">
        <f>[1]!b_info_name(B623)</f>
        <v>17国开10</v>
      </c>
      <c r="E623" s="19">
        <f>[1]!b_info_latestissurercreditrating(B623)</f>
        <v>0</v>
      </c>
      <c r="F623" s="20">
        <f ca="1">[1]!b_anal_day(B623,$A$5)/365</f>
        <v>9.5863013698630137</v>
      </c>
      <c r="G623" s="21">
        <f ca="1">[1]!b_anal_yield_cnbd(B623,$A$5)</f>
        <v>0</v>
      </c>
      <c r="H623" s="21">
        <f t="shared" ca="1" si="33"/>
        <v>426.99999999999994</v>
      </c>
      <c r="I623" s="21">
        <f ca="1">[1]!b_anal_yield_cnbd(B623,$A$7)</f>
        <v>0</v>
      </c>
      <c r="J623" s="21">
        <f t="shared" ca="1" si="34"/>
        <v>0</v>
      </c>
      <c r="K623" s="19" t="str">
        <f>[1]!s_info_Nature(B623)</f>
        <v>中央国有企业</v>
      </c>
      <c r="L623" s="19" t="str">
        <f>[1]!b_info_windl1type(B623)</f>
        <v>金融债</v>
      </c>
      <c r="M623" s="13">
        <f>[1]!b_info_couponrate(B623)</f>
        <v>4.04</v>
      </c>
      <c r="N623" s="14" t="str">
        <f>[1]!B_Info_ListedDate(B623)</f>
        <v>2017-04-12</v>
      </c>
      <c r="O623" s="14" t="str">
        <f>[1]!b_issue_firstissue(B623)</f>
        <v>2017-04-06</v>
      </c>
      <c r="P623" s="4">
        <f t="shared" ca="1" si="35"/>
        <v>42989</v>
      </c>
    </row>
    <row r="624" spans="2:16">
      <c r="B624" s="7">
        <v>170210</v>
      </c>
      <c r="C624" s="7">
        <v>4.2699999999999996</v>
      </c>
      <c r="D624" s="18" t="str">
        <f>[1]!b_info_name(B624)</f>
        <v>17国开10</v>
      </c>
      <c r="E624" s="19">
        <f>[1]!b_info_latestissurercreditrating(B624)</f>
        <v>0</v>
      </c>
      <c r="F624" s="20">
        <f ca="1">[1]!b_anal_day(B624,$A$5)/365</f>
        <v>9.5863013698630137</v>
      </c>
      <c r="G624" s="21">
        <f ca="1">[1]!b_anal_yield_cnbd(B624,$A$5)</f>
        <v>0</v>
      </c>
      <c r="H624" s="21">
        <f t="shared" ca="1" si="33"/>
        <v>426.99999999999994</v>
      </c>
      <c r="I624" s="21">
        <f ca="1">[1]!b_anal_yield_cnbd(B624,$A$7)</f>
        <v>0</v>
      </c>
      <c r="J624" s="21">
        <f t="shared" ca="1" si="34"/>
        <v>0</v>
      </c>
      <c r="K624" s="19" t="str">
        <f>[1]!s_info_Nature(B624)</f>
        <v>中央国有企业</v>
      </c>
      <c r="L624" s="19" t="str">
        <f>[1]!b_info_windl1type(B624)</f>
        <v>金融债</v>
      </c>
      <c r="M624" s="13">
        <f>[1]!b_info_couponrate(B624)</f>
        <v>4.04</v>
      </c>
      <c r="N624" s="14" t="str">
        <f>[1]!B_Info_ListedDate(B624)</f>
        <v>2017-04-12</v>
      </c>
      <c r="O624" s="14" t="str">
        <f>[1]!b_issue_firstissue(B624)</f>
        <v>2017-04-06</v>
      </c>
      <c r="P624" s="4">
        <f t="shared" ca="1" si="35"/>
        <v>42989</v>
      </c>
    </row>
    <row r="625" spans="2:16">
      <c r="B625" s="7">
        <v>1382060</v>
      </c>
      <c r="C625" s="7">
        <v>4.2699999999999996</v>
      </c>
      <c r="D625" s="18" t="str">
        <f>[1]!b_info_name(B625)</f>
        <v>13中石油MTN1</v>
      </c>
      <c r="E625" s="19" t="str">
        <f>[1]!b_info_latestissurercreditrating(B625)</f>
        <v>AAA</v>
      </c>
      <c r="F625" s="20">
        <f ca="1">[1]!b_anal_day(B625,$A$5)/365</f>
        <v>0.45205479452054792</v>
      </c>
      <c r="G625" s="21">
        <f ca="1">[1]!b_anal_yield_cnbd(B625,$A$5)</f>
        <v>0</v>
      </c>
      <c r="H625" s="21">
        <f t="shared" ca="1" si="33"/>
        <v>426.99999999999994</v>
      </c>
      <c r="I625" s="21">
        <f ca="1">[1]!b_anal_yield_cnbd(B625,$A$7)</f>
        <v>0</v>
      </c>
      <c r="J625" s="21">
        <f t="shared" ca="1" si="34"/>
        <v>0</v>
      </c>
      <c r="K625" s="19" t="str">
        <f>[1]!s_info_Nature(B625)</f>
        <v>中央国有企业</v>
      </c>
      <c r="L625" s="19" t="str">
        <f>[1]!b_info_windl1type(B625)</f>
        <v>中期票据</v>
      </c>
      <c r="M625" s="13">
        <f>[1]!b_info_couponrate(B625)</f>
        <v>4.47</v>
      </c>
      <c r="N625" s="14" t="str">
        <f>[1]!B_Info_ListedDate(B625)</f>
        <v>2013-02-25</v>
      </c>
      <c r="O625" s="14" t="str">
        <f>[1]!b_issue_firstissue(B625)</f>
        <v>2013-02-21</v>
      </c>
      <c r="P625" s="4">
        <f t="shared" ca="1" si="35"/>
        <v>42989</v>
      </c>
    </row>
    <row r="626" spans="2:16">
      <c r="B626" s="7">
        <v>170210</v>
      </c>
      <c r="C626" s="7">
        <v>4.2675000000000001</v>
      </c>
      <c r="D626" s="18" t="str">
        <f>[1]!b_info_name(B626)</f>
        <v>17国开10</v>
      </c>
      <c r="E626" s="19">
        <f>[1]!b_info_latestissurercreditrating(B626)</f>
        <v>0</v>
      </c>
      <c r="F626" s="20">
        <f ca="1">[1]!b_anal_day(B626,$A$5)/365</f>
        <v>9.5863013698630137</v>
      </c>
      <c r="G626" s="21">
        <f ca="1">[1]!b_anal_yield_cnbd(B626,$A$5)</f>
        <v>0</v>
      </c>
      <c r="H626" s="21">
        <f t="shared" ca="1" si="33"/>
        <v>426.75</v>
      </c>
      <c r="I626" s="21">
        <f ca="1">[1]!b_anal_yield_cnbd(B626,$A$7)</f>
        <v>0</v>
      </c>
      <c r="J626" s="21">
        <f t="shared" ca="1" si="34"/>
        <v>0</v>
      </c>
      <c r="K626" s="19" t="str">
        <f>[1]!s_info_Nature(B626)</f>
        <v>中央国有企业</v>
      </c>
      <c r="L626" s="19" t="str">
        <f>[1]!b_info_windl1type(B626)</f>
        <v>金融债</v>
      </c>
      <c r="M626" s="13">
        <f>[1]!b_info_couponrate(B626)</f>
        <v>4.04</v>
      </c>
      <c r="N626" s="14" t="str">
        <f>[1]!B_Info_ListedDate(B626)</f>
        <v>2017-04-12</v>
      </c>
      <c r="O626" s="14" t="str">
        <f>[1]!b_issue_firstissue(B626)</f>
        <v>2017-04-06</v>
      </c>
      <c r="P626" s="4">
        <f t="shared" ca="1" si="35"/>
        <v>42989</v>
      </c>
    </row>
    <row r="627" spans="2:16">
      <c r="B627" s="7">
        <v>170210</v>
      </c>
      <c r="C627" s="7">
        <v>4.2670000000000003</v>
      </c>
      <c r="D627" s="18" t="str">
        <f>[1]!b_info_name(B627)</f>
        <v>17国开10</v>
      </c>
      <c r="E627" s="19">
        <f>[1]!b_info_latestissurercreditrating(B627)</f>
        <v>0</v>
      </c>
      <c r="F627" s="20">
        <f ca="1">[1]!b_anal_day(B627,$A$5)/365</f>
        <v>9.5863013698630137</v>
      </c>
      <c r="G627" s="21">
        <f ca="1">[1]!b_anal_yield_cnbd(B627,$A$5)</f>
        <v>0</v>
      </c>
      <c r="H627" s="21">
        <f t="shared" ca="1" si="33"/>
        <v>426.70000000000005</v>
      </c>
      <c r="I627" s="21">
        <f ca="1">[1]!b_anal_yield_cnbd(B627,$A$7)</f>
        <v>0</v>
      </c>
      <c r="J627" s="21">
        <f t="shared" ca="1" si="34"/>
        <v>0</v>
      </c>
      <c r="K627" s="19" t="str">
        <f>[1]!s_info_Nature(B627)</f>
        <v>中央国有企业</v>
      </c>
      <c r="L627" s="19" t="str">
        <f>[1]!b_info_windl1type(B627)</f>
        <v>金融债</v>
      </c>
      <c r="M627" s="13">
        <f>[1]!b_info_couponrate(B627)</f>
        <v>4.04</v>
      </c>
      <c r="N627" s="14" t="str">
        <f>[1]!B_Info_ListedDate(B627)</f>
        <v>2017-04-12</v>
      </c>
      <c r="O627" s="14" t="str">
        <f>[1]!b_issue_firstissue(B627)</f>
        <v>2017-04-06</v>
      </c>
      <c r="P627" s="4">
        <f t="shared" ca="1" si="35"/>
        <v>42989</v>
      </c>
    </row>
    <row r="628" spans="2:16">
      <c r="B628" s="7">
        <v>170210</v>
      </c>
      <c r="C628" s="7">
        <v>4.2649999999999997</v>
      </c>
      <c r="D628" s="18" t="str">
        <f>[1]!b_info_name(B628)</f>
        <v>17国开10</v>
      </c>
      <c r="E628" s="19">
        <f>[1]!b_info_latestissurercreditrating(B628)</f>
        <v>0</v>
      </c>
      <c r="F628" s="20">
        <f ca="1">[1]!b_anal_day(B628,$A$5)/365</f>
        <v>9.5863013698630137</v>
      </c>
      <c r="G628" s="21">
        <f ca="1">[1]!b_anal_yield_cnbd(B628,$A$5)</f>
        <v>0</v>
      </c>
      <c r="H628" s="21">
        <f t="shared" ca="1" si="33"/>
        <v>426.49999999999994</v>
      </c>
      <c r="I628" s="21">
        <f ca="1">[1]!b_anal_yield_cnbd(B628,$A$7)</f>
        <v>0</v>
      </c>
      <c r="J628" s="21">
        <f t="shared" ca="1" si="34"/>
        <v>0</v>
      </c>
      <c r="K628" s="19" t="str">
        <f>[1]!s_info_Nature(B628)</f>
        <v>中央国有企业</v>
      </c>
      <c r="L628" s="19" t="str">
        <f>[1]!b_info_windl1type(B628)</f>
        <v>金融债</v>
      </c>
      <c r="M628" s="13">
        <f>[1]!b_info_couponrate(B628)</f>
        <v>4.04</v>
      </c>
      <c r="N628" s="14" t="str">
        <f>[1]!B_Info_ListedDate(B628)</f>
        <v>2017-04-12</v>
      </c>
      <c r="O628" s="14" t="str">
        <f>[1]!b_issue_firstissue(B628)</f>
        <v>2017-04-06</v>
      </c>
      <c r="P628" s="4">
        <f t="shared" ca="1" si="35"/>
        <v>42989</v>
      </c>
    </row>
    <row r="629" spans="2:16">
      <c r="B629" s="7">
        <v>170210</v>
      </c>
      <c r="C629" s="7">
        <v>4.2649999999999997</v>
      </c>
      <c r="D629" s="18" t="str">
        <f>[1]!b_info_name(B629)</f>
        <v>17国开10</v>
      </c>
      <c r="E629" s="19">
        <f>[1]!b_info_latestissurercreditrating(B629)</f>
        <v>0</v>
      </c>
      <c r="F629" s="20">
        <f ca="1">[1]!b_anal_day(B629,$A$5)/365</f>
        <v>9.5863013698630137</v>
      </c>
      <c r="G629" s="21">
        <f ca="1">[1]!b_anal_yield_cnbd(B629,$A$5)</f>
        <v>0</v>
      </c>
      <c r="H629" s="21">
        <f t="shared" ca="1" si="33"/>
        <v>426.49999999999994</v>
      </c>
      <c r="I629" s="21">
        <f ca="1">[1]!b_anal_yield_cnbd(B629,$A$7)</f>
        <v>0</v>
      </c>
      <c r="J629" s="21">
        <f t="shared" ca="1" si="34"/>
        <v>0</v>
      </c>
      <c r="K629" s="19" t="str">
        <f>[1]!s_info_Nature(B629)</f>
        <v>中央国有企业</v>
      </c>
      <c r="L629" s="19" t="str">
        <f>[1]!b_info_windl1type(B629)</f>
        <v>金融债</v>
      </c>
      <c r="M629" s="13">
        <f>[1]!b_info_couponrate(B629)</f>
        <v>4.04</v>
      </c>
      <c r="N629" s="14" t="str">
        <f>[1]!B_Info_ListedDate(B629)</f>
        <v>2017-04-12</v>
      </c>
      <c r="O629" s="14" t="str">
        <f>[1]!b_issue_firstissue(B629)</f>
        <v>2017-04-06</v>
      </c>
      <c r="P629" s="4">
        <f t="shared" ca="1" si="35"/>
        <v>42989</v>
      </c>
    </row>
    <row r="630" spans="2:16">
      <c r="B630" s="7">
        <v>170210</v>
      </c>
      <c r="C630" s="7">
        <v>4.2649999999999997</v>
      </c>
      <c r="D630" s="18" t="str">
        <f>[1]!b_info_name(B630)</f>
        <v>17国开10</v>
      </c>
      <c r="E630" s="19">
        <f>[1]!b_info_latestissurercreditrating(B630)</f>
        <v>0</v>
      </c>
      <c r="F630" s="20">
        <f ca="1">[1]!b_anal_day(B630,$A$5)/365</f>
        <v>9.5863013698630137</v>
      </c>
      <c r="G630" s="21">
        <f ca="1">[1]!b_anal_yield_cnbd(B630,$A$5)</f>
        <v>0</v>
      </c>
      <c r="H630" s="21">
        <f t="shared" ca="1" si="33"/>
        <v>426.49999999999994</v>
      </c>
      <c r="I630" s="21">
        <f ca="1">[1]!b_anal_yield_cnbd(B630,$A$7)</f>
        <v>0</v>
      </c>
      <c r="J630" s="21">
        <f t="shared" ca="1" si="34"/>
        <v>0</v>
      </c>
      <c r="K630" s="19" t="str">
        <f>[1]!s_info_Nature(B630)</f>
        <v>中央国有企业</v>
      </c>
      <c r="L630" s="19" t="str">
        <f>[1]!b_info_windl1type(B630)</f>
        <v>金融债</v>
      </c>
      <c r="M630" s="13">
        <f>[1]!b_info_couponrate(B630)</f>
        <v>4.04</v>
      </c>
      <c r="N630" s="14" t="str">
        <f>[1]!B_Info_ListedDate(B630)</f>
        <v>2017-04-12</v>
      </c>
      <c r="O630" s="14" t="str">
        <f>[1]!b_issue_firstissue(B630)</f>
        <v>2017-04-06</v>
      </c>
      <c r="P630" s="4">
        <f t="shared" ca="1" si="35"/>
        <v>42989</v>
      </c>
    </row>
    <row r="631" spans="2:16">
      <c r="B631" s="7">
        <v>170210</v>
      </c>
      <c r="C631" s="7">
        <v>4.2649999999999997</v>
      </c>
      <c r="D631" s="18" t="str">
        <f>[1]!b_info_name(B631)</f>
        <v>17国开10</v>
      </c>
      <c r="E631" s="19">
        <f>[1]!b_info_latestissurercreditrating(B631)</f>
        <v>0</v>
      </c>
      <c r="F631" s="20">
        <f ca="1">[1]!b_anal_day(B631,$A$5)/365</f>
        <v>9.5863013698630137</v>
      </c>
      <c r="G631" s="21">
        <f ca="1">[1]!b_anal_yield_cnbd(B631,$A$5)</f>
        <v>0</v>
      </c>
      <c r="H631" s="21">
        <f t="shared" ca="1" si="33"/>
        <v>426.49999999999994</v>
      </c>
      <c r="I631" s="21">
        <f ca="1">[1]!b_anal_yield_cnbd(B631,$A$7)</f>
        <v>0</v>
      </c>
      <c r="J631" s="21">
        <f t="shared" ca="1" si="34"/>
        <v>0</v>
      </c>
      <c r="K631" s="19" t="str">
        <f>[1]!s_info_Nature(B631)</f>
        <v>中央国有企业</v>
      </c>
      <c r="L631" s="19" t="str">
        <f>[1]!b_info_windl1type(B631)</f>
        <v>金融债</v>
      </c>
      <c r="M631" s="13">
        <f>[1]!b_info_couponrate(B631)</f>
        <v>4.04</v>
      </c>
      <c r="N631" s="14" t="str">
        <f>[1]!B_Info_ListedDate(B631)</f>
        <v>2017-04-12</v>
      </c>
      <c r="O631" s="14" t="str">
        <f>[1]!b_issue_firstissue(B631)</f>
        <v>2017-04-06</v>
      </c>
      <c r="P631" s="4">
        <f t="shared" ca="1" si="35"/>
        <v>42989</v>
      </c>
    </row>
    <row r="632" spans="2:16">
      <c r="B632" s="7">
        <v>170210</v>
      </c>
      <c r="C632" s="7">
        <v>4.2649999999999997</v>
      </c>
      <c r="D632" s="18" t="str">
        <f>[1]!b_info_name(B632)</f>
        <v>17国开10</v>
      </c>
      <c r="E632" s="19">
        <f>[1]!b_info_latestissurercreditrating(B632)</f>
        <v>0</v>
      </c>
      <c r="F632" s="20">
        <f ca="1">[1]!b_anal_day(B632,$A$5)/365</f>
        <v>9.5863013698630137</v>
      </c>
      <c r="G632" s="21">
        <f ca="1">[1]!b_anal_yield_cnbd(B632,$A$5)</f>
        <v>0</v>
      </c>
      <c r="H632" s="21">
        <f t="shared" ca="1" si="33"/>
        <v>426.49999999999994</v>
      </c>
      <c r="I632" s="21">
        <f ca="1">[1]!b_anal_yield_cnbd(B632,$A$7)</f>
        <v>0</v>
      </c>
      <c r="J632" s="21">
        <f t="shared" ca="1" si="34"/>
        <v>0</v>
      </c>
      <c r="K632" s="19" t="str">
        <f>[1]!s_info_Nature(B632)</f>
        <v>中央国有企业</v>
      </c>
      <c r="L632" s="19" t="str">
        <f>[1]!b_info_windl1type(B632)</f>
        <v>金融债</v>
      </c>
      <c r="M632" s="13">
        <f>[1]!b_info_couponrate(B632)</f>
        <v>4.04</v>
      </c>
      <c r="N632" s="14" t="str">
        <f>[1]!B_Info_ListedDate(B632)</f>
        <v>2017-04-12</v>
      </c>
      <c r="O632" s="14" t="str">
        <f>[1]!b_issue_firstissue(B632)</f>
        <v>2017-04-06</v>
      </c>
      <c r="P632" s="4">
        <f t="shared" ca="1" si="35"/>
        <v>42989</v>
      </c>
    </row>
    <row r="633" spans="2:16">
      <c r="B633" s="7">
        <v>170210</v>
      </c>
      <c r="C633" s="7">
        <v>4.2649999999999997</v>
      </c>
      <c r="D633" s="18" t="str">
        <f>[1]!b_info_name(B633)</f>
        <v>17国开10</v>
      </c>
      <c r="E633" s="19">
        <f>[1]!b_info_latestissurercreditrating(B633)</f>
        <v>0</v>
      </c>
      <c r="F633" s="20">
        <f ca="1">[1]!b_anal_day(B633,$A$5)/365</f>
        <v>9.5863013698630137</v>
      </c>
      <c r="G633" s="21">
        <f ca="1">[1]!b_anal_yield_cnbd(B633,$A$5)</f>
        <v>0</v>
      </c>
      <c r="H633" s="21">
        <f t="shared" ca="1" si="33"/>
        <v>426.49999999999994</v>
      </c>
      <c r="I633" s="21">
        <f ca="1">[1]!b_anal_yield_cnbd(B633,$A$7)</f>
        <v>0</v>
      </c>
      <c r="J633" s="21">
        <f t="shared" ca="1" si="34"/>
        <v>0</v>
      </c>
      <c r="K633" s="19" t="str">
        <f>[1]!s_info_Nature(B633)</f>
        <v>中央国有企业</v>
      </c>
      <c r="L633" s="19" t="str">
        <f>[1]!b_info_windl1type(B633)</f>
        <v>金融债</v>
      </c>
      <c r="M633" s="13">
        <f>[1]!b_info_couponrate(B633)</f>
        <v>4.04</v>
      </c>
      <c r="N633" s="14" t="str">
        <f>[1]!B_Info_ListedDate(B633)</f>
        <v>2017-04-12</v>
      </c>
      <c r="O633" s="14" t="str">
        <f>[1]!b_issue_firstissue(B633)</f>
        <v>2017-04-06</v>
      </c>
      <c r="P633" s="4">
        <f t="shared" ca="1" si="35"/>
        <v>42989</v>
      </c>
    </row>
    <row r="634" spans="2:16">
      <c r="B634" s="7">
        <v>170210</v>
      </c>
      <c r="C634" s="7">
        <v>4.2649999999999997</v>
      </c>
      <c r="D634" s="18" t="str">
        <f>[1]!b_info_name(B634)</f>
        <v>17国开10</v>
      </c>
      <c r="E634" s="19">
        <f>[1]!b_info_latestissurercreditrating(B634)</f>
        <v>0</v>
      </c>
      <c r="F634" s="20">
        <f ca="1">[1]!b_anal_day(B634,$A$5)/365</f>
        <v>9.5863013698630137</v>
      </c>
      <c r="G634" s="21">
        <f ca="1">[1]!b_anal_yield_cnbd(B634,$A$5)</f>
        <v>0</v>
      </c>
      <c r="H634" s="21">
        <f t="shared" ca="1" si="33"/>
        <v>426.49999999999994</v>
      </c>
      <c r="I634" s="21">
        <f ca="1">[1]!b_anal_yield_cnbd(B634,$A$7)</f>
        <v>0</v>
      </c>
      <c r="J634" s="21">
        <f t="shared" ca="1" si="34"/>
        <v>0</v>
      </c>
      <c r="K634" s="19" t="str">
        <f>[1]!s_info_Nature(B634)</f>
        <v>中央国有企业</v>
      </c>
      <c r="L634" s="19" t="str">
        <f>[1]!b_info_windl1type(B634)</f>
        <v>金融债</v>
      </c>
      <c r="M634" s="13">
        <f>[1]!b_info_couponrate(B634)</f>
        <v>4.04</v>
      </c>
      <c r="N634" s="14" t="str">
        <f>[1]!B_Info_ListedDate(B634)</f>
        <v>2017-04-12</v>
      </c>
      <c r="O634" s="14" t="str">
        <f>[1]!b_issue_firstissue(B634)</f>
        <v>2017-04-06</v>
      </c>
      <c r="P634" s="4">
        <f t="shared" ca="1" si="35"/>
        <v>42989</v>
      </c>
    </row>
    <row r="635" spans="2:16">
      <c r="B635" s="7">
        <v>170210</v>
      </c>
      <c r="C635" s="7">
        <v>4.2649999999999997</v>
      </c>
      <c r="D635" s="18" t="str">
        <f>[1]!b_info_name(B635)</f>
        <v>17国开10</v>
      </c>
      <c r="E635" s="19">
        <f>[1]!b_info_latestissurercreditrating(B635)</f>
        <v>0</v>
      </c>
      <c r="F635" s="20">
        <f ca="1">[1]!b_anal_day(B635,$A$5)/365</f>
        <v>9.5863013698630137</v>
      </c>
      <c r="G635" s="21">
        <f ca="1">[1]!b_anal_yield_cnbd(B635,$A$5)</f>
        <v>0</v>
      </c>
      <c r="H635" s="21">
        <f t="shared" ca="1" si="33"/>
        <v>426.49999999999994</v>
      </c>
      <c r="I635" s="21">
        <f ca="1">[1]!b_anal_yield_cnbd(B635,$A$7)</f>
        <v>0</v>
      </c>
      <c r="J635" s="21">
        <f t="shared" ca="1" si="34"/>
        <v>0</v>
      </c>
      <c r="K635" s="19" t="str">
        <f>[1]!s_info_Nature(B635)</f>
        <v>中央国有企业</v>
      </c>
      <c r="L635" s="19" t="str">
        <f>[1]!b_info_windl1type(B635)</f>
        <v>金融债</v>
      </c>
      <c r="M635" s="13">
        <f>[1]!b_info_couponrate(B635)</f>
        <v>4.04</v>
      </c>
      <c r="N635" s="14" t="str">
        <f>[1]!B_Info_ListedDate(B635)</f>
        <v>2017-04-12</v>
      </c>
      <c r="O635" s="14" t="str">
        <f>[1]!b_issue_firstissue(B635)</f>
        <v>2017-04-06</v>
      </c>
      <c r="P635" s="4">
        <f t="shared" ca="1" si="35"/>
        <v>42989</v>
      </c>
    </row>
    <row r="636" spans="2:16">
      <c r="B636" s="7">
        <v>170210</v>
      </c>
      <c r="C636" s="7">
        <v>4.2649999999999997</v>
      </c>
      <c r="D636" s="18" t="str">
        <f>[1]!b_info_name(B636)</f>
        <v>17国开10</v>
      </c>
      <c r="E636" s="19">
        <f>[1]!b_info_latestissurercreditrating(B636)</f>
        <v>0</v>
      </c>
      <c r="F636" s="20">
        <f ca="1">[1]!b_anal_day(B636,$A$5)/365</f>
        <v>9.5863013698630137</v>
      </c>
      <c r="G636" s="21">
        <f ca="1">[1]!b_anal_yield_cnbd(B636,$A$5)</f>
        <v>0</v>
      </c>
      <c r="H636" s="21">
        <f t="shared" ca="1" si="33"/>
        <v>426.49999999999994</v>
      </c>
      <c r="I636" s="21">
        <f ca="1">[1]!b_anal_yield_cnbd(B636,$A$7)</f>
        <v>0</v>
      </c>
      <c r="J636" s="21">
        <f t="shared" ca="1" si="34"/>
        <v>0</v>
      </c>
      <c r="K636" s="19" t="str">
        <f>[1]!s_info_Nature(B636)</f>
        <v>中央国有企业</v>
      </c>
      <c r="L636" s="19" t="str">
        <f>[1]!b_info_windl1type(B636)</f>
        <v>金融债</v>
      </c>
      <c r="M636" s="13">
        <f>[1]!b_info_couponrate(B636)</f>
        <v>4.04</v>
      </c>
      <c r="N636" s="14" t="str">
        <f>[1]!B_Info_ListedDate(B636)</f>
        <v>2017-04-12</v>
      </c>
      <c r="O636" s="14" t="str">
        <f>[1]!b_issue_firstissue(B636)</f>
        <v>2017-04-06</v>
      </c>
      <c r="P636" s="4">
        <f t="shared" ca="1" si="35"/>
        <v>42989</v>
      </c>
    </row>
    <row r="637" spans="2:16">
      <c r="B637" s="7">
        <v>170210</v>
      </c>
      <c r="C637" s="7">
        <v>4.2649999999999997</v>
      </c>
      <c r="D637" s="18" t="str">
        <f>[1]!b_info_name(B637)</f>
        <v>17国开10</v>
      </c>
      <c r="E637" s="19">
        <f>[1]!b_info_latestissurercreditrating(B637)</f>
        <v>0</v>
      </c>
      <c r="F637" s="20">
        <f ca="1">[1]!b_anal_day(B637,$A$5)/365</f>
        <v>9.5863013698630137</v>
      </c>
      <c r="G637" s="21">
        <f ca="1">[1]!b_anal_yield_cnbd(B637,$A$5)</f>
        <v>0</v>
      </c>
      <c r="H637" s="21">
        <f t="shared" ca="1" si="33"/>
        <v>426.49999999999994</v>
      </c>
      <c r="I637" s="21">
        <f ca="1">[1]!b_anal_yield_cnbd(B637,$A$7)</f>
        <v>0</v>
      </c>
      <c r="J637" s="21">
        <f t="shared" ca="1" si="34"/>
        <v>0</v>
      </c>
      <c r="K637" s="19" t="str">
        <f>[1]!s_info_Nature(B637)</f>
        <v>中央国有企业</v>
      </c>
      <c r="L637" s="19" t="str">
        <f>[1]!b_info_windl1type(B637)</f>
        <v>金融债</v>
      </c>
      <c r="M637" s="13">
        <f>[1]!b_info_couponrate(B637)</f>
        <v>4.04</v>
      </c>
      <c r="N637" s="14" t="str">
        <f>[1]!B_Info_ListedDate(B637)</f>
        <v>2017-04-12</v>
      </c>
      <c r="O637" s="14" t="str">
        <f>[1]!b_issue_firstissue(B637)</f>
        <v>2017-04-06</v>
      </c>
      <c r="P637" s="4">
        <f t="shared" ca="1" si="35"/>
        <v>42989</v>
      </c>
    </row>
    <row r="638" spans="2:16">
      <c r="B638" s="7">
        <v>170210</v>
      </c>
      <c r="C638" s="7">
        <v>4.2649999999999997</v>
      </c>
      <c r="D638" s="18" t="str">
        <f>[1]!b_info_name(B638)</f>
        <v>17国开10</v>
      </c>
      <c r="E638" s="19">
        <f>[1]!b_info_latestissurercreditrating(B638)</f>
        <v>0</v>
      </c>
      <c r="F638" s="20">
        <f ca="1">[1]!b_anal_day(B638,$A$5)/365</f>
        <v>9.5863013698630137</v>
      </c>
      <c r="G638" s="21">
        <f ca="1">[1]!b_anal_yield_cnbd(B638,$A$5)</f>
        <v>0</v>
      </c>
      <c r="H638" s="21">
        <f t="shared" ca="1" si="33"/>
        <v>426.49999999999994</v>
      </c>
      <c r="I638" s="21">
        <f ca="1">[1]!b_anal_yield_cnbd(B638,$A$7)</f>
        <v>0</v>
      </c>
      <c r="J638" s="21">
        <f t="shared" ca="1" si="34"/>
        <v>0</v>
      </c>
      <c r="K638" s="19" t="str">
        <f>[1]!s_info_Nature(B638)</f>
        <v>中央国有企业</v>
      </c>
      <c r="L638" s="19" t="str">
        <f>[1]!b_info_windl1type(B638)</f>
        <v>金融债</v>
      </c>
      <c r="M638" s="13">
        <f>[1]!b_info_couponrate(B638)</f>
        <v>4.04</v>
      </c>
      <c r="N638" s="14" t="str">
        <f>[1]!B_Info_ListedDate(B638)</f>
        <v>2017-04-12</v>
      </c>
      <c r="O638" s="14" t="str">
        <f>[1]!b_issue_firstissue(B638)</f>
        <v>2017-04-06</v>
      </c>
      <c r="P638" s="4">
        <f t="shared" ca="1" si="35"/>
        <v>42989</v>
      </c>
    </row>
    <row r="639" spans="2:16">
      <c r="B639" s="7">
        <v>170210</v>
      </c>
      <c r="C639" s="7">
        <v>4.2649999999999997</v>
      </c>
      <c r="D639" s="18" t="str">
        <f>[1]!b_info_name(B639)</f>
        <v>17国开10</v>
      </c>
      <c r="E639" s="19">
        <f>[1]!b_info_latestissurercreditrating(B639)</f>
        <v>0</v>
      </c>
      <c r="F639" s="20">
        <f ca="1">[1]!b_anal_day(B639,$A$5)/365</f>
        <v>9.5863013698630137</v>
      </c>
      <c r="G639" s="21">
        <f ca="1">[1]!b_anal_yield_cnbd(B639,$A$5)</f>
        <v>0</v>
      </c>
      <c r="H639" s="21">
        <f t="shared" ca="1" si="33"/>
        <v>426.49999999999994</v>
      </c>
      <c r="I639" s="21">
        <f ca="1">[1]!b_anal_yield_cnbd(B639,$A$7)</f>
        <v>0</v>
      </c>
      <c r="J639" s="21">
        <f t="shared" ca="1" si="34"/>
        <v>0</v>
      </c>
      <c r="K639" s="19" t="str">
        <f>[1]!s_info_Nature(B639)</f>
        <v>中央国有企业</v>
      </c>
      <c r="L639" s="19" t="str">
        <f>[1]!b_info_windl1type(B639)</f>
        <v>金融债</v>
      </c>
      <c r="M639" s="13">
        <f>[1]!b_info_couponrate(B639)</f>
        <v>4.04</v>
      </c>
      <c r="N639" s="14" t="str">
        <f>[1]!B_Info_ListedDate(B639)</f>
        <v>2017-04-12</v>
      </c>
      <c r="O639" s="14" t="str">
        <f>[1]!b_issue_firstissue(B639)</f>
        <v>2017-04-06</v>
      </c>
      <c r="P639" s="4">
        <f t="shared" ca="1" si="35"/>
        <v>42989</v>
      </c>
    </row>
    <row r="640" spans="2:16">
      <c r="B640" s="7">
        <v>170210</v>
      </c>
      <c r="C640" s="7">
        <v>4.2649999999999997</v>
      </c>
      <c r="D640" s="18" t="str">
        <f>[1]!b_info_name(B640)</f>
        <v>17国开10</v>
      </c>
      <c r="E640" s="19">
        <f>[1]!b_info_latestissurercreditrating(B640)</f>
        <v>0</v>
      </c>
      <c r="F640" s="20">
        <f ca="1">[1]!b_anal_day(B640,$A$5)/365</f>
        <v>9.5863013698630137</v>
      </c>
      <c r="G640" s="21">
        <f ca="1">[1]!b_anal_yield_cnbd(B640,$A$5)</f>
        <v>0</v>
      </c>
      <c r="H640" s="21">
        <f t="shared" ca="1" si="33"/>
        <v>426.49999999999994</v>
      </c>
      <c r="I640" s="21">
        <f ca="1">[1]!b_anal_yield_cnbd(B640,$A$7)</f>
        <v>0</v>
      </c>
      <c r="J640" s="21">
        <f t="shared" ca="1" si="34"/>
        <v>0</v>
      </c>
      <c r="K640" s="19" t="str">
        <f>[1]!s_info_Nature(B640)</f>
        <v>中央国有企业</v>
      </c>
      <c r="L640" s="19" t="str">
        <f>[1]!b_info_windl1type(B640)</f>
        <v>金融债</v>
      </c>
      <c r="M640" s="13">
        <f>[1]!b_info_couponrate(B640)</f>
        <v>4.04</v>
      </c>
      <c r="N640" s="14" t="str">
        <f>[1]!B_Info_ListedDate(B640)</f>
        <v>2017-04-12</v>
      </c>
      <c r="O640" s="14" t="str">
        <f>[1]!b_issue_firstissue(B640)</f>
        <v>2017-04-06</v>
      </c>
      <c r="P640" s="4">
        <f t="shared" ca="1" si="35"/>
        <v>42989</v>
      </c>
    </row>
    <row r="641" spans="2:16">
      <c r="B641" s="7">
        <v>170210</v>
      </c>
      <c r="C641" s="7">
        <v>4.2649999999999997</v>
      </c>
      <c r="D641" s="18" t="str">
        <f>[1]!b_info_name(B641)</f>
        <v>17国开10</v>
      </c>
      <c r="E641" s="19">
        <f>[1]!b_info_latestissurercreditrating(B641)</f>
        <v>0</v>
      </c>
      <c r="F641" s="20">
        <f ca="1">[1]!b_anal_day(B641,$A$5)/365</f>
        <v>9.5863013698630137</v>
      </c>
      <c r="G641" s="21">
        <f ca="1">[1]!b_anal_yield_cnbd(B641,$A$5)</f>
        <v>0</v>
      </c>
      <c r="H641" s="21">
        <f t="shared" ca="1" si="33"/>
        <v>426.49999999999994</v>
      </c>
      <c r="I641" s="21">
        <f ca="1">[1]!b_anal_yield_cnbd(B641,$A$7)</f>
        <v>0</v>
      </c>
      <c r="J641" s="21">
        <f t="shared" ca="1" si="34"/>
        <v>0</v>
      </c>
      <c r="K641" s="19" t="str">
        <f>[1]!s_info_Nature(B641)</f>
        <v>中央国有企业</v>
      </c>
      <c r="L641" s="19" t="str">
        <f>[1]!b_info_windl1type(B641)</f>
        <v>金融债</v>
      </c>
      <c r="M641" s="13">
        <f>[1]!b_info_couponrate(B641)</f>
        <v>4.04</v>
      </c>
      <c r="N641" s="14" t="str">
        <f>[1]!B_Info_ListedDate(B641)</f>
        <v>2017-04-12</v>
      </c>
      <c r="O641" s="14" t="str">
        <f>[1]!b_issue_firstissue(B641)</f>
        <v>2017-04-06</v>
      </c>
      <c r="P641" s="4">
        <f t="shared" ca="1" si="35"/>
        <v>42989</v>
      </c>
    </row>
    <row r="642" spans="2:16">
      <c r="B642" s="7">
        <v>170210</v>
      </c>
      <c r="C642" s="7">
        <v>4.2649999999999997</v>
      </c>
      <c r="D642" s="18" t="str">
        <f>[1]!b_info_name(B642)</f>
        <v>17国开10</v>
      </c>
      <c r="E642" s="19">
        <f>[1]!b_info_latestissurercreditrating(B642)</f>
        <v>0</v>
      </c>
      <c r="F642" s="20">
        <f ca="1">[1]!b_anal_day(B642,$A$5)/365</f>
        <v>9.5863013698630137</v>
      </c>
      <c r="G642" s="21">
        <f ca="1">[1]!b_anal_yield_cnbd(B642,$A$5)</f>
        <v>0</v>
      </c>
      <c r="H642" s="21">
        <f t="shared" ca="1" si="33"/>
        <v>426.49999999999994</v>
      </c>
      <c r="I642" s="21">
        <f ca="1">[1]!b_anal_yield_cnbd(B642,$A$7)</f>
        <v>0</v>
      </c>
      <c r="J642" s="21">
        <f t="shared" ca="1" si="34"/>
        <v>0</v>
      </c>
      <c r="K642" s="19" t="str">
        <f>[1]!s_info_Nature(B642)</f>
        <v>中央国有企业</v>
      </c>
      <c r="L642" s="19" t="str">
        <f>[1]!b_info_windl1type(B642)</f>
        <v>金融债</v>
      </c>
      <c r="M642" s="13">
        <f>[1]!b_info_couponrate(B642)</f>
        <v>4.04</v>
      </c>
      <c r="N642" s="14" t="str">
        <f>[1]!B_Info_ListedDate(B642)</f>
        <v>2017-04-12</v>
      </c>
      <c r="O642" s="14" t="str">
        <f>[1]!b_issue_firstissue(B642)</f>
        <v>2017-04-06</v>
      </c>
      <c r="P642" s="4">
        <f t="shared" ca="1" si="35"/>
        <v>42989</v>
      </c>
    </row>
    <row r="643" spans="2:16">
      <c r="B643" s="7">
        <v>170210</v>
      </c>
      <c r="C643" s="7">
        <v>4.2649999999999997</v>
      </c>
      <c r="D643" s="18" t="str">
        <f>[1]!b_info_name(B643)</f>
        <v>17国开10</v>
      </c>
      <c r="E643" s="19">
        <f>[1]!b_info_latestissurercreditrating(B643)</f>
        <v>0</v>
      </c>
      <c r="F643" s="20">
        <f ca="1">[1]!b_anal_day(B643,$A$5)/365</f>
        <v>9.5863013698630137</v>
      </c>
      <c r="G643" s="21">
        <f ca="1">[1]!b_anal_yield_cnbd(B643,$A$5)</f>
        <v>0</v>
      </c>
      <c r="H643" s="21">
        <f t="shared" ca="1" si="33"/>
        <v>426.49999999999994</v>
      </c>
      <c r="I643" s="21">
        <f ca="1">[1]!b_anal_yield_cnbd(B643,$A$7)</f>
        <v>0</v>
      </c>
      <c r="J643" s="21">
        <f t="shared" ca="1" si="34"/>
        <v>0</v>
      </c>
      <c r="K643" s="19" t="str">
        <f>[1]!s_info_Nature(B643)</f>
        <v>中央国有企业</v>
      </c>
      <c r="L643" s="19" t="str">
        <f>[1]!b_info_windl1type(B643)</f>
        <v>金融债</v>
      </c>
      <c r="M643" s="13">
        <f>[1]!b_info_couponrate(B643)</f>
        <v>4.04</v>
      </c>
      <c r="N643" s="14" t="str">
        <f>[1]!B_Info_ListedDate(B643)</f>
        <v>2017-04-12</v>
      </c>
      <c r="O643" s="14" t="str">
        <f>[1]!b_issue_firstissue(B643)</f>
        <v>2017-04-06</v>
      </c>
      <c r="P643" s="4">
        <f t="shared" ca="1" si="35"/>
        <v>42989</v>
      </c>
    </row>
    <row r="644" spans="2:16">
      <c r="B644" s="7">
        <v>170210</v>
      </c>
      <c r="C644" s="7">
        <v>4.2649999999999997</v>
      </c>
      <c r="D644" s="18" t="str">
        <f>[1]!b_info_name(B644)</f>
        <v>17国开10</v>
      </c>
      <c r="E644" s="19">
        <f>[1]!b_info_latestissurercreditrating(B644)</f>
        <v>0</v>
      </c>
      <c r="F644" s="20">
        <f ca="1">[1]!b_anal_day(B644,$A$5)/365</f>
        <v>9.5863013698630137</v>
      </c>
      <c r="G644" s="21">
        <f ca="1">[1]!b_anal_yield_cnbd(B644,$A$5)</f>
        <v>0</v>
      </c>
      <c r="H644" s="21">
        <f t="shared" ca="1" si="33"/>
        <v>426.49999999999994</v>
      </c>
      <c r="I644" s="21">
        <f ca="1">[1]!b_anal_yield_cnbd(B644,$A$7)</f>
        <v>0</v>
      </c>
      <c r="J644" s="21">
        <f t="shared" ca="1" si="34"/>
        <v>0</v>
      </c>
      <c r="K644" s="19" t="str">
        <f>[1]!s_info_Nature(B644)</f>
        <v>中央国有企业</v>
      </c>
      <c r="L644" s="19" t="str">
        <f>[1]!b_info_windl1type(B644)</f>
        <v>金融债</v>
      </c>
      <c r="M644" s="13">
        <f>[1]!b_info_couponrate(B644)</f>
        <v>4.04</v>
      </c>
      <c r="N644" s="14" t="str">
        <f>[1]!B_Info_ListedDate(B644)</f>
        <v>2017-04-12</v>
      </c>
      <c r="O644" s="14" t="str">
        <f>[1]!b_issue_firstissue(B644)</f>
        <v>2017-04-06</v>
      </c>
      <c r="P644" s="4">
        <f t="shared" ca="1" si="35"/>
        <v>42989</v>
      </c>
    </row>
    <row r="645" spans="2:16">
      <c r="B645" s="7">
        <v>170210</v>
      </c>
      <c r="C645" s="7">
        <v>4.2649999999999997</v>
      </c>
      <c r="D645" s="18" t="str">
        <f>[1]!b_info_name(B645)</f>
        <v>17国开10</v>
      </c>
      <c r="E645" s="19">
        <f>[1]!b_info_latestissurercreditrating(B645)</f>
        <v>0</v>
      </c>
      <c r="F645" s="20">
        <f ca="1">[1]!b_anal_day(B645,$A$5)/365</f>
        <v>9.5863013698630137</v>
      </c>
      <c r="G645" s="21">
        <f ca="1">[1]!b_anal_yield_cnbd(B645,$A$5)</f>
        <v>0</v>
      </c>
      <c r="H645" s="21">
        <f t="shared" ca="1" si="33"/>
        <v>426.49999999999994</v>
      </c>
      <c r="I645" s="21">
        <f ca="1">[1]!b_anal_yield_cnbd(B645,$A$7)</f>
        <v>0</v>
      </c>
      <c r="J645" s="21">
        <f t="shared" ca="1" si="34"/>
        <v>0</v>
      </c>
      <c r="K645" s="19" t="str">
        <f>[1]!s_info_Nature(B645)</f>
        <v>中央国有企业</v>
      </c>
      <c r="L645" s="19" t="str">
        <f>[1]!b_info_windl1type(B645)</f>
        <v>金融债</v>
      </c>
      <c r="M645" s="13">
        <f>[1]!b_info_couponrate(B645)</f>
        <v>4.04</v>
      </c>
      <c r="N645" s="14" t="str">
        <f>[1]!B_Info_ListedDate(B645)</f>
        <v>2017-04-12</v>
      </c>
      <c r="O645" s="14" t="str">
        <f>[1]!b_issue_firstissue(B645)</f>
        <v>2017-04-06</v>
      </c>
      <c r="P645" s="4">
        <f t="shared" ca="1" si="35"/>
        <v>42989</v>
      </c>
    </row>
    <row r="646" spans="2:16">
      <c r="B646" s="7">
        <v>170210</v>
      </c>
      <c r="C646" s="7">
        <v>4.2625000000000002</v>
      </c>
      <c r="D646" s="18" t="str">
        <f>[1]!b_info_name(B646)</f>
        <v>17国开10</v>
      </c>
      <c r="E646" s="19">
        <f>[1]!b_info_latestissurercreditrating(B646)</f>
        <v>0</v>
      </c>
      <c r="F646" s="20">
        <f ca="1">[1]!b_anal_day(B646,$A$5)/365</f>
        <v>9.5863013698630137</v>
      </c>
      <c r="G646" s="21">
        <f ca="1">[1]!b_anal_yield_cnbd(B646,$A$5)</f>
        <v>0</v>
      </c>
      <c r="H646" s="21">
        <f t="shared" ca="1" si="33"/>
        <v>426.25</v>
      </c>
      <c r="I646" s="21">
        <f ca="1">[1]!b_anal_yield_cnbd(B646,$A$7)</f>
        <v>0</v>
      </c>
      <c r="J646" s="21">
        <f t="shared" ca="1" si="34"/>
        <v>0</v>
      </c>
      <c r="K646" s="19" t="str">
        <f>[1]!s_info_Nature(B646)</f>
        <v>中央国有企业</v>
      </c>
      <c r="L646" s="19" t="str">
        <f>[1]!b_info_windl1type(B646)</f>
        <v>金融债</v>
      </c>
      <c r="M646" s="13">
        <f>[1]!b_info_couponrate(B646)</f>
        <v>4.04</v>
      </c>
      <c r="N646" s="14" t="str">
        <f>[1]!B_Info_ListedDate(B646)</f>
        <v>2017-04-12</v>
      </c>
      <c r="O646" s="14" t="str">
        <f>[1]!b_issue_firstissue(B646)</f>
        <v>2017-04-06</v>
      </c>
      <c r="P646" s="4">
        <f t="shared" ca="1" si="35"/>
        <v>42989</v>
      </c>
    </row>
    <row r="647" spans="2:16">
      <c r="B647" s="7">
        <v>170210</v>
      </c>
      <c r="C647" s="7">
        <v>4.2625000000000002</v>
      </c>
      <c r="D647" s="18" t="str">
        <f>[1]!b_info_name(B647)</f>
        <v>17国开10</v>
      </c>
      <c r="E647" s="19">
        <f>[1]!b_info_latestissurercreditrating(B647)</f>
        <v>0</v>
      </c>
      <c r="F647" s="20">
        <f ca="1">[1]!b_anal_day(B647,$A$5)/365</f>
        <v>9.5863013698630137</v>
      </c>
      <c r="G647" s="21">
        <f ca="1">[1]!b_anal_yield_cnbd(B647,$A$5)</f>
        <v>0</v>
      </c>
      <c r="H647" s="21">
        <f t="shared" ca="1" si="33"/>
        <v>426.25</v>
      </c>
      <c r="I647" s="21">
        <f ca="1">[1]!b_anal_yield_cnbd(B647,$A$7)</f>
        <v>0</v>
      </c>
      <c r="J647" s="21">
        <f t="shared" ca="1" si="34"/>
        <v>0</v>
      </c>
      <c r="K647" s="19" t="str">
        <f>[1]!s_info_Nature(B647)</f>
        <v>中央国有企业</v>
      </c>
      <c r="L647" s="19" t="str">
        <f>[1]!b_info_windl1type(B647)</f>
        <v>金融债</v>
      </c>
      <c r="M647" s="13">
        <f>[1]!b_info_couponrate(B647)</f>
        <v>4.04</v>
      </c>
      <c r="N647" s="14" t="str">
        <f>[1]!B_Info_ListedDate(B647)</f>
        <v>2017-04-12</v>
      </c>
      <c r="O647" s="14" t="str">
        <f>[1]!b_issue_firstissue(B647)</f>
        <v>2017-04-06</v>
      </c>
      <c r="P647" s="4">
        <f t="shared" ca="1" si="35"/>
        <v>42989</v>
      </c>
    </row>
    <row r="648" spans="2:16">
      <c r="B648" s="7">
        <v>170210</v>
      </c>
      <c r="C648" s="7">
        <v>4.2625000000000002</v>
      </c>
      <c r="D648" s="18" t="str">
        <f>[1]!b_info_name(B648)</f>
        <v>17国开10</v>
      </c>
      <c r="E648" s="19">
        <f>[1]!b_info_latestissurercreditrating(B648)</f>
        <v>0</v>
      </c>
      <c r="F648" s="20">
        <f ca="1">[1]!b_anal_day(B648,$A$5)/365</f>
        <v>9.5863013698630137</v>
      </c>
      <c r="G648" s="21">
        <f ca="1">[1]!b_anal_yield_cnbd(B648,$A$5)</f>
        <v>0</v>
      </c>
      <c r="H648" s="21">
        <f t="shared" ca="1" si="33"/>
        <v>426.25</v>
      </c>
      <c r="I648" s="21">
        <f ca="1">[1]!b_anal_yield_cnbd(B648,$A$7)</f>
        <v>0</v>
      </c>
      <c r="J648" s="21">
        <f t="shared" ca="1" si="34"/>
        <v>0</v>
      </c>
      <c r="K648" s="19" t="str">
        <f>[1]!s_info_Nature(B648)</f>
        <v>中央国有企业</v>
      </c>
      <c r="L648" s="19" t="str">
        <f>[1]!b_info_windl1type(B648)</f>
        <v>金融债</v>
      </c>
      <c r="M648" s="13">
        <f>[1]!b_info_couponrate(B648)</f>
        <v>4.04</v>
      </c>
      <c r="N648" s="14" t="str">
        <f>[1]!B_Info_ListedDate(B648)</f>
        <v>2017-04-12</v>
      </c>
      <c r="O648" s="14" t="str">
        <f>[1]!b_issue_firstissue(B648)</f>
        <v>2017-04-06</v>
      </c>
      <c r="P648" s="4">
        <f t="shared" ca="1" si="35"/>
        <v>42989</v>
      </c>
    </row>
    <row r="649" spans="2:16">
      <c r="B649" s="7">
        <v>170210</v>
      </c>
      <c r="C649" s="7">
        <v>4.2625000000000002</v>
      </c>
      <c r="D649" s="18" t="str">
        <f>[1]!b_info_name(B649)</f>
        <v>17国开10</v>
      </c>
      <c r="E649" s="19">
        <f>[1]!b_info_latestissurercreditrating(B649)</f>
        <v>0</v>
      </c>
      <c r="F649" s="20">
        <f ca="1">[1]!b_anal_day(B649,$A$5)/365</f>
        <v>9.5863013698630137</v>
      </c>
      <c r="G649" s="21">
        <f ca="1">[1]!b_anal_yield_cnbd(B649,$A$5)</f>
        <v>0</v>
      </c>
      <c r="H649" s="21">
        <f t="shared" ca="1" si="33"/>
        <v>426.25</v>
      </c>
      <c r="I649" s="21">
        <f ca="1">[1]!b_anal_yield_cnbd(B649,$A$7)</f>
        <v>0</v>
      </c>
      <c r="J649" s="21">
        <f t="shared" ca="1" si="34"/>
        <v>0</v>
      </c>
      <c r="K649" s="19" t="str">
        <f>[1]!s_info_Nature(B649)</f>
        <v>中央国有企业</v>
      </c>
      <c r="L649" s="19" t="str">
        <f>[1]!b_info_windl1type(B649)</f>
        <v>金融债</v>
      </c>
      <c r="M649" s="13">
        <f>[1]!b_info_couponrate(B649)</f>
        <v>4.04</v>
      </c>
      <c r="N649" s="14" t="str">
        <f>[1]!B_Info_ListedDate(B649)</f>
        <v>2017-04-12</v>
      </c>
      <c r="O649" s="14" t="str">
        <f>[1]!b_issue_firstissue(B649)</f>
        <v>2017-04-06</v>
      </c>
      <c r="P649" s="4">
        <f t="shared" ca="1" si="35"/>
        <v>42989</v>
      </c>
    </row>
    <row r="650" spans="2:16">
      <c r="B650" s="7">
        <v>170210</v>
      </c>
      <c r="C650" s="7">
        <v>4.2625000000000002</v>
      </c>
      <c r="D650" s="18" t="str">
        <f>[1]!b_info_name(B650)</f>
        <v>17国开10</v>
      </c>
      <c r="E650" s="19">
        <f>[1]!b_info_latestissurercreditrating(B650)</f>
        <v>0</v>
      </c>
      <c r="F650" s="20">
        <f ca="1">[1]!b_anal_day(B650,$A$5)/365</f>
        <v>9.5863013698630137</v>
      </c>
      <c r="G650" s="21">
        <f ca="1">[1]!b_anal_yield_cnbd(B650,$A$5)</f>
        <v>0</v>
      </c>
      <c r="H650" s="21">
        <f t="shared" ca="1" si="33"/>
        <v>426.25</v>
      </c>
      <c r="I650" s="21">
        <f ca="1">[1]!b_anal_yield_cnbd(B650,$A$7)</f>
        <v>0</v>
      </c>
      <c r="J650" s="21">
        <f t="shared" ca="1" si="34"/>
        <v>0</v>
      </c>
      <c r="K650" s="19" t="str">
        <f>[1]!s_info_Nature(B650)</f>
        <v>中央国有企业</v>
      </c>
      <c r="L650" s="19" t="str">
        <f>[1]!b_info_windl1type(B650)</f>
        <v>金融债</v>
      </c>
      <c r="M650" s="13">
        <f>[1]!b_info_couponrate(B650)</f>
        <v>4.04</v>
      </c>
      <c r="N650" s="14" t="str">
        <f>[1]!B_Info_ListedDate(B650)</f>
        <v>2017-04-12</v>
      </c>
      <c r="O650" s="14" t="str">
        <f>[1]!b_issue_firstissue(B650)</f>
        <v>2017-04-06</v>
      </c>
      <c r="P650" s="4">
        <f t="shared" ca="1" si="35"/>
        <v>42989</v>
      </c>
    </row>
    <row r="651" spans="2:16">
      <c r="B651" s="7">
        <v>170210</v>
      </c>
      <c r="C651" s="7">
        <v>4.2625000000000002</v>
      </c>
      <c r="D651" s="18" t="str">
        <f>[1]!b_info_name(B651)</f>
        <v>17国开10</v>
      </c>
      <c r="E651" s="19">
        <f>[1]!b_info_latestissurercreditrating(B651)</f>
        <v>0</v>
      </c>
      <c r="F651" s="20">
        <f ca="1">[1]!b_anal_day(B651,$A$5)/365</f>
        <v>9.5863013698630137</v>
      </c>
      <c r="G651" s="21">
        <f ca="1">[1]!b_anal_yield_cnbd(B651,$A$5)</f>
        <v>0</v>
      </c>
      <c r="H651" s="21">
        <f t="shared" ca="1" si="33"/>
        <v>426.25</v>
      </c>
      <c r="I651" s="21">
        <f ca="1">[1]!b_anal_yield_cnbd(B651,$A$7)</f>
        <v>0</v>
      </c>
      <c r="J651" s="21">
        <f t="shared" ca="1" si="34"/>
        <v>0</v>
      </c>
      <c r="K651" s="19" t="str">
        <f>[1]!s_info_Nature(B651)</f>
        <v>中央国有企业</v>
      </c>
      <c r="L651" s="19" t="str">
        <f>[1]!b_info_windl1type(B651)</f>
        <v>金融债</v>
      </c>
      <c r="M651" s="13">
        <f>[1]!b_info_couponrate(B651)</f>
        <v>4.04</v>
      </c>
      <c r="N651" s="14" t="str">
        <f>[1]!B_Info_ListedDate(B651)</f>
        <v>2017-04-12</v>
      </c>
      <c r="O651" s="14" t="str">
        <f>[1]!b_issue_firstissue(B651)</f>
        <v>2017-04-06</v>
      </c>
      <c r="P651" s="4">
        <f t="shared" ca="1" si="35"/>
        <v>42989</v>
      </c>
    </row>
    <row r="652" spans="2:16">
      <c r="B652" s="7">
        <v>170210</v>
      </c>
      <c r="C652" s="7">
        <v>4.2625000000000002</v>
      </c>
      <c r="D652" s="18" t="str">
        <f>[1]!b_info_name(B652)</f>
        <v>17国开10</v>
      </c>
      <c r="E652" s="19">
        <f>[1]!b_info_latestissurercreditrating(B652)</f>
        <v>0</v>
      </c>
      <c r="F652" s="20">
        <f ca="1">[1]!b_anal_day(B652,$A$5)/365</f>
        <v>9.5863013698630137</v>
      </c>
      <c r="G652" s="21">
        <f ca="1">[1]!b_anal_yield_cnbd(B652,$A$5)</f>
        <v>0</v>
      </c>
      <c r="H652" s="21">
        <f t="shared" ca="1" si="33"/>
        <v>426.25</v>
      </c>
      <c r="I652" s="21">
        <f ca="1">[1]!b_anal_yield_cnbd(B652,$A$7)</f>
        <v>0</v>
      </c>
      <c r="J652" s="21">
        <f t="shared" ca="1" si="34"/>
        <v>0</v>
      </c>
      <c r="K652" s="19" t="str">
        <f>[1]!s_info_Nature(B652)</f>
        <v>中央国有企业</v>
      </c>
      <c r="L652" s="19" t="str">
        <f>[1]!b_info_windl1type(B652)</f>
        <v>金融债</v>
      </c>
      <c r="M652" s="13">
        <f>[1]!b_info_couponrate(B652)</f>
        <v>4.04</v>
      </c>
      <c r="N652" s="14" t="str">
        <f>[1]!B_Info_ListedDate(B652)</f>
        <v>2017-04-12</v>
      </c>
      <c r="O652" s="14" t="str">
        <f>[1]!b_issue_firstissue(B652)</f>
        <v>2017-04-06</v>
      </c>
      <c r="P652" s="4">
        <f t="shared" ca="1" si="35"/>
        <v>42989</v>
      </c>
    </row>
    <row r="653" spans="2:16">
      <c r="B653" s="7">
        <v>170210</v>
      </c>
      <c r="C653" s="7">
        <v>4.2625000000000002</v>
      </c>
      <c r="D653" s="18" t="str">
        <f>[1]!b_info_name(B653)</f>
        <v>17国开10</v>
      </c>
      <c r="E653" s="19">
        <f>[1]!b_info_latestissurercreditrating(B653)</f>
        <v>0</v>
      </c>
      <c r="F653" s="20">
        <f ca="1">[1]!b_anal_day(B653,$A$5)/365</f>
        <v>9.5863013698630137</v>
      </c>
      <c r="G653" s="21">
        <f ca="1">[1]!b_anal_yield_cnbd(B653,$A$5)</f>
        <v>0</v>
      </c>
      <c r="H653" s="21">
        <f t="shared" ca="1" si="33"/>
        <v>426.25</v>
      </c>
      <c r="I653" s="21">
        <f ca="1">[1]!b_anal_yield_cnbd(B653,$A$7)</f>
        <v>0</v>
      </c>
      <c r="J653" s="21">
        <f t="shared" ca="1" si="34"/>
        <v>0</v>
      </c>
      <c r="K653" s="19" t="str">
        <f>[1]!s_info_Nature(B653)</f>
        <v>中央国有企业</v>
      </c>
      <c r="L653" s="19" t="str">
        <f>[1]!b_info_windl1type(B653)</f>
        <v>金融债</v>
      </c>
      <c r="M653" s="13">
        <f>[1]!b_info_couponrate(B653)</f>
        <v>4.04</v>
      </c>
      <c r="N653" s="14" t="str">
        <f>[1]!B_Info_ListedDate(B653)</f>
        <v>2017-04-12</v>
      </c>
      <c r="O653" s="14" t="str">
        <f>[1]!b_issue_firstissue(B653)</f>
        <v>2017-04-06</v>
      </c>
      <c r="P653" s="4">
        <f t="shared" ca="1" si="35"/>
        <v>42989</v>
      </c>
    </row>
    <row r="654" spans="2:16">
      <c r="B654" s="7">
        <v>170210</v>
      </c>
      <c r="C654" s="7">
        <v>4.2625000000000002</v>
      </c>
      <c r="D654" s="18" t="str">
        <f>[1]!b_info_name(B654)</f>
        <v>17国开10</v>
      </c>
      <c r="E654" s="19">
        <f>[1]!b_info_latestissurercreditrating(B654)</f>
        <v>0</v>
      </c>
      <c r="F654" s="20">
        <f ca="1">[1]!b_anal_day(B654,$A$5)/365</f>
        <v>9.5863013698630137</v>
      </c>
      <c r="G654" s="21">
        <f ca="1">[1]!b_anal_yield_cnbd(B654,$A$5)</f>
        <v>0</v>
      </c>
      <c r="H654" s="21">
        <f t="shared" ca="1" si="33"/>
        <v>426.25</v>
      </c>
      <c r="I654" s="21">
        <f ca="1">[1]!b_anal_yield_cnbd(B654,$A$7)</f>
        <v>0</v>
      </c>
      <c r="J654" s="21">
        <f t="shared" ca="1" si="34"/>
        <v>0</v>
      </c>
      <c r="K654" s="19" t="str">
        <f>[1]!s_info_Nature(B654)</f>
        <v>中央国有企业</v>
      </c>
      <c r="L654" s="19" t="str">
        <f>[1]!b_info_windl1type(B654)</f>
        <v>金融债</v>
      </c>
      <c r="M654" s="13">
        <f>[1]!b_info_couponrate(B654)</f>
        <v>4.04</v>
      </c>
      <c r="N654" s="14" t="str">
        <f>[1]!B_Info_ListedDate(B654)</f>
        <v>2017-04-12</v>
      </c>
      <c r="O654" s="14" t="str">
        <f>[1]!b_issue_firstissue(B654)</f>
        <v>2017-04-06</v>
      </c>
      <c r="P654" s="4">
        <f t="shared" ca="1" si="35"/>
        <v>42989</v>
      </c>
    </row>
    <row r="655" spans="2:16">
      <c r="B655" s="7">
        <v>170210</v>
      </c>
      <c r="C655" s="7">
        <v>4.2625000000000002</v>
      </c>
      <c r="D655" s="18" t="str">
        <f>[1]!b_info_name(B655)</f>
        <v>17国开10</v>
      </c>
      <c r="E655" s="19">
        <f>[1]!b_info_latestissurercreditrating(B655)</f>
        <v>0</v>
      </c>
      <c r="F655" s="20">
        <f ca="1">[1]!b_anal_day(B655,$A$5)/365</f>
        <v>9.5863013698630137</v>
      </c>
      <c r="G655" s="21">
        <f ca="1">[1]!b_anal_yield_cnbd(B655,$A$5)</f>
        <v>0</v>
      </c>
      <c r="H655" s="21">
        <f t="shared" ca="1" si="33"/>
        <v>426.25</v>
      </c>
      <c r="I655" s="21">
        <f ca="1">[1]!b_anal_yield_cnbd(B655,$A$7)</f>
        <v>0</v>
      </c>
      <c r="J655" s="21">
        <f t="shared" ca="1" si="34"/>
        <v>0</v>
      </c>
      <c r="K655" s="19" t="str">
        <f>[1]!s_info_Nature(B655)</f>
        <v>中央国有企业</v>
      </c>
      <c r="L655" s="19" t="str">
        <f>[1]!b_info_windl1type(B655)</f>
        <v>金融债</v>
      </c>
      <c r="M655" s="13">
        <f>[1]!b_info_couponrate(B655)</f>
        <v>4.04</v>
      </c>
      <c r="N655" s="14" t="str">
        <f>[1]!B_Info_ListedDate(B655)</f>
        <v>2017-04-12</v>
      </c>
      <c r="O655" s="14" t="str">
        <f>[1]!b_issue_firstissue(B655)</f>
        <v>2017-04-06</v>
      </c>
      <c r="P655" s="4">
        <f t="shared" ca="1" si="35"/>
        <v>42989</v>
      </c>
    </row>
    <row r="656" spans="2:16">
      <c r="B656" s="7">
        <v>170210</v>
      </c>
      <c r="C656" s="7">
        <v>4.2625000000000002</v>
      </c>
      <c r="D656" s="18" t="str">
        <f>[1]!b_info_name(B656)</f>
        <v>17国开10</v>
      </c>
      <c r="E656" s="19">
        <f>[1]!b_info_latestissurercreditrating(B656)</f>
        <v>0</v>
      </c>
      <c r="F656" s="20">
        <f ca="1">[1]!b_anal_day(B656,$A$5)/365</f>
        <v>9.5863013698630137</v>
      </c>
      <c r="G656" s="21">
        <f ca="1">[1]!b_anal_yield_cnbd(B656,$A$5)</f>
        <v>0</v>
      </c>
      <c r="H656" s="21">
        <f t="shared" ca="1" si="33"/>
        <v>426.25</v>
      </c>
      <c r="I656" s="21">
        <f ca="1">[1]!b_anal_yield_cnbd(B656,$A$7)</f>
        <v>0</v>
      </c>
      <c r="J656" s="21">
        <f t="shared" ca="1" si="34"/>
        <v>0</v>
      </c>
      <c r="K656" s="19" t="str">
        <f>[1]!s_info_Nature(B656)</f>
        <v>中央国有企业</v>
      </c>
      <c r="L656" s="19" t="str">
        <f>[1]!b_info_windl1type(B656)</f>
        <v>金融债</v>
      </c>
      <c r="M656" s="13">
        <f>[1]!b_info_couponrate(B656)</f>
        <v>4.04</v>
      </c>
      <c r="N656" s="14" t="str">
        <f>[1]!B_Info_ListedDate(B656)</f>
        <v>2017-04-12</v>
      </c>
      <c r="O656" s="14" t="str">
        <f>[1]!b_issue_firstissue(B656)</f>
        <v>2017-04-06</v>
      </c>
      <c r="P656" s="4">
        <f t="shared" ca="1" si="35"/>
        <v>42989</v>
      </c>
    </row>
    <row r="657" spans="2:16">
      <c r="B657" s="7">
        <v>170210</v>
      </c>
      <c r="C657" s="7">
        <v>4.2625000000000002</v>
      </c>
      <c r="D657" s="18" t="str">
        <f>[1]!b_info_name(B657)</f>
        <v>17国开10</v>
      </c>
      <c r="E657" s="19">
        <f>[1]!b_info_latestissurercreditrating(B657)</f>
        <v>0</v>
      </c>
      <c r="F657" s="20">
        <f ca="1">[1]!b_anal_day(B657,$A$5)/365</f>
        <v>9.5863013698630137</v>
      </c>
      <c r="G657" s="21">
        <f ca="1">[1]!b_anal_yield_cnbd(B657,$A$5)</f>
        <v>0</v>
      </c>
      <c r="H657" s="21">
        <f t="shared" ca="1" si="33"/>
        <v>426.25</v>
      </c>
      <c r="I657" s="21">
        <f ca="1">[1]!b_anal_yield_cnbd(B657,$A$7)</f>
        <v>0</v>
      </c>
      <c r="J657" s="21">
        <f t="shared" ca="1" si="34"/>
        <v>0</v>
      </c>
      <c r="K657" s="19" t="str">
        <f>[1]!s_info_Nature(B657)</f>
        <v>中央国有企业</v>
      </c>
      <c r="L657" s="19" t="str">
        <f>[1]!b_info_windl1type(B657)</f>
        <v>金融债</v>
      </c>
      <c r="M657" s="13">
        <f>[1]!b_info_couponrate(B657)</f>
        <v>4.04</v>
      </c>
      <c r="N657" s="14" t="str">
        <f>[1]!B_Info_ListedDate(B657)</f>
        <v>2017-04-12</v>
      </c>
      <c r="O657" s="14" t="str">
        <f>[1]!b_issue_firstissue(B657)</f>
        <v>2017-04-06</v>
      </c>
      <c r="P657" s="4">
        <f t="shared" ca="1" si="35"/>
        <v>42989</v>
      </c>
    </row>
    <row r="658" spans="2:16">
      <c r="B658" s="7">
        <v>170210</v>
      </c>
      <c r="C658" s="7">
        <v>4.2625000000000002</v>
      </c>
      <c r="D658" s="18" t="str">
        <f>[1]!b_info_name(B658)</f>
        <v>17国开10</v>
      </c>
      <c r="E658" s="19">
        <f>[1]!b_info_latestissurercreditrating(B658)</f>
        <v>0</v>
      </c>
      <c r="F658" s="20">
        <f ca="1">[1]!b_anal_day(B658,$A$5)/365</f>
        <v>9.5863013698630137</v>
      </c>
      <c r="G658" s="21">
        <f ca="1">[1]!b_anal_yield_cnbd(B658,$A$5)</f>
        <v>0</v>
      </c>
      <c r="H658" s="21">
        <f t="shared" ca="1" si="33"/>
        <v>426.25</v>
      </c>
      <c r="I658" s="21">
        <f ca="1">[1]!b_anal_yield_cnbd(B658,$A$7)</f>
        <v>0</v>
      </c>
      <c r="J658" s="21">
        <f t="shared" ca="1" si="34"/>
        <v>0</v>
      </c>
      <c r="K658" s="19" t="str">
        <f>[1]!s_info_Nature(B658)</f>
        <v>中央国有企业</v>
      </c>
      <c r="L658" s="19" t="str">
        <f>[1]!b_info_windl1type(B658)</f>
        <v>金融债</v>
      </c>
      <c r="M658" s="13">
        <f>[1]!b_info_couponrate(B658)</f>
        <v>4.04</v>
      </c>
      <c r="N658" s="14" t="str">
        <f>[1]!B_Info_ListedDate(B658)</f>
        <v>2017-04-12</v>
      </c>
      <c r="O658" s="14" t="str">
        <f>[1]!b_issue_firstissue(B658)</f>
        <v>2017-04-06</v>
      </c>
      <c r="P658" s="4">
        <f t="shared" ca="1" si="35"/>
        <v>42989</v>
      </c>
    </row>
    <row r="659" spans="2:16">
      <c r="B659" s="7">
        <v>170210</v>
      </c>
      <c r="C659" s="7">
        <v>4.2625000000000002</v>
      </c>
      <c r="D659" s="18" t="str">
        <f>[1]!b_info_name(B659)</f>
        <v>17国开10</v>
      </c>
      <c r="E659" s="19">
        <f>[1]!b_info_latestissurercreditrating(B659)</f>
        <v>0</v>
      </c>
      <c r="F659" s="20">
        <f ca="1">[1]!b_anal_day(B659,$A$5)/365</f>
        <v>9.5863013698630137</v>
      </c>
      <c r="G659" s="21">
        <f ca="1">[1]!b_anal_yield_cnbd(B659,$A$5)</f>
        <v>0</v>
      </c>
      <c r="H659" s="21">
        <f t="shared" ca="1" si="33"/>
        <v>426.25</v>
      </c>
      <c r="I659" s="21">
        <f ca="1">[1]!b_anal_yield_cnbd(B659,$A$7)</f>
        <v>0</v>
      </c>
      <c r="J659" s="21">
        <f t="shared" ca="1" si="34"/>
        <v>0</v>
      </c>
      <c r="K659" s="19" t="str">
        <f>[1]!s_info_Nature(B659)</f>
        <v>中央国有企业</v>
      </c>
      <c r="L659" s="19" t="str">
        <f>[1]!b_info_windl1type(B659)</f>
        <v>金融债</v>
      </c>
      <c r="M659" s="13">
        <f>[1]!b_info_couponrate(B659)</f>
        <v>4.04</v>
      </c>
      <c r="N659" s="14" t="str">
        <f>[1]!B_Info_ListedDate(B659)</f>
        <v>2017-04-12</v>
      </c>
      <c r="O659" s="14" t="str">
        <f>[1]!b_issue_firstissue(B659)</f>
        <v>2017-04-06</v>
      </c>
      <c r="P659" s="4">
        <f t="shared" ca="1" si="35"/>
        <v>42989</v>
      </c>
    </row>
    <row r="660" spans="2:16">
      <c r="B660" s="7">
        <v>170210</v>
      </c>
      <c r="C660" s="7">
        <v>4.2625000000000002</v>
      </c>
      <c r="D660" s="18" t="str">
        <f>[1]!b_info_name(B660)</f>
        <v>17国开10</v>
      </c>
      <c r="E660" s="19">
        <f>[1]!b_info_latestissurercreditrating(B660)</f>
        <v>0</v>
      </c>
      <c r="F660" s="20">
        <f ca="1">[1]!b_anal_day(B660,$A$5)/365</f>
        <v>9.5863013698630137</v>
      </c>
      <c r="G660" s="21">
        <f ca="1">[1]!b_anal_yield_cnbd(B660,$A$5)</f>
        <v>0</v>
      </c>
      <c r="H660" s="21">
        <f t="shared" ca="1" si="33"/>
        <v>426.25</v>
      </c>
      <c r="I660" s="21">
        <f ca="1">[1]!b_anal_yield_cnbd(B660,$A$7)</f>
        <v>0</v>
      </c>
      <c r="J660" s="21">
        <f t="shared" ca="1" si="34"/>
        <v>0</v>
      </c>
      <c r="K660" s="19" t="str">
        <f>[1]!s_info_Nature(B660)</f>
        <v>中央国有企业</v>
      </c>
      <c r="L660" s="19" t="str">
        <f>[1]!b_info_windl1type(B660)</f>
        <v>金融债</v>
      </c>
      <c r="M660" s="13">
        <f>[1]!b_info_couponrate(B660)</f>
        <v>4.04</v>
      </c>
      <c r="N660" s="14" t="str">
        <f>[1]!B_Info_ListedDate(B660)</f>
        <v>2017-04-12</v>
      </c>
      <c r="O660" s="14" t="str">
        <f>[1]!b_issue_firstissue(B660)</f>
        <v>2017-04-06</v>
      </c>
      <c r="P660" s="4">
        <f t="shared" ca="1" si="35"/>
        <v>42989</v>
      </c>
    </row>
    <row r="661" spans="2:16">
      <c r="B661" s="7">
        <v>170210</v>
      </c>
      <c r="C661" s="7">
        <v>4.2625000000000002</v>
      </c>
      <c r="D661" s="18" t="str">
        <f>[1]!b_info_name(B661)</f>
        <v>17国开10</v>
      </c>
      <c r="E661" s="19">
        <f>[1]!b_info_latestissurercreditrating(B661)</f>
        <v>0</v>
      </c>
      <c r="F661" s="20">
        <f ca="1">[1]!b_anal_day(B661,$A$5)/365</f>
        <v>9.5863013698630137</v>
      </c>
      <c r="G661" s="21">
        <f ca="1">[1]!b_anal_yield_cnbd(B661,$A$5)</f>
        <v>0</v>
      </c>
      <c r="H661" s="21">
        <f t="shared" ca="1" si="33"/>
        <v>426.25</v>
      </c>
      <c r="I661" s="21">
        <f ca="1">[1]!b_anal_yield_cnbd(B661,$A$7)</f>
        <v>0</v>
      </c>
      <c r="J661" s="21">
        <f t="shared" ca="1" si="34"/>
        <v>0</v>
      </c>
      <c r="K661" s="19" t="str">
        <f>[1]!s_info_Nature(B661)</f>
        <v>中央国有企业</v>
      </c>
      <c r="L661" s="19" t="str">
        <f>[1]!b_info_windl1type(B661)</f>
        <v>金融债</v>
      </c>
      <c r="M661" s="13">
        <f>[1]!b_info_couponrate(B661)</f>
        <v>4.04</v>
      </c>
      <c r="N661" s="14" t="str">
        <f>[1]!B_Info_ListedDate(B661)</f>
        <v>2017-04-12</v>
      </c>
      <c r="O661" s="14" t="str">
        <f>[1]!b_issue_firstissue(B661)</f>
        <v>2017-04-06</v>
      </c>
      <c r="P661" s="4">
        <f t="shared" ca="1" si="35"/>
        <v>42989</v>
      </c>
    </row>
    <row r="662" spans="2:16">
      <c r="B662" s="7">
        <v>170210</v>
      </c>
      <c r="C662" s="7">
        <v>4.2625000000000002</v>
      </c>
      <c r="D662" s="18" t="str">
        <f>[1]!b_info_name(B662)</f>
        <v>17国开10</v>
      </c>
      <c r="E662" s="19">
        <f>[1]!b_info_latestissurercreditrating(B662)</f>
        <v>0</v>
      </c>
      <c r="F662" s="20">
        <f ca="1">[1]!b_anal_day(B662,$A$5)/365</f>
        <v>9.5863013698630137</v>
      </c>
      <c r="G662" s="21">
        <f ca="1">[1]!b_anal_yield_cnbd(B662,$A$5)</f>
        <v>0</v>
      </c>
      <c r="H662" s="21">
        <f t="shared" ca="1" si="33"/>
        <v>426.25</v>
      </c>
      <c r="I662" s="21">
        <f ca="1">[1]!b_anal_yield_cnbd(B662,$A$7)</f>
        <v>0</v>
      </c>
      <c r="J662" s="21">
        <f t="shared" ca="1" si="34"/>
        <v>0</v>
      </c>
      <c r="K662" s="19" t="str">
        <f>[1]!s_info_Nature(B662)</f>
        <v>中央国有企业</v>
      </c>
      <c r="L662" s="19" t="str">
        <f>[1]!b_info_windl1type(B662)</f>
        <v>金融债</v>
      </c>
      <c r="M662" s="13">
        <f>[1]!b_info_couponrate(B662)</f>
        <v>4.04</v>
      </c>
      <c r="N662" s="14" t="str">
        <f>[1]!B_Info_ListedDate(B662)</f>
        <v>2017-04-12</v>
      </c>
      <c r="O662" s="14" t="str">
        <f>[1]!b_issue_firstissue(B662)</f>
        <v>2017-04-06</v>
      </c>
      <c r="P662" s="4">
        <f t="shared" ca="1" si="35"/>
        <v>42989</v>
      </c>
    </row>
    <row r="663" spans="2:16">
      <c r="B663" s="7">
        <v>170210</v>
      </c>
      <c r="C663" s="7">
        <v>4.2625000000000002</v>
      </c>
      <c r="D663" s="18" t="str">
        <f>[1]!b_info_name(B663)</f>
        <v>17国开10</v>
      </c>
      <c r="E663" s="19">
        <f>[1]!b_info_latestissurercreditrating(B663)</f>
        <v>0</v>
      </c>
      <c r="F663" s="20">
        <f ca="1">[1]!b_anal_day(B663,$A$5)/365</f>
        <v>9.5863013698630137</v>
      </c>
      <c r="G663" s="21">
        <f ca="1">[1]!b_anal_yield_cnbd(B663,$A$5)</f>
        <v>0</v>
      </c>
      <c r="H663" s="21">
        <f t="shared" ca="1" si="33"/>
        <v>426.25</v>
      </c>
      <c r="I663" s="21">
        <f ca="1">[1]!b_anal_yield_cnbd(B663,$A$7)</f>
        <v>0</v>
      </c>
      <c r="J663" s="21">
        <f t="shared" ca="1" si="34"/>
        <v>0</v>
      </c>
      <c r="K663" s="19" t="str">
        <f>[1]!s_info_Nature(B663)</f>
        <v>中央国有企业</v>
      </c>
      <c r="L663" s="19" t="str">
        <f>[1]!b_info_windl1type(B663)</f>
        <v>金融债</v>
      </c>
      <c r="M663" s="13">
        <f>[1]!b_info_couponrate(B663)</f>
        <v>4.04</v>
      </c>
      <c r="N663" s="14" t="str">
        <f>[1]!B_Info_ListedDate(B663)</f>
        <v>2017-04-12</v>
      </c>
      <c r="O663" s="14" t="str">
        <f>[1]!b_issue_firstissue(B663)</f>
        <v>2017-04-06</v>
      </c>
      <c r="P663" s="4">
        <f t="shared" ca="1" si="35"/>
        <v>42989</v>
      </c>
    </row>
    <row r="664" spans="2:16">
      <c r="B664" s="7">
        <v>170210</v>
      </c>
      <c r="C664" s="7">
        <v>4.2625000000000002</v>
      </c>
      <c r="D664" s="18" t="str">
        <f>[1]!b_info_name(B664)</f>
        <v>17国开10</v>
      </c>
      <c r="E664" s="19">
        <f>[1]!b_info_latestissurercreditrating(B664)</f>
        <v>0</v>
      </c>
      <c r="F664" s="20">
        <f ca="1">[1]!b_anal_day(B664,$A$5)/365</f>
        <v>9.5863013698630137</v>
      </c>
      <c r="G664" s="21">
        <f ca="1">[1]!b_anal_yield_cnbd(B664,$A$5)</f>
        <v>0</v>
      </c>
      <c r="H664" s="21">
        <f t="shared" ca="1" si="33"/>
        <v>426.25</v>
      </c>
      <c r="I664" s="21">
        <f ca="1">[1]!b_anal_yield_cnbd(B664,$A$7)</f>
        <v>0</v>
      </c>
      <c r="J664" s="21">
        <f t="shared" ca="1" si="34"/>
        <v>0</v>
      </c>
      <c r="K664" s="19" t="str">
        <f>[1]!s_info_Nature(B664)</f>
        <v>中央国有企业</v>
      </c>
      <c r="L664" s="19" t="str">
        <f>[1]!b_info_windl1type(B664)</f>
        <v>金融债</v>
      </c>
      <c r="M664" s="13">
        <f>[1]!b_info_couponrate(B664)</f>
        <v>4.04</v>
      </c>
      <c r="N664" s="14" t="str">
        <f>[1]!B_Info_ListedDate(B664)</f>
        <v>2017-04-12</v>
      </c>
      <c r="O664" s="14" t="str">
        <f>[1]!b_issue_firstissue(B664)</f>
        <v>2017-04-06</v>
      </c>
      <c r="P664" s="4">
        <f t="shared" ca="1" si="35"/>
        <v>42989</v>
      </c>
    </row>
    <row r="665" spans="2:16">
      <c r="B665" s="7">
        <v>170210</v>
      </c>
      <c r="C665" s="7">
        <v>4.2625000000000002</v>
      </c>
      <c r="D665" s="18" t="str">
        <f>[1]!b_info_name(B665)</f>
        <v>17国开10</v>
      </c>
      <c r="E665" s="19">
        <f>[1]!b_info_latestissurercreditrating(B665)</f>
        <v>0</v>
      </c>
      <c r="F665" s="20">
        <f ca="1">[1]!b_anal_day(B665,$A$5)/365</f>
        <v>9.5863013698630137</v>
      </c>
      <c r="G665" s="21">
        <f ca="1">[1]!b_anal_yield_cnbd(B665,$A$5)</f>
        <v>0</v>
      </c>
      <c r="H665" s="21">
        <f t="shared" ca="1" si="33"/>
        <v>426.25</v>
      </c>
      <c r="I665" s="21">
        <f ca="1">[1]!b_anal_yield_cnbd(B665,$A$7)</f>
        <v>0</v>
      </c>
      <c r="J665" s="21">
        <f t="shared" ca="1" si="34"/>
        <v>0</v>
      </c>
      <c r="K665" s="19" t="str">
        <f>[1]!s_info_Nature(B665)</f>
        <v>中央国有企业</v>
      </c>
      <c r="L665" s="19" t="str">
        <f>[1]!b_info_windl1type(B665)</f>
        <v>金融债</v>
      </c>
      <c r="M665" s="13">
        <f>[1]!b_info_couponrate(B665)</f>
        <v>4.04</v>
      </c>
      <c r="N665" s="14" t="str">
        <f>[1]!B_Info_ListedDate(B665)</f>
        <v>2017-04-12</v>
      </c>
      <c r="O665" s="14" t="str">
        <f>[1]!b_issue_firstissue(B665)</f>
        <v>2017-04-06</v>
      </c>
      <c r="P665" s="4">
        <f t="shared" ca="1" si="35"/>
        <v>42989</v>
      </c>
    </row>
    <row r="666" spans="2:16">
      <c r="B666" s="7">
        <v>170210</v>
      </c>
      <c r="C666" s="7">
        <v>4.2625000000000002</v>
      </c>
      <c r="D666" s="18" t="str">
        <f>[1]!b_info_name(B666)</f>
        <v>17国开10</v>
      </c>
      <c r="E666" s="19">
        <f>[1]!b_info_latestissurercreditrating(B666)</f>
        <v>0</v>
      </c>
      <c r="F666" s="20">
        <f ca="1">[1]!b_anal_day(B666,$A$5)/365</f>
        <v>9.5863013698630137</v>
      </c>
      <c r="G666" s="21">
        <f ca="1">[1]!b_anal_yield_cnbd(B666,$A$5)</f>
        <v>0</v>
      </c>
      <c r="H666" s="21">
        <f t="shared" ca="1" si="33"/>
        <v>426.25</v>
      </c>
      <c r="I666" s="21">
        <f ca="1">[1]!b_anal_yield_cnbd(B666,$A$7)</f>
        <v>0</v>
      </c>
      <c r="J666" s="21">
        <f t="shared" ca="1" si="34"/>
        <v>0</v>
      </c>
      <c r="K666" s="19" t="str">
        <f>[1]!s_info_Nature(B666)</f>
        <v>中央国有企业</v>
      </c>
      <c r="L666" s="19" t="str">
        <f>[1]!b_info_windl1type(B666)</f>
        <v>金融债</v>
      </c>
      <c r="M666" s="13">
        <f>[1]!b_info_couponrate(B666)</f>
        <v>4.04</v>
      </c>
      <c r="N666" s="14" t="str">
        <f>[1]!B_Info_ListedDate(B666)</f>
        <v>2017-04-12</v>
      </c>
      <c r="O666" s="14" t="str">
        <f>[1]!b_issue_firstissue(B666)</f>
        <v>2017-04-06</v>
      </c>
      <c r="P666" s="4">
        <f t="shared" ca="1" si="35"/>
        <v>42989</v>
      </c>
    </row>
    <row r="667" spans="2:16">
      <c r="B667" s="7">
        <v>170210</v>
      </c>
      <c r="C667" s="7">
        <v>4.2625000000000002</v>
      </c>
      <c r="D667" s="18" t="str">
        <f>[1]!b_info_name(B667)</f>
        <v>17国开10</v>
      </c>
      <c r="E667" s="19">
        <f>[1]!b_info_latestissurercreditrating(B667)</f>
        <v>0</v>
      </c>
      <c r="F667" s="20">
        <f ca="1">[1]!b_anal_day(B667,$A$5)/365</f>
        <v>9.5863013698630137</v>
      </c>
      <c r="G667" s="21">
        <f ca="1">[1]!b_anal_yield_cnbd(B667,$A$5)</f>
        <v>0</v>
      </c>
      <c r="H667" s="21">
        <f t="shared" ca="1" si="33"/>
        <v>426.25</v>
      </c>
      <c r="I667" s="21">
        <f ca="1">[1]!b_anal_yield_cnbd(B667,$A$7)</f>
        <v>0</v>
      </c>
      <c r="J667" s="21">
        <f t="shared" ca="1" si="34"/>
        <v>0</v>
      </c>
      <c r="K667" s="19" t="str">
        <f>[1]!s_info_Nature(B667)</f>
        <v>中央国有企业</v>
      </c>
      <c r="L667" s="19" t="str">
        <f>[1]!b_info_windl1type(B667)</f>
        <v>金融债</v>
      </c>
      <c r="M667" s="13">
        <f>[1]!b_info_couponrate(B667)</f>
        <v>4.04</v>
      </c>
      <c r="N667" s="14" t="str">
        <f>[1]!B_Info_ListedDate(B667)</f>
        <v>2017-04-12</v>
      </c>
      <c r="O667" s="14" t="str">
        <f>[1]!b_issue_firstissue(B667)</f>
        <v>2017-04-06</v>
      </c>
      <c r="P667" s="4">
        <f t="shared" ca="1" si="35"/>
        <v>42989</v>
      </c>
    </row>
    <row r="668" spans="2:16">
      <c r="B668" s="7">
        <v>170210</v>
      </c>
      <c r="C668" s="7">
        <v>4.2625000000000002</v>
      </c>
      <c r="D668" s="18" t="str">
        <f>[1]!b_info_name(B668)</f>
        <v>17国开10</v>
      </c>
      <c r="E668" s="19">
        <f>[1]!b_info_latestissurercreditrating(B668)</f>
        <v>0</v>
      </c>
      <c r="F668" s="20">
        <f ca="1">[1]!b_anal_day(B668,$A$5)/365</f>
        <v>9.5863013698630137</v>
      </c>
      <c r="G668" s="21">
        <f ca="1">[1]!b_anal_yield_cnbd(B668,$A$5)</f>
        <v>0</v>
      </c>
      <c r="H668" s="21">
        <f t="shared" ca="1" si="33"/>
        <v>426.25</v>
      </c>
      <c r="I668" s="21">
        <f ca="1">[1]!b_anal_yield_cnbd(B668,$A$7)</f>
        <v>0</v>
      </c>
      <c r="J668" s="21">
        <f t="shared" ca="1" si="34"/>
        <v>0</v>
      </c>
      <c r="K668" s="19" t="str">
        <f>[1]!s_info_Nature(B668)</f>
        <v>中央国有企业</v>
      </c>
      <c r="L668" s="19" t="str">
        <f>[1]!b_info_windl1type(B668)</f>
        <v>金融债</v>
      </c>
      <c r="M668" s="13">
        <f>[1]!b_info_couponrate(B668)</f>
        <v>4.04</v>
      </c>
      <c r="N668" s="14" t="str">
        <f>[1]!B_Info_ListedDate(B668)</f>
        <v>2017-04-12</v>
      </c>
      <c r="O668" s="14" t="str">
        <f>[1]!b_issue_firstissue(B668)</f>
        <v>2017-04-06</v>
      </c>
      <c r="P668" s="4">
        <f t="shared" ca="1" si="35"/>
        <v>42989</v>
      </c>
    </row>
    <row r="669" spans="2:16">
      <c r="B669" s="7">
        <v>170210</v>
      </c>
      <c r="C669" s="7">
        <v>4.2625000000000002</v>
      </c>
      <c r="D669" s="18" t="str">
        <f>[1]!b_info_name(B669)</f>
        <v>17国开10</v>
      </c>
      <c r="E669" s="19">
        <f>[1]!b_info_latestissurercreditrating(B669)</f>
        <v>0</v>
      </c>
      <c r="F669" s="20">
        <f ca="1">[1]!b_anal_day(B669,$A$5)/365</f>
        <v>9.5863013698630137</v>
      </c>
      <c r="G669" s="21">
        <f ca="1">[1]!b_anal_yield_cnbd(B669,$A$5)</f>
        <v>0</v>
      </c>
      <c r="H669" s="21">
        <f t="shared" ca="1" si="33"/>
        <v>426.25</v>
      </c>
      <c r="I669" s="21">
        <f ca="1">[1]!b_anal_yield_cnbd(B669,$A$7)</f>
        <v>0</v>
      </c>
      <c r="J669" s="21">
        <f t="shared" ca="1" si="34"/>
        <v>0</v>
      </c>
      <c r="K669" s="19" t="str">
        <f>[1]!s_info_Nature(B669)</f>
        <v>中央国有企业</v>
      </c>
      <c r="L669" s="19" t="str">
        <f>[1]!b_info_windl1type(B669)</f>
        <v>金融债</v>
      </c>
      <c r="M669" s="13">
        <f>[1]!b_info_couponrate(B669)</f>
        <v>4.04</v>
      </c>
      <c r="N669" s="14" t="str">
        <f>[1]!B_Info_ListedDate(B669)</f>
        <v>2017-04-12</v>
      </c>
      <c r="O669" s="14" t="str">
        <f>[1]!b_issue_firstissue(B669)</f>
        <v>2017-04-06</v>
      </c>
      <c r="P669" s="4">
        <f t="shared" ca="1" si="35"/>
        <v>42989</v>
      </c>
    </row>
    <row r="670" spans="2:16">
      <c r="B670" s="7">
        <v>170210</v>
      </c>
      <c r="C670" s="7">
        <v>4.2625000000000002</v>
      </c>
      <c r="D670" s="18" t="str">
        <f>[1]!b_info_name(B670)</f>
        <v>17国开10</v>
      </c>
      <c r="E670" s="19">
        <f>[1]!b_info_latestissurercreditrating(B670)</f>
        <v>0</v>
      </c>
      <c r="F670" s="20">
        <f ca="1">[1]!b_anal_day(B670,$A$5)/365</f>
        <v>9.5863013698630137</v>
      </c>
      <c r="G670" s="21">
        <f ca="1">[1]!b_anal_yield_cnbd(B670,$A$5)</f>
        <v>0</v>
      </c>
      <c r="H670" s="21">
        <f t="shared" ca="1" si="33"/>
        <v>426.25</v>
      </c>
      <c r="I670" s="21">
        <f ca="1">[1]!b_anal_yield_cnbd(B670,$A$7)</f>
        <v>0</v>
      </c>
      <c r="J670" s="21">
        <f t="shared" ca="1" si="34"/>
        <v>0</v>
      </c>
      <c r="K670" s="19" t="str">
        <f>[1]!s_info_Nature(B670)</f>
        <v>中央国有企业</v>
      </c>
      <c r="L670" s="19" t="str">
        <f>[1]!b_info_windl1type(B670)</f>
        <v>金融债</v>
      </c>
      <c r="M670" s="13">
        <f>[1]!b_info_couponrate(B670)</f>
        <v>4.04</v>
      </c>
      <c r="N670" s="14" t="str">
        <f>[1]!B_Info_ListedDate(B670)</f>
        <v>2017-04-12</v>
      </c>
      <c r="O670" s="14" t="str">
        <f>[1]!b_issue_firstissue(B670)</f>
        <v>2017-04-06</v>
      </c>
      <c r="P670" s="4">
        <f t="shared" ca="1" si="35"/>
        <v>42989</v>
      </c>
    </row>
    <row r="671" spans="2:16">
      <c r="B671" s="7">
        <v>170210</v>
      </c>
      <c r="C671" s="7">
        <v>4.2625000000000002</v>
      </c>
      <c r="D671" s="18" t="str">
        <f>[1]!b_info_name(B671)</f>
        <v>17国开10</v>
      </c>
      <c r="E671" s="19">
        <f>[1]!b_info_latestissurercreditrating(B671)</f>
        <v>0</v>
      </c>
      <c r="F671" s="20">
        <f ca="1">[1]!b_anal_day(B671,$A$5)/365</f>
        <v>9.5863013698630137</v>
      </c>
      <c r="G671" s="21">
        <f ca="1">[1]!b_anal_yield_cnbd(B671,$A$5)</f>
        <v>0</v>
      </c>
      <c r="H671" s="21">
        <f t="shared" ca="1" si="33"/>
        <v>426.25</v>
      </c>
      <c r="I671" s="21">
        <f ca="1">[1]!b_anal_yield_cnbd(B671,$A$7)</f>
        <v>0</v>
      </c>
      <c r="J671" s="21">
        <f t="shared" ca="1" si="34"/>
        <v>0</v>
      </c>
      <c r="K671" s="19" t="str">
        <f>[1]!s_info_Nature(B671)</f>
        <v>中央国有企业</v>
      </c>
      <c r="L671" s="19" t="str">
        <f>[1]!b_info_windl1type(B671)</f>
        <v>金融债</v>
      </c>
      <c r="M671" s="13">
        <f>[1]!b_info_couponrate(B671)</f>
        <v>4.04</v>
      </c>
      <c r="N671" s="14" t="str">
        <f>[1]!B_Info_ListedDate(B671)</f>
        <v>2017-04-12</v>
      </c>
      <c r="O671" s="14" t="str">
        <f>[1]!b_issue_firstissue(B671)</f>
        <v>2017-04-06</v>
      </c>
      <c r="P671" s="4">
        <f t="shared" ca="1" si="35"/>
        <v>42989</v>
      </c>
    </row>
    <row r="672" spans="2:16">
      <c r="B672" s="7">
        <v>170210</v>
      </c>
      <c r="C672" s="7">
        <v>4.2625000000000002</v>
      </c>
      <c r="D672" s="18" t="str">
        <f>[1]!b_info_name(B672)</f>
        <v>17国开10</v>
      </c>
      <c r="E672" s="19">
        <f>[1]!b_info_latestissurercreditrating(B672)</f>
        <v>0</v>
      </c>
      <c r="F672" s="20">
        <f ca="1">[1]!b_anal_day(B672,$A$5)/365</f>
        <v>9.5863013698630137</v>
      </c>
      <c r="G672" s="21">
        <f ca="1">[1]!b_anal_yield_cnbd(B672,$A$5)</f>
        <v>0</v>
      </c>
      <c r="H672" s="21">
        <f t="shared" ca="1" si="33"/>
        <v>426.25</v>
      </c>
      <c r="I672" s="21">
        <f ca="1">[1]!b_anal_yield_cnbd(B672,$A$7)</f>
        <v>0</v>
      </c>
      <c r="J672" s="21">
        <f t="shared" ca="1" si="34"/>
        <v>0</v>
      </c>
      <c r="K672" s="19" t="str">
        <f>[1]!s_info_Nature(B672)</f>
        <v>中央国有企业</v>
      </c>
      <c r="L672" s="19" t="str">
        <f>[1]!b_info_windl1type(B672)</f>
        <v>金融债</v>
      </c>
      <c r="M672" s="13">
        <f>[1]!b_info_couponrate(B672)</f>
        <v>4.04</v>
      </c>
      <c r="N672" s="14" t="str">
        <f>[1]!B_Info_ListedDate(B672)</f>
        <v>2017-04-12</v>
      </c>
      <c r="O672" s="14" t="str">
        <f>[1]!b_issue_firstissue(B672)</f>
        <v>2017-04-06</v>
      </c>
      <c r="P672" s="4">
        <f t="shared" ca="1" si="35"/>
        <v>42989</v>
      </c>
    </row>
    <row r="673" spans="2:16">
      <c r="B673" s="7">
        <v>170210</v>
      </c>
      <c r="C673" s="7">
        <v>4.2625000000000002</v>
      </c>
      <c r="D673" s="18" t="str">
        <f>[1]!b_info_name(B673)</f>
        <v>17国开10</v>
      </c>
      <c r="E673" s="19">
        <f>[1]!b_info_latestissurercreditrating(B673)</f>
        <v>0</v>
      </c>
      <c r="F673" s="20">
        <f ca="1">[1]!b_anal_day(B673,$A$5)/365</f>
        <v>9.5863013698630137</v>
      </c>
      <c r="G673" s="21">
        <f ca="1">[1]!b_anal_yield_cnbd(B673,$A$5)</f>
        <v>0</v>
      </c>
      <c r="H673" s="21">
        <f t="shared" ca="1" si="33"/>
        <v>426.25</v>
      </c>
      <c r="I673" s="21">
        <f ca="1">[1]!b_anal_yield_cnbd(B673,$A$7)</f>
        <v>0</v>
      </c>
      <c r="J673" s="21">
        <f t="shared" ca="1" si="34"/>
        <v>0</v>
      </c>
      <c r="K673" s="19" t="str">
        <f>[1]!s_info_Nature(B673)</f>
        <v>中央国有企业</v>
      </c>
      <c r="L673" s="19" t="str">
        <f>[1]!b_info_windl1type(B673)</f>
        <v>金融债</v>
      </c>
      <c r="M673" s="13">
        <f>[1]!b_info_couponrate(B673)</f>
        <v>4.04</v>
      </c>
      <c r="N673" s="14" t="str">
        <f>[1]!B_Info_ListedDate(B673)</f>
        <v>2017-04-12</v>
      </c>
      <c r="O673" s="14" t="str">
        <f>[1]!b_issue_firstissue(B673)</f>
        <v>2017-04-06</v>
      </c>
      <c r="P673" s="4">
        <f t="shared" ca="1" si="35"/>
        <v>42989</v>
      </c>
    </row>
    <row r="674" spans="2:16">
      <c r="B674" s="7">
        <v>170210</v>
      </c>
      <c r="C674" s="7">
        <v>4.2625000000000002</v>
      </c>
      <c r="D674" s="18" t="str">
        <f>[1]!b_info_name(B674)</f>
        <v>17国开10</v>
      </c>
      <c r="E674" s="19">
        <f>[1]!b_info_latestissurercreditrating(B674)</f>
        <v>0</v>
      </c>
      <c r="F674" s="20">
        <f ca="1">[1]!b_anal_day(B674,$A$5)/365</f>
        <v>9.5863013698630137</v>
      </c>
      <c r="G674" s="21">
        <f ca="1">[1]!b_anal_yield_cnbd(B674,$A$5)</f>
        <v>0</v>
      </c>
      <c r="H674" s="21">
        <f t="shared" ca="1" si="33"/>
        <v>426.25</v>
      </c>
      <c r="I674" s="21">
        <f ca="1">[1]!b_anal_yield_cnbd(B674,$A$7)</f>
        <v>0</v>
      </c>
      <c r="J674" s="21">
        <f t="shared" ca="1" si="34"/>
        <v>0</v>
      </c>
      <c r="K674" s="19" t="str">
        <f>[1]!s_info_Nature(B674)</f>
        <v>中央国有企业</v>
      </c>
      <c r="L674" s="19" t="str">
        <f>[1]!b_info_windl1type(B674)</f>
        <v>金融债</v>
      </c>
      <c r="M674" s="13">
        <f>[1]!b_info_couponrate(B674)</f>
        <v>4.04</v>
      </c>
      <c r="N674" s="14" t="str">
        <f>[1]!B_Info_ListedDate(B674)</f>
        <v>2017-04-12</v>
      </c>
      <c r="O674" s="14" t="str">
        <f>[1]!b_issue_firstissue(B674)</f>
        <v>2017-04-06</v>
      </c>
      <c r="P674" s="4">
        <f t="shared" ca="1" si="35"/>
        <v>42989</v>
      </c>
    </row>
    <row r="675" spans="2:16">
      <c r="B675" s="7">
        <v>170210</v>
      </c>
      <c r="C675" s="7">
        <v>4.2625000000000002</v>
      </c>
      <c r="D675" s="18" t="str">
        <f>[1]!b_info_name(B675)</f>
        <v>17国开10</v>
      </c>
      <c r="E675" s="19">
        <f>[1]!b_info_latestissurercreditrating(B675)</f>
        <v>0</v>
      </c>
      <c r="F675" s="20">
        <f ca="1">[1]!b_anal_day(B675,$A$5)/365</f>
        <v>9.5863013698630137</v>
      </c>
      <c r="G675" s="21">
        <f ca="1">[1]!b_anal_yield_cnbd(B675,$A$5)</f>
        <v>0</v>
      </c>
      <c r="H675" s="21">
        <f t="shared" ca="1" si="33"/>
        <v>426.25</v>
      </c>
      <c r="I675" s="21">
        <f ca="1">[1]!b_anal_yield_cnbd(B675,$A$7)</f>
        <v>0</v>
      </c>
      <c r="J675" s="21">
        <f t="shared" ca="1" si="34"/>
        <v>0</v>
      </c>
      <c r="K675" s="19" t="str">
        <f>[1]!s_info_Nature(B675)</f>
        <v>中央国有企业</v>
      </c>
      <c r="L675" s="19" t="str">
        <f>[1]!b_info_windl1type(B675)</f>
        <v>金融债</v>
      </c>
      <c r="M675" s="13">
        <f>[1]!b_info_couponrate(B675)</f>
        <v>4.04</v>
      </c>
      <c r="N675" s="14" t="str">
        <f>[1]!B_Info_ListedDate(B675)</f>
        <v>2017-04-12</v>
      </c>
      <c r="O675" s="14" t="str">
        <f>[1]!b_issue_firstissue(B675)</f>
        <v>2017-04-06</v>
      </c>
      <c r="P675" s="4">
        <f t="shared" ca="1" si="35"/>
        <v>42989</v>
      </c>
    </row>
    <row r="676" spans="2:16">
      <c r="B676" s="7">
        <v>170210</v>
      </c>
      <c r="C676" s="7">
        <v>4.2625000000000002</v>
      </c>
      <c r="D676" s="18" t="str">
        <f>[1]!b_info_name(B676)</f>
        <v>17国开10</v>
      </c>
      <c r="E676" s="19">
        <f>[1]!b_info_latestissurercreditrating(B676)</f>
        <v>0</v>
      </c>
      <c r="F676" s="20">
        <f ca="1">[1]!b_anal_day(B676,$A$5)/365</f>
        <v>9.5863013698630137</v>
      </c>
      <c r="G676" s="21">
        <f ca="1">[1]!b_anal_yield_cnbd(B676,$A$5)</f>
        <v>0</v>
      </c>
      <c r="H676" s="21">
        <f t="shared" ref="H676:H739" ca="1" si="36">(IF(C676&lt;0.1,C676*100,C676)-G676)*100</f>
        <v>426.25</v>
      </c>
      <c r="I676" s="21">
        <f ca="1">[1]!b_anal_yield_cnbd(B676,$A$7)</f>
        <v>0</v>
      </c>
      <c r="J676" s="21">
        <f t="shared" ref="J676:J739" ca="1" si="37">(G676-I676)*100</f>
        <v>0</v>
      </c>
      <c r="K676" s="19" t="str">
        <f>[1]!s_info_Nature(B676)</f>
        <v>中央国有企业</v>
      </c>
      <c r="L676" s="19" t="str">
        <f>[1]!b_info_windl1type(B676)</f>
        <v>金融债</v>
      </c>
      <c r="M676" s="13">
        <f>[1]!b_info_couponrate(B676)</f>
        <v>4.04</v>
      </c>
      <c r="N676" s="14" t="str">
        <f>[1]!B_Info_ListedDate(B676)</f>
        <v>2017-04-12</v>
      </c>
      <c r="O676" s="14" t="str">
        <f>[1]!b_issue_firstissue(B676)</f>
        <v>2017-04-06</v>
      </c>
      <c r="P676" s="4">
        <f t="shared" ref="P676:P739" ca="1" si="38">$A$2</f>
        <v>42989</v>
      </c>
    </row>
    <row r="677" spans="2:16">
      <c r="B677" s="7">
        <v>170210</v>
      </c>
      <c r="C677" s="7">
        <v>4.2625000000000002</v>
      </c>
      <c r="D677" s="18" t="str">
        <f>[1]!b_info_name(B677)</f>
        <v>17国开10</v>
      </c>
      <c r="E677" s="19">
        <f>[1]!b_info_latestissurercreditrating(B677)</f>
        <v>0</v>
      </c>
      <c r="F677" s="20">
        <f ca="1">[1]!b_anal_day(B677,$A$5)/365</f>
        <v>9.5863013698630137</v>
      </c>
      <c r="G677" s="21">
        <f ca="1">[1]!b_anal_yield_cnbd(B677,$A$5)</f>
        <v>0</v>
      </c>
      <c r="H677" s="21">
        <f t="shared" ca="1" si="36"/>
        <v>426.25</v>
      </c>
      <c r="I677" s="21">
        <f ca="1">[1]!b_anal_yield_cnbd(B677,$A$7)</f>
        <v>0</v>
      </c>
      <c r="J677" s="21">
        <f t="shared" ca="1" si="37"/>
        <v>0</v>
      </c>
      <c r="K677" s="19" t="str">
        <f>[1]!s_info_Nature(B677)</f>
        <v>中央国有企业</v>
      </c>
      <c r="L677" s="19" t="str">
        <f>[1]!b_info_windl1type(B677)</f>
        <v>金融债</v>
      </c>
      <c r="M677" s="13">
        <f>[1]!b_info_couponrate(B677)</f>
        <v>4.04</v>
      </c>
      <c r="N677" s="14" t="str">
        <f>[1]!B_Info_ListedDate(B677)</f>
        <v>2017-04-12</v>
      </c>
      <c r="O677" s="14" t="str">
        <f>[1]!b_issue_firstissue(B677)</f>
        <v>2017-04-06</v>
      </c>
      <c r="P677" s="4">
        <f t="shared" ca="1" si="38"/>
        <v>42989</v>
      </c>
    </row>
    <row r="678" spans="2:16">
      <c r="B678" s="7">
        <v>170210</v>
      </c>
      <c r="C678" s="7">
        <v>4.2625000000000002</v>
      </c>
      <c r="D678" s="18" t="str">
        <f>[1]!b_info_name(B678)</f>
        <v>17国开10</v>
      </c>
      <c r="E678" s="19">
        <f>[1]!b_info_latestissurercreditrating(B678)</f>
        <v>0</v>
      </c>
      <c r="F678" s="20">
        <f ca="1">[1]!b_anal_day(B678,$A$5)/365</f>
        <v>9.5863013698630137</v>
      </c>
      <c r="G678" s="21">
        <f ca="1">[1]!b_anal_yield_cnbd(B678,$A$5)</f>
        <v>0</v>
      </c>
      <c r="H678" s="21">
        <f t="shared" ca="1" si="36"/>
        <v>426.25</v>
      </c>
      <c r="I678" s="21">
        <f ca="1">[1]!b_anal_yield_cnbd(B678,$A$7)</f>
        <v>0</v>
      </c>
      <c r="J678" s="21">
        <f t="shared" ca="1" si="37"/>
        <v>0</v>
      </c>
      <c r="K678" s="19" t="str">
        <f>[1]!s_info_Nature(B678)</f>
        <v>中央国有企业</v>
      </c>
      <c r="L678" s="19" t="str">
        <f>[1]!b_info_windl1type(B678)</f>
        <v>金融债</v>
      </c>
      <c r="M678" s="13">
        <f>[1]!b_info_couponrate(B678)</f>
        <v>4.04</v>
      </c>
      <c r="N678" s="14" t="str">
        <f>[1]!B_Info_ListedDate(B678)</f>
        <v>2017-04-12</v>
      </c>
      <c r="O678" s="14" t="str">
        <f>[1]!b_issue_firstissue(B678)</f>
        <v>2017-04-06</v>
      </c>
      <c r="P678" s="4">
        <f t="shared" ca="1" si="38"/>
        <v>42989</v>
      </c>
    </row>
    <row r="679" spans="2:16">
      <c r="B679" s="7">
        <v>170210</v>
      </c>
      <c r="C679" s="7">
        <v>4.2625000000000002</v>
      </c>
      <c r="D679" s="18" t="str">
        <f>[1]!b_info_name(B679)</f>
        <v>17国开10</v>
      </c>
      <c r="E679" s="19">
        <f>[1]!b_info_latestissurercreditrating(B679)</f>
        <v>0</v>
      </c>
      <c r="F679" s="20">
        <f ca="1">[1]!b_anal_day(B679,$A$5)/365</f>
        <v>9.5863013698630137</v>
      </c>
      <c r="G679" s="21">
        <f ca="1">[1]!b_anal_yield_cnbd(B679,$A$5)</f>
        <v>0</v>
      </c>
      <c r="H679" s="21">
        <f t="shared" ca="1" si="36"/>
        <v>426.25</v>
      </c>
      <c r="I679" s="21">
        <f ca="1">[1]!b_anal_yield_cnbd(B679,$A$7)</f>
        <v>0</v>
      </c>
      <c r="J679" s="21">
        <f t="shared" ca="1" si="37"/>
        <v>0</v>
      </c>
      <c r="K679" s="19" t="str">
        <f>[1]!s_info_Nature(B679)</f>
        <v>中央国有企业</v>
      </c>
      <c r="L679" s="19" t="str">
        <f>[1]!b_info_windl1type(B679)</f>
        <v>金融债</v>
      </c>
      <c r="M679" s="13">
        <f>[1]!b_info_couponrate(B679)</f>
        <v>4.04</v>
      </c>
      <c r="N679" s="14" t="str">
        <f>[1]!B_Info_ListedDate(B679)</f>
        <v>2017-04-12</v>
      </c>
      <c r="O679" s="14" t="str">
        <f>[1]!b_issue_firstissue(B679)</f>
        <v>2017-04-06</v>
      </c>
      <c r="P679" s="4">
        <f t="shared" ca="1" si="38"/>
        <v>42989</v>
      </c>
    </row>
    <row r="680" spans="2:16">
      <c r="B680" s="7">
        <v>170210</v>
      </c>
      <c r="C680" s="7">
        <v>4.2625000000000002</v>
      </c>
      <c r="D680" s="18" t="str">
        <f>[1]!b_info_name(B680)</f>
        <v>17国开10</v>
      </c>
      <c r="E680" s="19">
        <f>[1]!b_info_latestissurercreditrating(B680)</f>
        <v>0</v>
      </c>
      <c r="F680" s="20">
        <f ca="1">[1]!b_anal_day(B680,$A$5)/365</f>
        <v>9.5863013698630137</v>
      </c>
      <c r="G680" s="21">
        <f ca="1">[1]!b_anal_yield_cnbd(B680,$A$5)</f>
        <v>0</v>
      </c>
      <c r="H680" s="21">
        <f t="shared" ca="1" si="36"/>
        <v>426.25</v>
      </c>
      <c r="I680" s="21">
        <f ca="1">[1]!b_anal_yield_cnbd(B680,$A$7)</f>
        <v>0</v>
      </c>
      <c r="J680" s="21">
        <f t="shared" ca="1" si="37"/>
        <v>0</v>
      </c>
      <c r="K680" s="19" t="str">
        <f>[1]!s_info_Nature(B680)</f>
        <v>中央国有企业</v>
      </c>
      <c r="L680" s="19" t="str">
        <f>[1]!b_info_windl1type(B680)</f>
        <v>金融债</v>
      </c>
      <c r="M680" s="13">
        <f>[1]!b_info_couponrate(B680)</f>
        <v>4.04</v>
      </c>
      <c r="N680" s="14" t="str">
        <f>[1]!B_Info_ListedDate(B680)</f>
        <v>2017-04-12</v>
      </c>
      <c r="O680" s="14" t="str">
        <f>[1]!b_issue_firstissue(B680)</f>
        <v>2017-04-06</v>
      </c>
      <c r="P680" s="4">
        <f t="shared" ca="1" si="38"/>
        <v>42989</v>
      </c>
    </row>
    <row r="681" spans="2:16">
      <c r="B681" s="7">
        <v>170210</v>
      </c>
      <c r="C681" s="7">
        <v>4.2625000000000002</v>
      </c>
      <c r="D681" s="18" t="str">
        <f>[1]!b_info_name(B681)</f>
        <v>17国开10</v>
      </c>
      <c r="E681" s="19">
        <f>[1]!b_info_latestissurercreditrating(B681)</f>
        <v>0</v>
      </c>
      <c r="F681" s="20">
        <f ca="1">[1]!b_anal_day(B681,$A$5)/365</f>
        <v>9.5863013698630137</v>
      </c>
      <c r="G681" s="21">
        <f ca="1">[1]!b_anal_yield_cnbd(B681,$A$5)</f>
        <v>0</v>
      </c>
      <c r="H681" s="21">
        <f t="shared" ca="1" si="36"/>
        <v>426.25</v>
      </c>
      <c r="I681" s="21">
        <f ca="1">[1]!b_anal_yield_cnbd(B681,$A$7)</f>
        <v>0</v>
      </c>
      <c r="J681" s="21">
        <f t="shared" ca="1" si="37"/>
        <v>0</v>
      </c>
      <c r="K681" s="19" t="str">
        <f>[1]!s_info_Nature(B681)</f>
        <v>中央国有企业</v>
      </c>
      <c r="L681" s="19" t="str">
        <f>[1]!b_info_windl1type(B681)</f>
        <v>金融债</v>
      </c>
      <c r="M681" s="13">
        <f>[1]!b_info_couponrate(B681)</f>
        <v>4.04</v>
      </c>
      <c r="N681" s="14" t="str">
        <f>[1]!B_Info_ListedDate(B681)</f>
        <v>2017-04-12</v>
      </c>
      <c r="O681" s="14" t="str">
        <f>[1]!b_issue_firstissue(B681)</f>
        <v>2017-04-06</v>
      </c>
      <c r="P681" s="4">
        <f t="shared" ca="1" si="38"/>
        <v>42989</v>
      </c>
    </row>
    <row r="682" spans="2:16">
      <c r="B682" s="7">
        <v>170210</v>
      </c>
      <c r="C682" s="7">
        <v>4.2625000000000002</v>
      </c>
      <c r="D682" s="18" t="str">
        <f>[1]!b_info_name(B682)</f>
        <v>17国开10</v>
      </c>
      <c r="E682" s="19">
        <f>[1]!b_info_latestissurercreditrating(B682)</f>
        <v>0</v>
      </c>
      <c r="F682" s="20">
        <f ca="1">[1]!b_anal_day(B682,$A$5)/365</f>
        <v>9.5863013698630137</v>
      </c>
      <c r="G682" s="21">
        <f ca="1">[1]!b_anal_yield_cnbd(B682,$A$5)</f>
        <v>0</v>
      </c>
      <c r="H682" s="21">
        <f t="shared" ca="1" si="36"/>
        <v>426.25</v>
      </c>
      <c r="I682" s="21">
        <f ca="1">[1]!b_anal_yield_cnbd(B682,$A$7)</f>
        <v>0</v>
      </c>
      <c r="J682" s="21">
        <f t="shared" ca="1" si="37"/>
        <v>0</v>
      </c>
      <c r="K682" s="19" t="str">
        <f>[1]!s_info_Nature(B682)</f>
        <v>中央国有企业</v>
      </c>
      <c r="L682" s="19" t="str">
        <f>[1]!b_info_windl1type(B682)</f>
        <v>金融债</v>
      </c>
      <c r="M682" s="13">
        <f>[1]!b_info_couponrate(B682)</f>
        <v>4.04</v>
      </c>
      <c r="N682" s="14" t="str">
        <f>[1]!B_Info_ListedDate(B682)</f>
        <v>2017-04-12</v>
      </c>
      <c r="O682" s="14" t="str">
        <f>[1]!b_issue_firstissue(B682)</f>
        <v>2017-04-06</v>
      </c>
      <c r="P682" s="4">
        <f t="shared" ca="1" si="38"/>
        <v>42989</v>
      </c>
    </row>
    <row r="683" spans="2:16">
      <c r="B683" s="7">
        <v>170210</v>
      </c>
      <c r="C683" s="7">
        <v>4.2625000000000002</v>
      </c>
      <c r="D683" s="18" t="str">
        <f>[1]!b_info_name(B683)</f>
        <v>17国开10</v>
      </c>
      <c r="E683" s="19">
        <f>[1]!b_info_latestissurercreditrating(B683)</f>
        <v>0</v>
      </c>
      <c r="F683" s="20">
        <f ca="1">[1]!b_anal_day(B683,$A$5)/365</f>
        <v>9.5863013698630137</v>
      </c>
      <c r="G683" s="21">
        <f ca="1">[1]!b_anal_yield_cnbd(B683,$A$5)</f>
        <v>0</v>
      </c>
      <c r="H683" s="21">
        <f t="shared" ca="1" si="36"/>
        <v>426.25</v>
      </c>
      <c r="I683" s="21">
        <f ca="1">[1]!b_anal_yield_cnbd(B683,$A$7)</f>
        <v>0</v>
      </c>
      <c r="J683" s="21">
        <f t="shared" ca="1" si="37"/>
        <v>0</v>
      </c>
      <c r="K683" s="19" t="str">
        <f>[1]!s_info_Nature(B683)</f>
        <v>中央国有企业</v>
      </c>
      <c r="L683" s="19" t="str">
        <f>[1]!b_info_windl1type(B683)</f>
        <v>金融债</v>
      </c>
      <c r="M683" s="13">
        <f>[1]!b_info_couponrate(B683)</f>
        <v>4.04</v>
      </c>
      <c r="N683" s="14" t="str">
        <f>[1]!B_Info_ListedDate(B683)</f>
        <v>2017-04-12</v>
      </c>
      <c r="O683" s="14" t="str">
        <f>[1]!b_issue_firstissue(B683)</f>
        <v>2017-04-06</v>
      </c>
      <c r="P683" s="4">
        <f t="shared" ca="1" si="38"/>
        <v>42989</v>
      </c>
    </row>
    <row r="684" spans="2:16">
      <c r="B684" s="7">
        <v>170210</v>
      </c>
      <c r="C684" s="7">
        <v>4.2625000000000002</v>
      </c>
      <c r="D684" s="18" t="str">
        <f>[1]!b_info_name(B684)</f>
        <v>17国开10</v>
      </c>
      <c r="E684" s="19">
        <f>[1]!b_info_latestissurercreditrating(B684)</f>
        <v>0</v>
      </c>
      <c r="F684" s="20">
        <f ca="1">[1]!b_anal_day(B684,$A$5)/365</f>
        <v>9.5863013698630137</v>
      </c>
      <c r="G684" s="21">
        <f ca="1">[1]!b_anal_yield_cnbd(B684,$A$5)</f>
        <v>0</v>
      </c>
      <c r="H684" s="21">
        <f t="shared" ca="1" si="36"/>
        <v>426.25</v>
      </c>
      <c r="I684" s="21">
        <f ca="1">[1]!b_anal_yield_cnbd(B684,$A$7)</f>
        <v>0</v>
      </c>
      <c r="J684" s="21">
        <f t="shared" ca="1" si="37"/>
        <v>0</v>
      </c>
      <c r="K684" s="19" t="str">
        <f>[1]!s_info_Nature(B684)</f>
        <v>中央国有企业</v>
      </c>
      <c r="L684" s="19" t="str">
        <f>[1]!b_info_windl1type(B684)</f>
        <v>金融债</v>
      </c>
      <c r="M684" s="13">
        <f>[1]!b_info_couponrate(B684)</f>
        <v>4.04</v>
      </c>
      <c r="N684" s="14" t="str">
        <f>[1]!B_Info_ListedDate(B684)</f>
        <v>2017-04-12</v>
      </c>
      <c r="O684" s="14" t="str">
        <f>[1]!b_issue_firstissue(B684)</f>
        <v>2017-04-06</v>
      </c>
      <c r="P684" s="4">
        <f t="shared" ca="1" si="38"/>
        <v>42989</v>
      </c>
    </row>
    <row r="685" spans="2:16">
      <c r="B685" s="7">
        <v>170210</v>
      </c>
      <c r="C685" s="7">
        <v>4.2625000000000002</v>
      </c>
      <c r="D685" s="18" t="str">
        <f>[1]!b_info_name(B685)</f>
        <v>17国开10</v>
      </c>
      <c r="E685" s="19">
        <f>[1]!b_info_latestissurercreditrating(B685)</f>
        <v>0</v>
      </c>
      <c r="F685" s="20">
        <f ca="1">[1]!b_anal_day(B685,$A$5)/365</f>
        <v>9.5863013698630137</v>
      </c>
      <c r="G685" s="21">
        <f ca="1">[1]!b_anal_yield_cnbd(B685,$A$5)</f>
        <v>0</v>
      </c>
      <c r="H685" s="21">
        <f t="shared" ca="1" si="36"/>
        <v>426.25</v>
      </c>
      <c r="I685" s="21">
        <f ca="1">[1]!b_anal_yield_cnbd(B685,$A$7)</f>
        <v>0</v>
      </c>
      <c r="J685" s="21">
        <f t="shared" ca="1" si="37"/>
        <v>0</v>
      </c>
      <c r="K685" s="19" t="str">
        <f>[1]!s_info_Nature(B685)</f>
        <v>中央国有企业</v>
      </c>
      <c r="L685" s="19" t="str">
        <f>[1]!b_info_windl1type(B685)</f>
        <v>金融债</v>
      </c>
      <c r="M685" s="13">
        <f>[1]!b_info_couponrate(B685)</f>
        <v>4.04</v>
      </c>
      <c r="N685" s="14" t="str">
        <f>[1]!B_Info_ListedDate(B685)</f>
        <v>2017-04-12</v>
      </c>
      <c r="O685" s="14" t="str">
        <f>[1]!b_issue_firstissue(B685)</f>
        <v>2017-04-06</v>
      </c>
      <c r="P685" s="4">
        <f t="shared" ca="1" si="38"/>
        <v>42989</v>
      </c>
    </row>
    <row r="686" spans="2:16">
      <c r="B686" s="7">
        <v>170210</v>
      </c>
      <c r="C686" s="7">
        <v>4.2625000000000002</v>
      </c>
      <c r="D686" s="18" t="str">
        <f>[1]!b_info_name(B686)</f>
        <v>17国开10</v>
      </c>
      <c r="E686" s="19">
        <f>[1]!b_info_latestissurercreditrating(B686)</f>
        <v>0</v>
      </c>
      <c r="F686" s="20">
        <f ca="1">[1]!b_anal_day(B686,$A$5)/365</f>
        <v>9.5863013698630137</v>
      </c>
      <c r="G686" s="21">
        <f ca="1">[1]!b_anal_yield_cnbd(B686,$A$5)</f>
        <v>0</v>
      </c>
      <c r="H686" s="21">
        <f t="shared" ca="1" si="36"/>
        <v>426.25</v>
      </c>
      <c r="I686" s="21">
        <f ca="1">[1]!b_anal_yield_cnbd(B686,$A$7)</f>
        <v>0</v>
      </c>
      <c r="J686" s="21">
        <f t="shared" ca="1" si="37"/>
        <v>0</v>
      </c>
      <c r="K686" s="19" t="str">
        <f>[1]!s_info_Nature(B686)</f>
        <v>中央国有企业</v>
      </c>
      <c r="L686" s="19" t="str">
        <f>[1]!b_info_windl1type(B686)</f>
        <v>金融债</v>
      </c>
      <c r="M686" s="13">
        <f>[1]!b_info_couponrate(B686)</f>
        <v>4.04</v>
      </c>
      <c r="N686" s="14" t="str">
        <f>[1]!B_Info_ListedDate(B686)</f>
        <v>2017-04-12</v>
      </c>
      <c r="O686" s="14" t="str">
        <f>[1]!b_issue_firstissue(B686)</f>
        <v>2017-04-06</v>
      </c>
      <c r="P686" s="4">
        <f t="shared" ca="1" si="38"/>
        <v>42989</v>
      </c>
    </row>
    <row r="687" spans="2:16">
      <c r="B687" s="7">
        <v>170210</v>
      </c>
      <c r="C687" s="7">
        <v>4.2625000000000002</v>
      </c>
      <c r="D687" s="18" t="str">
        <f>[1]!b_info_name(B687)</f>
        <v>17国开10</v>
      </c>
      <c r="E687" s="19">
        <f>[1]!b_info_latestissurercreditrating(B687)</f>
        <v>0</v>
      </c>
      <c r="F687" s="20">
        <f ca="1">[1]!b_anal_day(B687,$A$5)/365</f>
        <v>9.5863013698630137</v>
      </c>
      <c r="G687" s="21">
        <f ca="1">[1]!b_anal_yield_cnbd(B687,$A$5)</f>
        <v>0</v>
      </c>
      <c r="H687" s="21">
        <f t="shared" ca="1" si="36"/>
        <v>426.25</v>
      </c>
      <c r="I687" s="21">
        <f ca="1">[1]!b_anal_yield_cnbd(B687,$A$7)</f>
        <v>0</v>
      </c>
      <c r="J687" s="21">
        <f t="shared" ca="1" si="37"/>
        <v>0</v>
      </c>
      <c r="K687" s="19" t="str">
        <f>[1]!s_info_Nature(B687)</f>
        <v>中央国有企业</v>
      </c>
      <c r="L687" s="19" t="str">
        <f>[1]!b_info_windl1type(B687)</f>
        <v>金融债</v>
      </c>
      <c r="M687" s="13">
        <f>[1]!b_info_couponrate(B687)</f>
        <v>4.04</v>
      </c>
      <c r="N687" s="14" t="str">
        <f>[1]!B_Info_ListedDate(B687)</f>
        <v>2017-04-12</v>
      </c>
      <c r="O687" s="14" t="str">
        <f>[1]!b_issue_firstissue(B687)</f>
        <v>2017-04-06</v>
      </c>
      <c r="P687" s="4">
        <f t="shared" ca="1" si="38"/>
        <v>42989</v>
      </c>
    </row>
    <row r="688" spans="2:16">
      <c r="B688" s="7">
        <v>170210</v>
      </c>
      <c r="C688" s="7">
        <v>4.2625000000000002</v>
      </c>
      <c r="D688" s="18" t="str">
        <f>[1]!b_info_name(B688)</f>
        <v>17国开10</v>
      </c>
      <c r="E688" s="19">
        <f>[1]!b_info_latestissurercreditrating(B688)</f>
        <v>0</v>
      </c>
      <c r="F688" s="20">
        <f ca="1">[1]!b_anal_day(B688,$A$5)/365</f>
        <v>9.5863013698630137</v>
      </c>
      <c r="G688" s="21">
        <f ca="1">[1]!b_anal_yield_cnbd(B688,$A$5)</f>
        <v>0</v>
      </c>
      <c r="H688" s="21">
        <f t="shared" ca="1" si="36"/>
        <v>426.25</v>
      </c>
      <c r="I688" s="21">
        <f ca="1">[1]!b_anal_yield_cnbd(B688,$A$7)</f>
        <v>0</v>
      </c>
      <c r="J688" s="21">
        <f t="shared" ca="1" si="37"/>
        <v>0</v>
      </c>
      <c r="K688" s="19" t="str">
        <f>[1]!s_info_Nature(B688)</f>
        <v>中央国有企业</v>
      </c>
      <c r="L688" s="19" t="str">
        <f>[1]!b_info_windl1type(B688)</f>
        <v>金融债</v>
      </c>
      <c r="M688" s="13">
        <f>[1]!b_info_couponrate(B688)</f>
        <v>4.04</v>
      </c>
      <c r="N688" s="14" t="str">
        <f>[1]!B_Info_ListedDate(B688)</f>
        <v>2017-04-12</v>
      </c>
      <c r="O688" s="14" t="str">
        <f>[1]!b_issue_firstissue(B688)</f>
        <v>2017-04-06</v>
      </c>
      <c r="P688" s="4">
        <f t="shared" ca="1" si="38"/>
        <v>42989</v>
      </c>
    </row>
    <row r="689" spans="2:16">
      <c r="B689" s="7">
        <v>170210</v>
      </c>
      <c r="C689" s="7">
        <v>4.2625000000000002</v>
      </c>
      <c r="D689" s="18" t="str">
        <f>[1]!b_info_name(B689)</f>
        <v>17国开10</v>
      </c>
      <c r="E689" s="19">
        <f>[1]!b_info_latestissurercreditrating(B689)</f>
        <v>0</v>
      </c>
      <c r="F689" s="20">
        <f ca="1">[1]!b_anal_day(B689,$A$5)/365</f>
        <v>9.5863013698630137</v>
      </c>
      <c r="G689" s="21">
        <f ca="1">[1]!b_anal_yield_cnbd(B689,$A$5)</f>
        <v>0</v>
      </c>
      <c r="H689" s="21">
        <f t="shared" ca="1" si="36"/>
        <v>426.25</v>
      </c>
      <c r="I689" s="21">
        <f ca="1">[1]!b_anal_yield_cnbd(B689,$A$7)</f>
        <v>0</v>
      </c>
      <c r="J689" s="21">
        <f t="shared" ca="1" si="37"/>
        <v>0</v>
      </c>
      <c r="K689" s="19" t="str">
        <f>[1]!s_info_Nature(B689)</f>
        <v>中央国有企业</v>
      </c>
      <c r="L689" s="19" t="str">
        <f>[1]!b_info_windl1type(B689)</f>
        <v>金融债</v>
      </c>
      <c r="M689" s="13">
        <f>[1]!b_info_couponrate(B689)</f>
        <v>4.04</v>
      </c>
      <c r="N689" s="14" t="str">
        <f>[1]!B_Info_ListedDate(B689)</f>
        <v>2017-04-12</v>
      </c>
      <c r="O689" s="14" t="str">
        <f>[1]!b_issue_firstissue(B689)</f>
        <v>2017-04-06</v>
      </c>
      <c r="P689" s="4">
        <f t="shared" ca="1" si="38"/>
        <v>42989</v>
      </c>
    </row>
    <row r="690" spans="2:16">
      <c r="B690" s="7">
        <v>170210</v>
      </c>
      <c r="C690" s="7">
        <v>4.2625000000000002</v>
      </c>
      <c r="D690" s="18" t="str">
        <f>[1]!b_info_name(B690)</f>
        <v>17国开10</v>
      </c>
      <c r="E690" s="19">
        <f>[1]!b_info_latestissurercreditrating(B690)</f>
        <v>0</v>
      </c>
      <c r="F690" s="20">
        <f ca="1">[1]!b_anal_day(B690,$A$5)/365</f>
        <v>9.5863013698630137</v>
      </c>
      <c r="G690" s="21">
        <f ca="1">[1]!b_anal_yield_cnbd(B690,$A$5)</f>
        <v>0</v>
      </c>
      <c r="H690" s="21">
        <f t="shared" ca="1" si="36"/>
        <v>426.25</v>
      </c>
      <c r="I690" s="21">
        <f ca="1">[1]!b_anal_yield_cnbd(B690,$A$7)</f>
        <v>0</v>
      </c>
      <c r="J690" s="21">
        <f t="shared" ca="1" si="37"/>
        <v>0</v>
      </c>
      <c r="K690" s="19" t="str">
        <f>[1]!s_info_Nature(B690)</f>
        <v>中央国有企业</v>
      </c>
      <c r="L690" s="19" t="str">
        <f>[1]!b_info_windl1type(B690)</f>
        <v>金融债</v>
      </c>
      <c r="M690" s="13">
        <f>[1]!b_info_couponrate(B690)</f>
        <v>4.04</v>
      </c>
      <c r="N690" s="14" t="str">
        <f>[1]!B_Info_ListedDate(B690)</f>
        <v>2017-04-12</v>
      </c>
      <c r="O690" s="14" t="str">
        <f>[1]!b_issue_firstissue(B690)</f>
        <v>2017-04-06</v>
      </c>
      <c r="P690" s="4">
        <f t="shared" ca="1" si="38"/>
        <v>42989</v>
      </c>
    </row>
    <row r="691" spans="2:16">
      <c r="B691" s="7">
        <v>170210</v>
      </c>
      <c r="C691" s="7">
        <v>4.26</v>
      </c>
      <c r="D691" s="18" t="str">
        <f>[1]!b_info_name(B691)</f>
        <v>17国开10</v>
      </c>
      <c r="E691" s="19">
        <f>[1]!b_info_latestissurercreditrating(B691)</f>
        <v>0</v>
      </c>
      <c r="F691" s="20">
        <f ca="1">[1]!b_anal_day(B691,$A$5)/365</f>
        <v>9.5863013698630137</v>
      </c>
      <c r="G691" s="21">
        <f ca="1">[1]!b_anal_yield_cnbd(B691,$A$5)</f>
        <v>0</v>
      </c>
      <c r="H691" s="21">
        <f t="shared" ca="1" si="36"/>
        <v>426</v>
      </c>
      <c r="I691" s="21">
        <f ca="1">[1]!b_anal_yield_cnbd(B691,$A$7)</f>
        <v>0</v>
      </c>
      <c r="J691" s="21">
        <f t="shared" ca="1" si="37"/>
        <v>0</v>
      </c>
      <c r="K691" s="19" t="str">
        <f>[1]!s_info_Nature(B691)</f>
        <v>中央国有企业</v>
      </c>
      <c r="L691" s="19" t="str">
        <f>[1]!b_info_windl1type(B691)</f>
        <v>金融债</v>
      </c>
      <c r="M691" s="13">
        <f>[1]!b_info_couponrate(B691)</f>
        <v>4.04</v>
      </c>
      <c r="N691" s="14" t="str">
        <f>[1]!B_Info_ListedDate(B691)</f>
        <v>2017-04-12</v>
      </c>
      <c r="O691" s="14" t="str">
        <f>[1]!b_issue_firstissue(B691)</f>
        <v>2017-04-06</v>
      </c>
      <c r="P691" s="4">
        <f t="shared" ca="1" si="38"/>
        <v>42989</v>
      </c>
    </row>
    <row r="692" spans="2:16">
      <c r="B692" s="7">
        <v>170210</v>
      </c>
      <c r="C692" s="7">
        <v>4.26</v>
      </c>
      <c r="D692" s="18" t="str">
        <f>[1]!b_info_name(B692)</f>
        <v>17国开10</v>
      </c>
      <c r="E692" s="19">
        <f>[1]!b_info_latestissurercreditrating(B692)</f>
        <v>0</v>
      </c>
      <c r="F692" s="20">
        <f ca="1">[1]!b_anal_day(B692,$A$5)/365</f>
        <v>9.5863013698630137</v>
      </c>
      <c r="G692" s="21">
        <f ca="1">[1]!b_anal_yield_cnbd(B692,$A$5)</f>
        <v>0</v>
      </c>
      <c r="H692" s="21">
        <f t="shared" ca="1" si="36"/>
        <v>426</v>
      </c>
      <c r="I692" s="21">
        <f ca="1">[1]!b_anal_yield_cnbd(B692,$A$7)</f>
        <v>0</v>
      </c>
      <c r="J692" s="21">
        <f t="shared" ca="1" si="37"/>
        <v>0</v>
      </c>
      <c r="K692" s="19" t="str">
        <f>[1]!s_info_Nature(B692)</f>
        <v>中央国有企业</v>
      </c>
      <c r="L692" s="19" t="str">
        <f>[1]!b_info_windl1type(B692)</f>
        <v>金融债</v>
      </c>
      <c r="M692" s="13">
        <f>[1]!b_info_couponrate(B692)</f>
        <v>4.04</v>
      </c>
      <c r="N692" s="14" t="str">
        <f>[1]!B_Info_ListedDate(B692)</f>
        <v>2017-04-12</v>
      </c>
      <c r="O692" s="14" t="str">
        <f>[1]!b_issue_firstissue(B692)</f>
        <v>2017-04-06</v>
      </c>
      <c r="P692" s="4">
        <f t="shared" ca="1" si="38"/>
        <v>42989</v>
      </c>
    </row>
    <row r="693" spans="2:16">
      <c r="B693" s="7">
        <v>170210</v>
      </c>
      <c r="C693" s="7">
        <v>4.26</v>
      </c>
      <c r="D693" s="18" t="str">
        <f>[1]!b_info_name(B693)</f>
        <v>17国开10</v>
      </c>
      <c r="E693" s="19">
        <f>[1]!b_info_latestissurercreditrating(B693)</f>
        <v>0</v>
      </c>
      <c r="F693" s="20">
        <f ca="1">[1]!b_anal_day(B693,$A$5)/365</f>
        <v>9.5863013698630137</v>
      </c>
      <c r="G693" s="21">
        <f ca="1">[1]!b_anal_yield_cnbd(B693,$A$5)</f>
        <v>0</v>
      </c>
      <c r="H693" s="21">
        <f t="shared" ca="1" si="36"/>
        <v>426</v>
      </c>
      <c r="I693" s="21">
        <f ca="1">[1]!b_anal_yield_cnbd(B693,$A$7)</f>
        <v>0</v>
      </c>
      <c r="J693" s="21">
        <f t="shared" ca="1" si="37"/>
        <v>0</v>
      </c>
      <c r="K693" s="19" t="str">
        <f>[1]!s_info_Nature(B693)</f>
        <v>中央国有企业</v>
      </c>
      <c r="L693" s="19" t="str">
        <f>[1]!b_info_windl1type(B693)</f>
        <v>金融债</v>
      </c>
      <c r="M693" s="13">
        <f>[1]!b_info_couponrate(B693)</f>
        <v>4.04</v>
      </c>
      <c r="N693" s="14" t="str">
        <f>[1]!B_Info_ListedDate(B693)</f>
        <v>2017-04-12</v>
      </c>
      <c r="O693" s="14" t="str">
        <f>[1]!b_issue_firstissue(B693)</f>
        <v>2017-04-06</v>
      </c>
      <c r="P693" s="4">
        <f t="shared" ca="1" si="38"/>
        <v>42989</v>
      </c>
    </row>
    <row r="694" spans="2:16">
      <c r="B694" s="7">
        <v>170210</v>
      </c>
      <c r="C694" s="7">
        <v>4.26</v>
      </c>
      <c r="D694" s="18" t="str">
        <f>[1]!b_info_name(B694)</f>
        <v>17国开10</v>
      </c>
      <c r="E694" s="19">
        <f>[1]!b_info_latestissurercreditrating(B694)</f>
        <v>0</v>
      </c>
      <c r="F694" s="20">
        <f ca="1">[1]!b_anal_day(B694,$A$5)/365</f>
        <v>9.5863013698630137</v>
      </c>
      <c r="G694" s="21">
        <f ca="1">[1]!b_anal_yield_cnbd(B694,$A$5)</f>
        <v>0</v>
      </c>
      <c r="H694" s="21">
        <f t="shared" ca="1" si="36"/>
        <v>426</v>
      </c>
      <c r="I694" s="21">
        <f ca="1">[1]!b_anal_yield_cnbd(B694,$A$7)</f>
        <v>0</v>
      </c>
      <c r="J694" s="21">
        <f t="shared" ca="1" si="37"/>
        <v>0</v>
      </c>
      <c r="K694" s="19" t="str">
        <f>[1]!s_info_Nature(B694)</f>
        <v>中央国有企业</v>
      </c>
      <c r="L694" s="19" t="str">
        <f>[1]!b_info_windl1type(B694)</f>
        <v>金融债</v>
      </c>
      <c r="M694" s="13">
        <f>[1]!b_info_couponrate(B694)</f>
        <v>4.04</v>
      </c>
      <c r="N694" s="14" t="str">
        <f>[1]!B_Info_ListedDate(B694)</f>
        <v>2017-04-12</v>
      </c>
      <c r="O694" s="14" t="str">
        <f>[1]!b_issue_firstissue(B694)</f>
        <v>2017-04-06</v>
      </c>
      <c r="P694" s="4">
        <f t="shared" ca="1" si="38"/>
        <v>42989</v>
      </c>
    </row>
    <row r="695" spans="2:16">
      <c r="B695" s="7">
        <v>170210</v>
      </c>
      <c r="C695" s="7">
        <v>4.26</v>
      </c>
      <c r="D695" s="18" t="str">
        <f>[1]!b_info_name(B695)</f>
        <v>17国开10</v>
      </c>
      <c r="E695" s="19">
        <f>[1]!b_info_latestissurercreditrating(B695)</f>
        <v>0</v>
      </c>
      <c r="F695" s="20">
        <f ca="1">[1]!b_anal_day(B695,$A$5)/365</f>
        <v>9.5863013698630137</v>
      </c>
      <c r="G695" s="21">
        <f ca="1">[1]!b_anal_yield_cnbd(B695,$A$5)</f>
        <v>0</v>
      </c>
      <c r="H695" s="21">
        <f t="shared" ca="1" si="36"/>
        <v>426</v>
      </c>
      <c r="I695" s="21">
        <f ca="1">[1]!b_anal_yield_cnbd(B695,$A$7)</f>
        <v>0</v>
      </c>
      <c r="J695" s="21">
        <f t="shared" ca="1" si="37"/>
        <v>0</v>
      </c>
      <c r="K695" s="19" t="str">
        <f>[1]!s_info_Nature(B695)</f>
        <v>中央国有企业</v>
      </c>
      <c r="L695" s="19" t="str">
        <f>[1]!b_info_windl1type(B695)</f>
        <v>金融债</v>
      </c>
      <c r="M695" s="13">
        <f>[1]!b_info_couponrate(B695)</f>
        <v>4.04</v>
      </c>
      <c r="N695" s="14" t="str">
        <f>[1]!B_Info_ListedDate(B695)</f>
        <v>2017-04-12</v>
      </c>
      <c r="O695" s="14" t="str">
        <f>[1]!b_issue_firstissue(B695)</f>
        <v>2017-04-06</v>
      </c>
      <c r="P695" s="4">
        <f t="shared" ca="1" si="38"/>
        <v>42989</v>
      </c>
    </row>
    <row r="696" spans="2:16">
      <c r="B696" s="7">
        <v>170210</v>
      </c>
      <c r="C696" s="7">
        <v>4.26</v>
      </c>
      <c r="D696" s="18" t="str">
        <f>[1]!b_info_name(B696)</f>
        <v>17国开10</v>
      </c>
      <c r="E696" s="19">
        <f>[1]!b_info_latestissurercreditrating(B696)</f>
        <v>0</v>
      </c>
      <c r="F696" s="20">
        <f ca="1">[1]!b_anal_day(B696,$A$5)/365</f>
        <v>9.5863013698630137</v>
      </c>
      <c r="G696" s="21">
        <f ca="1">[1]!b_anal_yield_cnbd(B696,$A$5)</f>
        <v>0</v>
      </c>
      <c r="H696" s="21">
        <f t="shared" ca="1" si="36"/>
        <v>426</v>
      </c>
      <c r="I696" s="21">
        <f ca="1">[1]!b_anal_yield_cnbd(B696,$A$7)</f>
        <v>0</v>
      </c>
      <c r="J696" s="21">
        <f t="shared" ca="1" si="37"/>
        <v>0</v>
      </c>
      <c r="K696" s="19" t="str">
        <f>[1]!s_info_Nature(B696)</f>
        <v>中央国有企业</v>
      </c>
      <c r="L696" s="19" t="str">
        <f>[1]!b_info_windl1type(B696)</f>
        <v>金融债</v>
      </c>
      <c r="M696" s="13">
        <f>[1]!b_info_couponrate(B696)</f>
        <v>4.04</v>
      </c>
      <c r="N696" s="14" t="str">
        <f>[1]!B_Info_ListedDate(B696)</f>
        <v>2017-04-12</v>
      </c>
      <c r="O696" s="14" t="str">
        <f>[1]!b_issue_firstissue(B696)</f>
        <v>2017-04-06</v>
      </c>
      <c r="P696" s="4">
        <f t="shared" ca="1" si="38"/>
        <v>42989</v>
      </c>
    </row>
    <row r="697" spans="2:16">
      <c r="B697" s="7">
        <v>170210</v>
      </c>
      <c r="C697" s="7">
        <v>4.26</v>
      </c>
      <c r="D697" s="18" t="str">
        <f>[1]!b_info_name(B697)</f>
        <v>17国开10</v>
      </c>
      <c r="E697" s="19">
        <f>[1]!b_info_latestissurercreditrating(B697)</f>
        <v>0</v>
      </c>
      <c r="F697" s="20">
        <f ca="1">[1]!b_anal_day(B697,$A$5)/365</f>
        <v>9.5863013698630137</v>
      </c>
      <c r="G697" s="21">
        <f ca="1">[1]!b_anal_yield_cnbd(B697,$A$5)</f>
        <v>0</v>
      </c>
      <c r="H697" s="21">
        <f t="shared" ca="1" si="36"/>
        <v>426</v>
      </c>
      <c r="I697" s="21">
        <f ca="1">[1]!b_anal_yield_cnbd(B697,$A$7)</f>
        <v>0</v>
      </c>
      <c r="J697" s="21">
        <f t="shared" ca="1" si="37"/>
        <v>0</v>
      </c>
      <c r="K697" s="19" t="str">
        <f>[1]!s_info_Nature(B697)</f>
        <v>中央国有企业</v>
      </c>
      <c r="L697" s="19" t="str">
        <f>[1]!b_info_windl1type(B697)</f>
        <v>金融债</v>
      </c>
      <c r="M697" s="13">
        <f>[1]!b_info_couponrate(B697)</f>
        <v>4.04</v>
      </c>
      <c r="N697" s="14" t="str">
        <f>[1]!B_Info_ListedDate(B697)</f>
        <v>2017-04-12</v>
      </c>
      <c r="O697" s="14" t="str">
        <f>[1]!b_issue_firstissue(B697)</f>
        <v>2017-04-06</v>
      </c>
      <c r="P697" s="4">
        <f t="shared" ca="1" si="38"/>
        <v>42989</v>
      </c>
    </row>
    <row r="698" spans="2:16">
      <c r="B698" s="7">
        <v>170210</v>
      </c>
      <c r="C698" s="7">
        <v>4.26</v>
      </c>
      <c r="D698" s="18" t="str">
        <f>[1]!b_info_name(B698)</f>
        <v>17国开10</v>
      </c>
      <c r="E698" s="19">
        <f>[1]!b_info_latestissurercreditrating(B698)</f>
        <v>0</v>
      </c>
      <c r="F698" s="20">
        <f ca="1">[1]!b_anal_day(B698,$A$5)/365</f>
        <v>9.5863013698630137</v>
      </c>
      <c r="G698" s="21">
        <f ca="1">[1]!b_anal_yield_cnbd(B698,$A$5)</f>
        <v>0</v>
      </c>
      <c r="H698" s="21">
        <f t="shared" ca="1" si="36"/>
        <v>426</v>
      </c>
      <c r="I698" s="21">
        <f ca="1">[1]!b_anal_yield_cnbd(B698,$A$7)</f>
        <v>0</v>
      </c>
      <c r="J698" s="21">
        <f t="shared" ca="1" si="37"/>
        <v>0</v>
      </c>
      <c r="K698" s="19" t="str">
        <f>[1]!s_info_Nature(B698)</f>
        <v>中央国有企业</v>
      </c>
      <c r="L698" s="19" t="str">
        <f>[1]!b_info_windl1type(B698)</f>
        <v>金融债</v>
      </c>
      <c r="M698" s="13">
        <f>[1]!b_info_couponrate(B698)</f>
        <v>4.04</v>
      </c>
      <c r="N698" s="14" t="str">
        <f>[1]!B_Info_ListedDate(B698)</f>
        <v>2017-04-12</v>
      </c>
      <c r="O698" s="14" t="str">
        <f>[1]!b_issue_firstissue(B698)</f>
        <v>2017-04-06</v>
      </c>
      <c r="P698" s="4">
        <f t="shared" ca="1" si="38"/>
        <v>42989</v>
      </c>
    </row>
    <row r="699" spans="2:16">
      <c r="B699" s="7">
        <v>170210</v>
      </c>
      <c r="C699" s="7">
        <v>4.26</v>
      </c>
      <c r="D699" s="18" t="str">
        <f>[1]!b_info_name(B699)</f>
        <v>17国开10</v>
      </c>
      <c r="E699" s="19">
        <f>[1]!b_info_latestissurercreditrating(B699)</f>
        <v>0</v>
      </c>
      <c r="F699" s="20">
        <f ca="1">[1]!b_anal_day(B699,$A$5)/365</f>
        <v>9.5863013698630137</v>
      </c>
      <c r="G699" s="21">
        <f ca="1">[1]!b_anal_yield_cnbd(B699,$A$5)</f>
        <v>0</v>
      </c>
      <c r="H699" s="21">
        <f t="shared" ca="1" si="36"/>
        <v>426</v>
      </c>
      <c r="I699" s="21">
        <f ca="1">[1]!b_anal_yield_cnbd(B699,$A$7)</f>
        <v>0</v>
      </c>
      <c r="J699" s="21">
        <f t="shared" ca="1" si="37"/>
        <v>0</v>
      </c>
      <c r="K699" s="19" t="str">
        <f>[1]!s_info_Nature(B699)</f>
        <v>中央国有企业</v>
      </c>
      <c r="L699" s="19" t="str">
        <f>[1]!b_info_windl1type(B699)</f>
        <v>金融债</v>
      </c>
      <c r="M699" s="13">
        <f>[1]!b_info_couponrate(B699)</f>
        <v>4.04</v>
      </c>
      <c r="N699" s="14" t="str">
        <f>[1]!B_Info_ListedDate(B699)</f>
        <v>2017-04-12</v>
      </c>
      <c r="O699" s="14" t="str">
        <f>[1]!b_issue_firstissue(B699)</f>
        <v>2017-04-06</v>
      </c>
      <c r="P699" s="4">
        <f t="shared" ca="1" si="38"/>
        <v>42989</v>
      </c>
    </row>
    <row r="700" spans="2:16">
      <c r="B700" s="7">
        <v>170210</v>
      </c>
      <c r="C700" s="7">
        <v>4.26</v>
      </c>
      <c r="D700" s="18" t="str">
        <f>[1]!b_info_name(B700)</f>
        <v>17国开10</v>
      </c>
      <c r="E700" s="19">
        <f>[1]!b_info_latestissurercreditrating(B700)</f>
        <v>0</v>
      </c>
      <c r="F700" s="20">
        <f ca="1">[1]!b_anal_day(B700,$A$5)/365</f>
        <v>9.5863013698630137</v>
      </c>
      <c r="G700" s="21">
        <f ca="1">[1]!b_anal_yield_cnbd(B700,$A$5)</f>
        <v>0</v>
      </c>
      <c r="H700" s="21">
        <f t="shared" ca="1" si="36"/>
        <v>426</v>
      </c>
      <c r="I700" s="21">
        <f ca="1">[1]!b_anal_yield_cnbd(B700,$A$7)</f>
        <v>0</v>
      </c>
      <c r="J700" s="21">
        <f t="shared" ca="1" si="37"/>
        <v>0</v>
      </c>
      <c r="K700" s="19" t="str">
        <f>[1]!s_info_Nature(B700)</f>
        <v>中央国有企业</v>
      </c>
      <c r="L700" s="19" t="str">
        <f>[1]!b_info_windl1type(B700)</f>
        <v>金融债</v>
      </c>
      <c r="M700" s="13">
        <f>[1]!b_info_couponrate(B700)</f>
        <v>4.04</v>
      </c>
      <c r="N700" s="14" t="str">
        <f>[1]!B_Info_ListedDate(B700)</f>
        <v>2017-04-12</v>
      </c>
      <c r="O700" s="14" t="str">
        <f>[1]!b_issue_firstissue(B700)</f>
        <v>2017-04-06</v>
      </c>
      <c r="P700" s="4">
        <f t="shared" ca="1" si="38"/>
        <v>42989</v>
      </c>
    </row>
    <row r="701" spans="2:16">
      <c r="B701" s="7">
        <v>170210</v>
      </c>
      <c r="C701" s="7">
        <v>4.26</v>
      </c>
      <c r="D701" s="18" t="str">
        <f>[1]!b_info_name(B701)</f>
        <v>17国开10</v>
      </c>
      <c r="E701" s="19">
        <f>[1]!b_info_latestissurercreditrating(B701)</f>
        <v>0</v>
      </c>
      <c r="F701" s="20">
        <f ca="1">[1]!b_anal_day(B701,$A$5)/365</f>
        <v>9.5863013698630137</v>
      </c>
      <c r="G701" s="21">
        <f ca="1">[1]!b_anal_yield_cnbd(B701,$A$5)</f>
        <v>0</v>
      </c>
      <c r="H701" s="21">
        <f t="shared" ca="1" si="36"/>
        <v>426</v>
      </c>
      <c r="I701" s="21">
        <f ca="1">[1]!b_anal_yield_cnbd(B701,$A$7)</f>
        <v>0</v>
      </c>
      <c r="J701" s="21">
        <f t="shared" ca="1" si="37"/>
        <v>0</v>
      </c>
      <c r="K701" s="19" t="str">
        <f>[1]!s_info_Nature(B701)</f>
        <v>中央国有企业</v>
      </c>
      <c r="L701" s="19" t="str">
        <f>[1]!b_info_windl1type(B701)</f>
        <v>金融债</v>
      </c>
      <c r="M701" s="13">
        <f>[1]!b_info_couponrate(B701)</f>
        <v>4.04</v>
      </c>
      <c r="N701" s="14" t="str">
        <f>[1]!B_Info_ListedDate(B701)</f>
        <v>2017-04-12</v>
      </c>
      <c r="O701" s="14" t="str">
        <f>[1]!b_issue_firstissue(B701)</f>
        <v>2017-04-06</v>
      </c>
      <c r="P701" s="4">
        <f t="shared" ca="1" si="38"/>
        <v>42989</v>
      </c>
    </row>
    <row r="702" spans="2:16">
      <c r="B702" s="7">
        <v>170210</v>
      </c>
      <c r="C702" s="7">
        <v>4.26</v>
      </c>
      <c r="D702" s="18" t="str">
        <f>[1]!b_info_name(B702)</f>
        <v>17国开10</v>
      </c>
      <c r="E702" s="19">
        <f>[1]!b_info_latestissurercreditrating(B702)</f>
        <v>0</v>
      </c>
      <c r="F702" s="20">
        <f ca="1">[1]!b_anal_day(B702,$A$5)/365</f>
        <v>9.5863013698630137</v>
      </c>
      <c r="G702" s="21">
        <f ca="1">[1]!b_anal_yield_cnbd(B702,$A$5)</f>
        <v>0</v>
      </c>
      <c r="H702" s="21">
        <f t="shared" ca="1" si="36"/>
        <v>426</v>
      </c>
      <c r="I702" s="21">
        <f ca="1">[1]!b_anal_yield_cnbd(B702,$A$7)</f>
        <v>0</v>
      </c>
      <c r="J702" s="21">
        <f t="shared" ca="1" si="37"/>
        <v>0</v>
      </c>
      <c r="K702" s="19" t="str">
        <f>[1]!s_info_Nature(B702)</f>
        <v>中央国有企业</v>
      </c>
      <c r="L702" s="19" t="str">
        <f>[1]!b_info_windl1type(B702)</f>
        <v>金融债</v>
      </c>
      <c r="M702" s="13">
        <f>[1]!b_info_couponrate(B702)</f>
        <v>4.04</v>
      </c>
      <c r="N702" s="14" t="str">
        <f>[1]!B_Info_ListedDate(B702)</f>
        <v>2017-04-12</v>
      </c>
      <c r="O702" s="14" t="str">
        <f>[1]!b_issue_firstissue(B702)</f>
        <v>2017-04-06</v>
      </c>
      <c r="P702" s="4">
        <f t="shared" ca="1" si="38"/>
        <v>42989</v>
      </c>
    </row>
    <row r="703" spans="2:16">
      <c r="B703" s="7">
        <v>170210</v>
      </c>
      <c r="C703" s="7">
        <v>4.26</v>
      </c>
      <c r="D703" s="18" t="str">
        <f>[1]!b_info_name(B703)</f>
        <v>17国开10</v>
      </c>
      <c r="E703" s="19">
        <f>[1]!b_info_latestissurercreditrating(B703)</f>
        <v>0</v>
      </c>
      <c r="F703" s="20">
        <f ca="1">[1]!b_anal_day(B703,$A$5)/365</f>
        <v>9.5863013698630137</v>
      </c>
      <c r="G703" s="21">
        <f ca="1">[1]!b_anal_yield_cnbd(B703,$A$5)</f>
        <v>0</v>
      </c>
      <c r="H703" s="21">
        <f t="shared" ca="1" si="36"/>
        <v>426</v>
      </c>
      <c r="I703" s="21">
        <f ca="1">[1]!b_anal_yield_cnbd(B703,$A$7)</f>
        <v>0</v>
      </c>
      <c r="J703" s="21">
        <f t="shared" ca="1" si="37"/>
        <v>0</v>
      </c>
      <c r="K703" s="19" t="str">
        <f>[1]!s_info_Nature(B703)</f>
        <v>中央国有企业</v>
      </c>
      <c r="L703" s="19" t="str">
        <f>[1]!b_info_windl1type(B703)</f>
        <v>金融债</v>
      </c>
      <c r="M703" s="13">
        <f>[1]!b_info_couponrate(B703)</f>
        <v>4.04</v>
      </c>
      <c r="N703" s="14" t="str">
        <f>[1]!B_Info_ListedDate(B703)</f>
        <v>2017-04-12</v>
      </c>
      <c r="O703" s="14" t="str">
        <f>[1]!b_issue_firstissue(B703)</f>
        <v>2017-04-06</v>
      </c>
      <c r="P703" s="4">
        <f t="shared" ca="1" si="38"/>
        <v>42989</v>
      </c>
    </row>
    <row r="704" spans="2:16">
      <c r="B704" s="7">
        <v>170210</v>
      </c>
      <c r="C704" s="7">
        <v>4.26</v>
      </c>
      <c r="D704" s="18" t="str">
        <f>[1]!b_info_name(B704)</f>
        <v>17国开10</v>
      </c>
      <c r="E704" s="19">
        <f>[1]!b_info_latestissurercreditrating(B704)</f>
        <v>0</v>
      </c>
      <c r="F704" s="20">
        <f ca="1">[1]!b_anal_day(B704,$A$5)/365</f>
        <v>9.5863013698630137</v>
      </c>
      <c r="G704" s="21">
        <f ca="1">[1]!b_anal_yield_cnbd(B704,$A$5)</f>
        <v>0</v>
      </c>
      <c r="H704" s="21">
        <f t="shared" ca="1" si="36"/>
        <v>426</v>
      </c>
      <c r="I704" s="21">
        <f ca="1">[1]!b_anal_yield_cnbd(B704,$A$7)</f>
        <v>0</v>
      </c>
      <c r="J704" s="21">
        <f t="shared" ca="1" si="37"/>
        <v>0</v>
      </c>
      <c r="K704" s="19" t="str">
        <f>[1]!s_info_Nature(B704)</f>
        <v>中央国有企业</v>
      </c>
      <c r="L704" s="19" t="str">
        <f>[1]!b_info_windl1type(B704)</f>
        <v>金融债</v>
      </c>
      <c r="M704" s="13">
        <f>[1]!b_info_couponrate(B704)</f>
        <v>4.04</v>
      </c>
      <c r="N704" s="14" t="str">
        <f>[1]!B_Info_ListedDate(B704)</f>
        <v>2017-04-12</v>
      </c>
      <c r="O704" s="14" t="str">
        <f>[1]!b_issue_firstissue(B704)</f>
        <v>2017-04-06</v>
      </c>
      <c r="P704" s="4">
        <f t="shared" ca="1" si="38"/>
        <v>42989</v>
      </c>
    </row>
    <row r="705" spans="2:16">
      <c r="B705" s="7">
        <v>170210</v>
      </c>
      <c r="C705" s="7">
        <v>4.26</v>
      </c>
      <c r="D705" s="18" t="str">
        <f>[1]!b_info_name(B705)</f>
        <v>17国开10</v>
      </c>
      <c r="E705" s="19">
        <f>[1]!b_info_latestissurercreditrating(B705)</f>
        <v>0</v>
      </c>
      <c r="F705" s="20">
        <f ca="1">[1]!b_anal_day(B705,$A$5)/365</f>
        <v>9.5863013698630137</v>
      </c>
      <c r="G705" s="21">
        <f ca="1">[1]!b_anal_yield_cnbd(B705,$A$5)</f>
        <v>0</v>
      </c>
      <c r="H705" s="21">
        <f t="shared" ca="1" si="36"/>
        <v>426</v>
      </c>
      <c r="I705" s="21">
        <f ca="1">[1]!b_anal_yield_cnbd(B705,$A$7)</f>
        <v>0</v>
      </c>
      <c r="J705" s="21">
        <f t="shared" ca="1" si="37"/>
        <v>0</v>
      </c>
      <c r="K705" s="19" t="str">
        <f>[1]!s_info_Nature(B705)</f>
        <v>中央国有企业</v>
      </c>
      <c r="L705" s="19" t="str">
        <f>[1]!b_info_windl1type(B705)</f>
        <v>金融债</v>
      </c>
      <c r="M705" s="13">
        <f>[1]!b_info_couponrate(B705)</f>
        <v>4.04</v>
      </c>
      <c r="N705" s="14" t="str">
        <f>[1]!B_Info_ListedDate(B705)</f>
        <v>2017-04-12</v>
      </c>
      <c r="O705" s="14" t="str">
        <f>[1]!b_issue_firstissue(B705)</f>
        <v>2017-04-06</v>
      </c>
      <c r="P705" s="4">
        <f t="shared" ca="1" si="38"/>
        <v>42989</v>
      </c>
    </row>
    <row r="706" spans="2:16">
      <c r="B706" s="7">
        <v>170210</v>
      </c>
      <c r="C706" s="7">
        <v>4.26</v>
      </c>
      <c r="D706" s="18" t="str">
        <f>[1]!b_info_name(B706)</f>
        <v>17国开10</v>
      </c>
      <c r="E706" s="19">
        <f>[1]!b_info_latestissurercreditrating(B706)</f>
        <v>0</v>
      </c>
      <c r="F706" s="20">
        <f ca="1">[1]!b_anal_day(B706,$A$5)/365</f>
        <v>9.5863013698630137</v>
      </c>
      <c r="G706" s="21">
        <f ca="1">[1]!b_anal_yield_cnbd(B706,$A$5)</f>
        <v>0</v>
      </c>
      <c r="H706" s="21">
        <f t="shared" ca="1" si="36"/>
        <v>426</v>
      </c>
      <c r="I706" s="21">
        <f ca="1">[1]!b_anal_yield_cnbd(B706,$A$7)</f>
        <v>0</v>
      </c>
      <c r="J706" s="21">
        <f t="shared" ca="1" si="37"/>
        <v>0</v>
      </c>
      <c r="K706" s="19" t="str">
        <f>[1]!s_info_Nature(B706)</f>
        <v>中央国有企业</v>
      </c>
      <c r="L706" s="19" t="str">
        <f>[1]!b_info_windl1type(B706)</f>
        <v>金融债</v>
      </c>
      <c r="M706" s="13">
        <f>[1]!b_info_couponrate(B706)</f>
        <v>4.04</v>
      </c>
      <c r="N706" s="14" t="str">
        <f>[1]!B_Info_ListedDate(B706)</f>
        <v>2017-04-12</v>
      </c>
      <c r="O706" s="14" t="str">
        <f>[1]!b_issue_firstissue(B706)</f>
        <v>2017-04-06</v>
      </c>
      <c r="P706" s="4">
        <f t="shared" ca="1" si="38"/>
        <v>42989</v>
      </c>
    </row>
    <row r="707" spans="2:16">
      <c r="B707" s="7">
        <v>170210</v>
      </c>
      <c r="C707" s="7">
        <v>4.26</v>
      </c>
      <c r="D707" s="18" t="str">
        <f>[1]!b_info_name(B707)</f>
        <v>17国开10</v>
      </c>
      <c r="E707" s="19">
        <f>[1]!b_info_latestissurercreditrating(B707)</f>
        <v>0</v>
      </c>
      <c r="F707" s="20">
        <f ca="1">[1]!b_anal_day(B707,$A$5)/365</f>
        <v>9.5863013698630137</v>
      </c>
      <c r="G707" s="21">
        <f ca="1">[1]!b_anal_yield_cnbd(B707,$A$5)</f>
        <v>0</v>
      </c>
      <c r="H707" s="21">
        <f t="shared" ca="1" si="36"/>
        <v>426</v>
      </c>
      <c r="I707" s="21">
        <f ca="1">[1]!b_anal_yield_cnbd(B707,$A$7)</f>
        <v>0</v>
      </c>
      <c r="J707" s="21">
        <f t="shared" ca="1" si="37"/>
        <v>0</v>
      </c>
      <c r="K707" s="19" t="str">
        <f>[1]!s_info_Nature(B707)</f>
        <v>中央国有企业</v>
      </c>
      <c r="L707" s="19" t="str">
        <f>[1]!b_info_windl1type(B707)</f>
        <v>金融债</v>
      </c>
      <c r="M707" s="13">
        <f>[1]!b_info_couponrate(B707)</f>
        <v>4.04</v>
      </c>
      <c r="N707" s="14" t="str">
        <f>[1]!B_Info_ListedDate(B707)</f>
        <v>2017-04-12</v>
      </c>
      <c r="O707" s="14" t="str">
        <f>[1]!b_issue_firstissue(B707)</f>
        <v>2017-04-06</v>
      </c>
      <c r="P707" s="4">
        <f t="shared" ca="1" si="38"/>
        <v>42989</v>
      </c>
    </row>
    <row r="708" spans="2:16">
      <c r="B708" s="7">
        <v>170210</v>
      </c>
      <c r="C708" s="7">
        <v>4.26</v>
      </c>
      <c r="D708" s="18" t="str">
        <f>[1]!b_info_name(B708)</f>
        <v>17国开10</v>
      </c>
      <c r="E708" s="19">
        <f>[1]!b_info_latestissurercreditrating(B708)</f>
        <v>0</v>
      </c>
      <c r="F708" s="20">
        <f ca="1">[1]!b_anal_day(B708,$A$5)/365</f>
        <v>9.5863013698630137</v>
      </c>
      <c r="G708" s="21">
        <f ca="1">[1]!b_anal_yield_cnbd(B708,$A$5)</f>
        <v>0</v>
      </c>
      <c r="H708" s="21">
        <f t="shared" ca="1" si="36"/>
        <v>426</v>
      </c>
      <c r="I708" s="21">
        <f ca="1">[1]!b_anal_yield_cnbd(B708,$A$7)</f>
        <v>0</v>
      </c>
      <c r="J708" s="21">
        <f t="shared" ca="1" si="37"/>
        <v>0</v>
      </c>
      <c r="K708" s="19" t="str">
        <f>[1]!s_info_Nature(B708)</f>
        <v>中央国有企业</v>
      </c>
      <c r="L708" s="19" t="str">
        <f>[1]!b_info_windl1type(B708)</f>
        <v>金融债</v>
      </c>
      <c r="M708" s="13">
        <f>[1]!b_info_couponrate(B708)</f>
        <v>4.04</v>
      </c>
      <c r="N708" s="14" t="str">
        <f>[1]!B_Info_ListedDate(B708)</f>
        <v>2017-04-12</v>
      </c>
      <c r="O708" s="14" t="str">
        <f>[1]!b_issue_firstissue(B708)</f>
        <v>2017-04-06</v>
      </c>
      <c r="P708" s="4">
        <f t="shared" ca="1" si="38"/>
        <v>42989</v>
      </c>
    </row>
    <row r="709" spans="2:16">
      <c r="B709" s="7">
        <v>170210</v>
      </c>
      <c r="C709" s="7">
        <v>4.26</v>
      </c>
      <c r="D709" s="18" t="str">
        <f>[1]!b_info_name(B709)</f>
        <v>17国开10</v>
      </c>
      <c r="E709" s="19">
        <f>[1]!b_info_latestissurercreditrating(B709)</f>
        <v>0</v>
      </c>
      <c r="F709" s="20">
        <f ca="1">[1]!b_anal_day(B709,$A$5)/365</f>
        <v>9.5863013698630137</v>
      </c>
      <c r="G709" s="21">
        <f ca="1">[1]!b_anal_yield_cnbd(B709,$A$5)</f>
        <v>0</v>
      </c>
      <c r="H709" s="21">
        <f t="shared" ca="1" si="36"/>
        <v>426</v>
      </c>
      <c r="I709" s="21">
        <f ca="1">[1]!b_anal_yield_cnbd(B709,$A$7)</f>
        <v>0</v>
      </c>
      <c r="J709" s="21">
        <f t="shared" ca="1" si="37"/>
        <v>0</v>
      </c>
      <c r="K709" s="19" t="str">
        <f>[1]!s_info_Nature(B709)</f>
        <v>中央国有企业</v>
      </c>
      <c r="L709" s="19" t="str">
        <f>[1]!b_info_windl1type(B709)</f>
        <v>金融债</v>
      </c>
      <c r="M709" s="13">
        <f>[1]!b_info_couponrate(B709)</f>
        <v>4.04</v>
      </c>
      <c r="N709" s="14" t="str">
        <f>[1]!B_Info_ListedDate(B709)</f>
        <v>2017-04-12</v>
      </c>
      <c r="O709" s="14" t="str">
        <f>[1]!b_issue_firstissue(B709)</f>
        <v>2017-04-06</v>
      </c>
      <c r="P709" s="4">
        <f t="shared" ca="1" si="38"/>
        <v>42989</v>
      </c>
    </row>
    <row r="710" spans="2:16">
      <c r="B710" s="7">
        <v>170210</v>
      </c>
      <c r="C710" s="7">
        <v>4.26</v>
      </c>
      <c r="D710" s="18" t="str">
        <f>[1]!b_info_name(B710)</f>
        <v>17国开10</v>
      </c>
      <c r="E710" s="19">
        <f>[1]!b_info_latestissurercreditrating(B710)</f>
        <v>0</v>
      </c>
      <c r="F710" s="20">
        <f ca="1">[1]!b_anal_day(B710,$A$5)/365</f>
        <v>9.5863013698630137</v>
      </c>
      <c r="G710" s="21">
        <f ca="1">[1]!b_anal_yield_cnbd(B710,$A$5)</f>
        <v>0</v>
      </c>
      <c r="H710" s="21">
        <f t="shared" ca="1" si="36"/>
        <v>426</v>
      </c>
      <c r="I710" s="21">
        <f ca="1">[1]!b_anal_yield_cnbd(B710,$A$7)</f>
        <v>0</v>
      </c>
      <c r="J710" s="21">
        <f t="shared" ca="1" si="37"/>
        <v>0</v>
      </c>
      <c r="K710" s="19" t="str">
        <f>[1]!s_info_Nature(B710)</f>
        <v>中央国有企业</v>
      </c>
      <c r="L710" s="19" t="str">
        <f>[1]!b_info_windl1type(B710)</f>
        <v>金融债</v>
      </c>
      <c r="M710" s="13">
        <f>[1]!b_info_couponrate(B710)</f>
        <v>4.04</v>
      </c>
      <c r="N710" s="14" t="str">
        <f>[1]!B_Info_ListedDate(B710)</f>
        <v>2017-04-12</v>
      </c>
      <c r="O710" s="14" t="str">
        <f>[1]!b_issue_firstissue(B710)</f>
        <v>2017-04-06</v>
      </c>
      <c r="P710" s="4">
        <f t="shared" ca="1" si="38"/>
        <v>42989</v>
      </c>
    </row>
    <row r="711" spans="2:16">
      <c r="B711" s="7">
        <v>170210</v>
      </c>
      <c r="C711" s="7">
        <v>4.26</v>
      </c>
      <c r="D711" s="18" t="str">
        <f>[1]!b_info_name(B711)</f>
        <v>17国开10</v>
      </c>
      <c r="E711" s="19">
        <f>[1]!b_info_latestissurercreditrating(B711)</f>
        <v>0</v>
      </c>
      <c r="F711" s="20">
        <f ca="1">[1]!b_anal_day(B711,$A$5)/365</f>
        <v>9.5863013698630137</v>
      </c>
      <c r="G711" s="21">
        <f ca="1">[1]!b_anal_yield_cnbd(B711,$A$5)</f>
        <v>0</v>
      </c>
      <c r="H711" s="21">
        <f t="shared" ca="1" si="36"/>
        <v>426</v>
      </c>
      <c r="I711" s="21">
        <f ca="1">[1]!b_anal_yield_cnbd(B711,$A$7)</f>
        <v>0</v>
      </c>
      <c r="J711" s="21">
        <f t="shared" ca="1" si="37"/>
        <v>0</v>
      </c>
      <c r="K711" s="19" t="str">
        <f>[1]!s_info_Nature(B711)</f>
        <v>中央国有企业</v>
      </c>
      <c r="L711" s="19" t="str">
        <f>[1]!b_info_windl1type(B711)</f>
        <v>金融债</v>
      </c>
      <c r="M711" s="13">
        <f>[1]!b_info_couponrate(B711)</f>
        <v>4.04</v>
      </c>
      <c r="N711" s="14" t="str">
        <f>[1]!B_Info_ListedDate(B711)</f>
        <v>2017-04-12</v>
      </c>
      <c r="O711" s="14" t="str">
        <f>[1]!b_issue_firstissue(B711)</f>
        <v>2017-04-06</v>
      </c>
      <c r="P711" s="4">
        <f t="shared" ca="1" si="38"/>
        <v>42989</v>
      </c>
    </row>
    <row r="712" spans="2:16">
      <c r="B712" s="7">
        <v>170210</v>
      </c>
      <c r="C712" s="7">
        <v>4.26</v>
      </c>
      <c r="D712" s="18" t="str">
        <f>[1]!b_info_name(B712)</f>
        <v>17国开10</v>
      </c>
      <c r="E712" s="19">
        <f>[1]!b_info_latestissurercreditrating(B712)</f>
        <v>0</v>
      </c>
      <c r="F712" s="20">
        <f ca="1">[1]!b_anal_day(B712,$A$5)/365</f>
        <v>9.5863013698630137</v>
      </c>
      <c r="G712" s="21">
        <f ca="1">[1]!b_anal_yield_cnbd(B712,$A$5)</f>
        <v>0</v>
      </c>
      <c r="H712" s="21">
        <f t="shared" ca="1" si="36"/>
        <v>426</v>
      </c>
      <c r="I712" s="21">
        <f ca="1">[1]!b_anal_yield_cnbd(B712,$A$7)</f>
        <v>0</v>
      </c>
      <c r="J712" s="21">
        <f t="shared" ca="1" si="37"/>
        <v>0</v>
      </c>
      <c r="K712" s="19" t="str">
        <f>[1]!s_info_Nature(B712)</f>
        <v>中央国有企业</v>
      </c>
      <c r="L712" s="19" t="str">
        <f>[1]!b_info_windl1type(B712)</f>
        <v>金融债</v>
      </c>
      <c r="M712" s="13">
        <f>[1]!b_info_couponrate(B712)</f>
        <v>4.04</v>
      </c>
      <c r="N712" s="14" t="str">
        <f>[1]!B_Info_ListedDate(B712)</f>
        <v>2017-04-12</v>
      </c>
      <c r="O712" s="14" t="str">
        <f>[1]!b_issue_firstissue(B712)</f>
        <v>2017-04-06</v>
      </c>
      <c r="P712" s="4">
        <f t="shared" ca="1" si="38"/>
        <v>42989</v>
      </c>
    </row>
    <row r="713" spans="2:16">
      <c r="B713" s="7">
        <v>170210</v>
      </c>
      <c r="C713" s="7">
        <v>4.26</v>
      </c>
      <c r="D713" s="18" t="str">
        <f>[1]!b_info_name(B713)</f>
        <v>17国开10</v>
      </c>
      <c r="E713" s="19">
        <f>[1]!b_info_latestissurercreditrating(B713)</f>
        <v>0</v>
      </c>
      <c r="F713" s="20">
        <f ca="1">[1]!b_anal_day(B713,$A$5)/365</f>
        <v>9.5863013698630137</v>
      </c>
      <c r="G713" s="21">
        <f ca="1">[1]!b_anal_yield_cnbd(B713,$A$5)</f>
        <v>0</v>
      </c>
      <c r="H713" s="21">
        <f t="shared" ca="1" si="36"/>
        <v>426</v>
      </c>
      <c r="I713" s="21">
        <f ca="1">[1]!b_anal_yield_cnbd(B713,$A$7)</f>
        <v>0</v>
      </c>
      <c r="J713" s="21">
        <f t="shared" ca="1" si="37"/>
        <v>0</v>
      </c>
      <c r="K713" s="19" t="str">
        <f>[1]!s_info_Nature(B713)</f>
        <v>中央国有企业</v>
      </c>
      <c r="L713" s="19" t="str">
        <f>[1]!b_info_windl1type(B713)</f>
        <v>金融债</v>
      </c>
      <c r="M713" s="13">
        <f>[1]!b_info_couponrate(B713)</f>
        <v>4.04</v>
      </c>
      <c r="N713" s="14" t="str">
        <f>[1]!B_Info_ListedDate(B713)</f>
        <v>2017-04-12</v>
      </c>
      <c r="O713" s="14" t="str">
        <f>[1]!b_issue_firstissue(B713)</f>
        <v>2017-04-06</v>
      </c>
      <c r="P713" s="4">
        <f t="shared" ca="1" si="38"/>
        <v>42989</v>
      </c>
    </row>
    <row r="714" spans="2:16">
      <c r="B714" s="7">
        <v>170210</v>
      </c>
      <c r="C714" s="7">
        <v>4.26</v>
      </c>
      <c r="D714" s="18" t="str">
        <f>[1]!b_info_name(B714)</f>
        <v>17国开10</v>
      </c>
      <c r="E714" s="19">
        <f>[1]!b_info_latestissurercreditrating(B714)</f>
        <v>0</v>
      </c>
      <c r="F714" s="20">
        <f ca="1">[1]!b_anal_day(B714,$A$5)/365</f>
        <v>9.5863013698630137</v>
      </c>
      <c r="G714" s="21">
        <f ca="1">[1]!b_anal_yield_cnbd(B714,$A$5)</f>
        <v>0</v>
      </c>
      <c r="H714" s="21">
        <f t="shared" ca="1" si="36"/>
        <v>426</v>
      </c>
      <c r="I714" s="21">
        <f ca="1">[1]!b_anal_yield_cnbd(B714,$A$7)</f>
        <v>0</v>
      </c>
      <c r="J714" s="21">
        <f t="shared" ca="1" si="37"/>
        <v>0</v>
      </c>
      <c r="K714" s="19" t="str">
        <f>[1]!s_info_Nature(B714)</f>
        <v>中央国有企业</v>
      </c>
      <c r="L714" s="19" t="str">
        <f>[1]!b_info_windl1type(B714)</f>
        <v>金融债</v>
      </c>
      <c r="M714" s="13">
        <f>[1]!b_info_couponrate(B714)</f>
        <v>4.04</v>
      </c>
      <c r="N714" s="14" t="str">
        <f>[1]!B_Info_ListedDate(B714)</f>
        <v>2017-04-12</v>
      </c>
      <c r="O714" s="14" t="str">
        <f>[1]!b_issue_firstissue(B714)</f>
        <v>2017-04-06</v>
      </c>
      <c r="P714" s="4">
        <f t="shared" ca="1" si="38"/>
        <v>42989</v>
      </c>
    </row>
    <row r="715" spans="2:16">
      <c r="B715" s="7">
        <v>170210</v>
      </c>
      <c r="C715" s="7">
        <v>4.26</v>
      </c>
      <c r="D715" s="18" t="str">
        <f>[1]!b_info_name(B715)</f>
        <v>17国开10</v>
      </c>
      <c r="E715" s="19">
        <f>[1]!b_info_latestissurercreditrating(B715)</f>
        <v>0</v>
      </c>
      <c r="F715" s="20">
        <f ca="1">[1]!b_anal_day(B715,$A$5)/365</f>
        <v>9.5863013698630137</v>
      </c>
      <c r="G715" s="21">
        <f ca="1">[1]!b_anal_yield_cnbd(B715,$A$5)</f>
        <v>0</v>
      </c>
      <c r="H715" s="21">
        <f t="shared" ca="1" si="36"/>
        <v>426</v>
      </c>
      <c r="I715" s="21">
        <f ca="1">[1]!b_anal_yield_cnbd(B715,$A$7)</f>
        <v>0</v>
      </c>
      <c r="J715" s="21">
        <f t="shared" ca="1" si="37"/>
        <v>0</v>
      </c>
      <c r="K715" s="19" t="str">
        <f>[1]!s_info_Nature(B715)</f>
        <v>中央国有企业</v>
      </c>
      <c r="L715" s="19" t="str">
        <f>[1]!b_info_windl1type(B715)</f>
        <v>金融债</v>
      </c>
      <c r="M715" s="13">
        <f>[1]!b_info_couponrate(B715)</f>
        <v>4.04</v>
      </c>
      <c r="N715" s="14" t="str">
        <f>[1]!B_Info_ListedDate(B715)</f>
        <v>2017-04-12</v>
      </c>
      <c r="O715" s="14" t="str">
        <f>[1]!b_issue_firstissue(B715)</f>
        <v>2017-04-06</v>
      </c>
      <c r="P715" s="4">
        <f t="shared" ca="1" si="38"/>
        <v>42989</v>
      </c>
    </row>
    <row r="716" spans="2:16">
      <c r="B716" s="7">
        <v>170210</v>
      </c>
      <c r="C716" s="7">
        <v>4.26</v>
      </c>
      <c r="D716" s="18" t="str">
        <f>[1]!b_info_name(B716)</f>
        <v>17国开10</v>
      </c>
      <c r="E716" s="19">
        <f>[1]!b_info_latestissurercreditrating(B716)</f>
        <v>0</v>
      </c>
      <c r="F716" s="20">
        <f ca="1">[1]!b_anal_day(B716,$A$5)/365</f>
        <v>9.5863013698630137</v>
      </c>
      <c r="G716" s="21">
        <f ca="1">[1]!b_anal_yield_cnbd(B716,$A$5)</f>
        <v>0</v>
      </c>
      <c r="H716" s="21">
        <f t="shared" ca="1" si="36"/>
        <v>426</v>
      </c>
      <c r="I716" s="21">
        <f ca="1">[1]!b_anal_yield_cnbd(B716,$A$7)</f>
        <v>0</v>
      </c>
      <c r="J716" s="21">
        <f t="shared" ca="1" si="37"/>
        <v>0</v>
      </c>
      <c r="K716" s="19" t="str">
        <f>[1]!s_info_Nature(B716)</f>
        <v>中央国有企业</v>
      </c>
      <c r="L716" s="19" t="str">
        <f>[1]!b_info_windl1type(B716)</f>
        <v>金融债</v>
      </c>
      <c r="M716" s="13">
        <f>[1]!b_info_couponrate(B716)</f>
        <v>4.04</v>
      </c>
      <c r="N716" s="14" t="str">
        <f>[1]!B_Info_ListedDate(B716)</f>
        <v>2017-04-12</v>
      </c>
      <c r="O716" s="14" t="str">
        <f>[1]!b_issue_firstissue(B716)</f>
        <v>2017-04-06</v>
      </c>
      <c r="P716" s="4">
        <f t="shared" ca="1" si="38"/>
        <v>42989</v>
      </c>
    </row>
    <row r="717" spans="2:16">
      <c r="B717" s="7">
        <v>170210</v>
      </c>
      <c r="C717" s="7">
        <v>4.26</v>
      </c>
      <c r="D717" s="18" t="str">
        <f>[1]!b_info_name(B717)</f>
        <v>17国开10</v>
      </c>
      <c r="E717" s="19">
        <f>[1]!b_info_latestissurercreditrating(B717)</f>
        <v>0</v>
      </c>
      <c r="F717" s="20">
        <f ca="1">[1]!b_anal_day(B717,$A$5)/365</f>
        <v>9.5863013698630137</v>
      </c>
      <c r="G717" s="21">
        <f ca="1">[1]!b_anal_yield_cnbd(B717,$A$5)</f>
        <v>0</v>
      </c>
      <c r="H717" s="21">
        <f t="shared" ca="1" si="36"/>
        <v>426</v>
      </c>
      <c r="I717" s="21">
        <f ca="1">[1]!b_anal_yield_cnbd(B717,$A$7)</f>
        <v>0</v>
      </c>
      <c r="J717" s="21">
        <f t="shared" ca="1" si="37"/>
        <v>0</v>
      </c>
      <c r="K717" s="19" t="str">
        <f>[1]!s_info_Nature(B717)</f>
        <v>中央国有企业</v>
      </c>
      <c r="L717" s="19" t="str">
        <f>[1]!b_info_windl1type(B717)</f>
        <v>金融债</v>
      </c>
      <c r="M717" s="13">
        <f>[1]!b_info_couponrate(B717)</f>
        <v>4.04</v>
      </c>
      <c r="N717" s="14" t="str">
        <f>[1]!B_Info_ListedDate(B717)</f>
        <v>2017-04-12</v>
      </c>
      <c r="O717" s="14" t="str">
        <f>[1]!b_issue_firstissue(B717)</f>
        <v>2017-04-06</v>
      </c>
      <c r="P717" s="4">
        <f t="shared" ca="1" si="38"/>
        <v>42989</v>
      </c>
    </row>
    <row r="718" spans="2:16">
      <c r="B718" s="7">
        <v>170210</v>
      </c>
      <c r="C718" s="7">
        <v>4.26</v>
      </c>
      <c r="D718" s="18" t="str">
        <f>[1]!b_info_name(B718)</f>
        <v>17国开10</v>
      </c>
      <c r="E718" s="19">
        <f>[1]!b_info_latestissurercreditrating(B718)</f>
        <v>0</v>
      </c>
      <c r="F718" s="20">
        <f ca="1">[1]!b_anal_day(B718,$A$5)/365</f>
        <v>9.5863013698630137</v>
      </c>
      <c r="G718" s="21">
        <f ca="1">[1]!b_anal_yield_cnbd(B718,$A$5)</f>
        <v>0</v>
      </c>
      <c r="H718" s="21">
        <f t="shared" ca="1" si="36"/>
        <v>426</v>
      </c>
      <c r="I718" s="21">
        <f ca="1">[1]!b_anal_yield_cnbd(B718,$A$7)</f>
        <v>0</v>
      </c>
      <c r="J718" s="21">
        <f t="shared" ca="1" si="37"/>
        <v>0</v>
      </c>
      <c r="K718" s="19" t="str">
        <f>[1]!s_info_Nature(B718)</f>
        <v>中央国有企业</v>
      </c>
      <c r="L718" s="19" t="str">
        <f>[1]!b_info_windl1type(B718)</f>
        <v>金融债</v>
      </c>
      <c r="M718" s="13">
        <f>[1]!b_info_couponrate(B718)</f>
        <v>4.04</v>
      </c>
      <c r="N718" s="14" t="str">
        <f>[1]!B_Info_ListedDate(B718)</f>
        <v>2017-04-12</v>
      </c>
      <c r="O718" s="14" t="str">
        <f>[1]!b_issue_firstissue(B718)</f>
        <v>2017-04-06</v>
      </c>
      <c r="P718" s="4">
        <f t="shared" ca="1" si="38"/>
        <v>42989</v>
      </c>
    </row>
    <row r="719" spans="2:16">
      <c r="B719" s="7">
        <v>170210</v>
      </c>
      <c r="C719" s="7">
        <v>4.26</v>
      </c>
      <c r="D719" s="18" t="str">
        <f>[1]!b_info_name(B719)</f>
        <v>17国开10</v>
      </c>
      <c r="E719" s="19">
        <f>[1]!b_info_latestissurercreditrating(B719)</f>
        <v>0</v>
      </c>
      <c r="F719" s="20">
        <f ca="1">[1]!b_anal_day(B719,$A$5)/365</f>
        <v>9.5863013698630137</v>
      </c>
      <c r="G719" s="21">
        <f ca="1">[1]!b_anal_yield_cnbd(B719,$A$5)</f>
        <v>0</v>
      </c>
      <c r="H719" s="21">
        <f t="shared" ca="1" si="36"/>
        <v>426</v>
      </c>
      <c r="I719" s="21">
        <f ca="1">[1]!b_anal_yield_cnbd(B719,$A$7)</f>
        <v>0</v>
      </c>
      <c r="J719" s="21">
        <f t="shared" ca="1" si="37"/>
        <v>0</v>
      </c>
      <c r="K719" s="19" t="str">
        <f>[1]!s_info_Nature(B719)</f>
        <v>中央国有企业</v>
      </c>
      <c r="L719" s="19" t="str">
        <f>[1]!b_info_windl1type(B719)</f>
        <v>金融债</v>
      </c>
      <c r="M719" s="13">
        <f>[1]!b_info_couponrate(B719)</f>
        <v>4.04</v>
      </c>
      <c r="N719" s="14" t="str">
        <f>[1]!B_Info_ListedDate(B719)</f>
        <v>2017-04-12</v>
      </c>
      <c r="O719" s="14" t="str">
        <f>[1]!b_issue_firstissue(B719)</f>
        <v>2017-04-06</v>
      </c>
      <c r="P719" s="4">
        <f t="shared" ca="1" si="38"/>
        <v>42989</v>
      </c>
    </row>
    <row r="720" spans="2:16">
      <c r="B720" s="7">
        <v>170210</v>
      </c>
      <c r="C720" s="7">
        <v>4.26</v>
      </c>
      <c r="D720" s="18" t="str">
        <f>[1]!b_info_name(B720)</f>
        <v>17国开10</v>
      </c>
      <c r="E720" s="19">
        <f>[1]!b_info_latestissurercreditrating(B720)</f>
        <v>0</v>
      </c>
      <c r="F720" s="20">
        <f ca="1">[1]!b_anal_day(B720,$A$5)/365</f>
        <v>9.5863013698630137</v>
      </c>
      <c r="G720" s="21">
        <f ca="1">[1]!b_anal_yield_cnbd(B720,$A$5)</f>
        <v>0</v>
      </c>
      <c r="H720" s="21">
        <f t="shared" ca="1" si="36"/>
        <v>426</v>
      </c>
      <c r="I720" s="21">
        <f ca="1">[1]!b_anal_yield_cnbd(B720,$A$7)</f>
        <v>0</v>
      </c>
      <c r="J720" s="21">
        <f t="shared" ca="1" si="37"/>
        <v>0</v>
      </c>
      <c r="K720" s="19" t="str">
        <f>[1]!s_info_Nature(B720)</f>
        <v>中央国有企业</v>
      </c>
      <c r="L720" s="19" t="str">
        <f>[1]!b_info_windl1type(B720)</f>
        <v>金融债</v>
      </c>
      <c r="M720" s="13">
        <f>[1]!b_info_couponrate(B720)</f>
        <v>4.04</v>
      </c>
      <c r="N720" s="14" t="str">
        <f>[1]!B_Info_ListedDate(B720)</f>
        <v>2017-04-12</v>
      </c>
      <c r="O720" s="14" t="str">
        <f>[1]!b_issue_firstissue(B720)</f>
        <v>2017-04-06</v>
      </c>
      <c r="P720" s="4">
        <f t="shared" ca="1" si="38"/>
        <v>42989</v>
      </c>
    </row>
    <row r="721" spans="2:16">
      <c r="B721" s="7">
        <v>170210</v>
      </c>
      <c r="C721" s="7">
        <v>4.26</v>
      </c>
      <c r="D721" s="18" t="str">
        <f>[1]!b_info_name(B721)</f>
        <v>17国开10</v>
      </c>
      <c r="E721" s="19">
        <f>[1]!b_info_latestissurercreditrating(B721)</f>
        <v>0</v>
      </c>
      <c r="F721" s="20">
        <f ca="1">[1]!b_anal_day(B721,$A$5)/365</f>
        <v>9.5863013698630137</v>
      </c>
      <c r="G721" s="21">
        <f ca="1">[1]!b_anal_yield_cnbd(B721,$A$5)</f>
        <v>0</v>
      </c>
      <c r="H721" s="21">
        <f t="shared" ca="1" si="36"/>
        <v>426</v>
      </c>
      <c r="I721" s="21">
        <f ca="1">[1]!b_anal_yield_cnbd(B721,$A$7)</f>
        <v>0</v>
      </c>
      <c r="J721" s="21">
        <f t="shared" ca="1" si="37"/>
        <v>0</v>
      </c>
      <c r="K721" s="19" t="str">
        <f>[1]!s_info_Nature(B721)</f>
        <v>中央国有企业</v>
      </c>
      <c r="L721" s="19" t="str">
        <f>[1]!b_info_windl1type(B721)</f>
        <v>金融债</v>
      </c>
      <c r="M721" s="13">
        <f>[1]!b_info_couponrate(B721)</f>
        <v>4.04</v>
      </c>
      <c r="N721" s="14" t="str">
        <f>[1]!B_Info_ListedDate(B721)</f>
        <v>2017-04-12</v>
      </c>
      <c r="O721" s="14" t="str">
        <f>[1]!b_issue_firstissue(B721)</f>
        <v>2017-04-06</v>
      </c>
      <c r="P721" s="4">
        <f t="shared" ca="1" si="38"/>
        <v>42989</v>
      </c>
    </row>
    <row r="722" spans="2:16">
      <c r="B722" s="7">
        <v>170210</v>
      </c>
      <c r="C722" s="7">
        <v>4.26</v>
      </c>
      <c r="D722" s="18" t="str">
        <f>[1]!b_info_name(B722)</f>
        <v>17国开10</v>
      </c>
      <c r="E722" s="19">
        <f>[1]!b_info_latestissurercreditrating(B722)</f>
        <v>0</v>
      </c>
      <c r="F722" s="20">
        <f ca="1">[1]!b_anal_day(B722,$A$5)/365</f>
        <v>9.5863013698630137</v>
      </c>
      <c r="G722" s="21">
        <f ca="1">[1]!b_anal_yield_cnbd(B722,$A$5)</f>
        <v>0</v>
      </c>
      <c r="H722" s="21">
        <f t="shared" ca="1" si="36"/>
        <v>426</v>
      </c>
      <c r="I722" s="21">
        <f ca="1">[1]!b_anal_yield_cnbd(B722,$A$7)</f>
        <v>0</v>
      </c>
      <c r="J722" s="21">
        <f t="shared" ca="1" si="37"/>
        <v>0</v>
      </c>
      <c r="K722" s="19" t="str">
        <f>[1]!s_info_Nature(B722)</f>
        <v>中央国有企业</v>
      </c>
      <c r="L722" s="19" t="str">
        <f>[1]!b_info_windl1type(B722)</f>
        <v>金融债</v>
      </c>
      <c r="M722" s="13">
        <f>[1]!b_info_couponrate(B722)</f>
        <v>4.04</v>
      </c>
      <c r="N722" s="14" t="str">
        <f>[1]!B_Info_ListedDate(B722)</f>
        <v>2017-04-12</v>
      </c>
      <c r="O722" s="14" t="str">
        <f>[1]!b_issue_firstissue(B722)</f>
        <v>2017-04-06</v>
      </c>
      <c r="P722" s="4">
        <f t="shared" ca="1" si="38"/>
        <v>42989</v>
      </c>
    </row>
    <row r="723" spans="2:16">
      <c r="B723" s="7">
        <v>170210</v>
      </c>
      <c r="C723" s="7">
        <v>4.26</v>
      </c>
      <c r="D723" s="18" t="str">
        <f>[1]!b_info_name(B723)</f>
        <v>17国开10</v>
      </c>
      <c r="E723" s="19">
        <f>[1]!b_info_latestissurercreditrating(B723)</f>
        <v>0</v>
      </c>
      <c r="F723" s="20">
        <f ca="1">[1]!b_anal_day(B723,$A$5)/365</f>
        <v>9.5863013698630137</v>
      </c>
      <c r="G723" s="21">
        <f ca="1">[1]!b_anal_yield_cnbd(B723,$A$5)</f>
        <v>0</v>
      </c>
      <c r="H723" s="21">
        <f t="shared" ca="1" si="36"/>
        <v>426</v>
      </c>
      <c r="I723" s="21">
        <f ca="1">[1]!b_anal_yield_cnbd(B723,$A$7)</f>
        <v>0</v>
      </c>
      <c r="J723" s="21">
        <f t="shared" ca="1" si="37"/>
        <v>0</v>
      </c>
      <c r="K723" s="19" t="str">
        <f>[1]!s_info_Nature(B723)</f>
        <v>中央国有企业</v>
      </c>
      <c r="L723" s="19" t="str">
        <f>[1]!b_info_windl1type(B723)</f>
        <v>金融债</v>
      </c>
      <c r="M723" s="13">
        <f>[1]!b_info_couponrate(B723)</f>
        <v>4.04</v>
      </c>
      <c r="N723" s="14" t="str">
        <f>[1]!B_Info_ListedDate(B723)</f>
        <v>2017-04-12</v>
      </c>
      <c r="O723" s="14" t="str">
        <f>[1]!b_issue_firstissue(B723)</f>
        <v>2017-04-06</v>
      </c>
      <c r="P723" s="4">
        <f t="shared" ca="1" si="38"/>
        <v>42989</v>
      </c>
    </row>
    <row r="724" spans="2:16">
      <c r="B724" s="7">
        <v>170210</v>
      </c>
      <c r="C724" s="7">
        <v>4.26</v>
      </c>
      <c r="D724" s="18" t="str">
        <f>[1]!b_info_name(B724)</f>
        <v>17国开10</v>
      </c>
      <c r="E724" s="19">
        <f>[1]!b_info_latestissurercreditrating(B724)</f>
        <v>0</v>
      </c>
      <c r="F724" s="20">
        <f ca="1">[1]!b_anal_day(B724,$A$5)/365</f>
        <v>9.5863013698630137</v>
      </c>
      <c r="G724" s="21">
        <f ca="1">[1]!b_anal_yield_cnbd(B724,$A$5)</f>
        <v>0</v>
      </c>
      <c r="H724" s="21">
        <f t="shared" ca="1" si="36"/>
        <v>426</v>
      </c>
      <c r="I724" s="21">
        <f ca="1">[1]!b_anal_yield_cnbd(B724,$A$7)</f>
        <v>0</v>
      </c>
      <c r="J724" s="21">
        <f t="shared" ca="1" si="37"/>
        <v>0</v>
      </c>
      <c r="K724" s="19" t="str">
        <f>[1]!s_info_Nature(B724)</f>
        <v>中央国有企业</v>
      </c>
      <c r="L724" s="19" t="str">
        <f>[1]!b_info_windl1type(B724)</f>
        <v>金融债</v>
      </c>
      <c r="M724" s="13">
        <f>[1]!b_info_couponrate(B724)</f>
        <v>4.04</v>
      </c>
      <c r="N724" s="14" t="str">
        <f>[1]!B_Info_ListedDate(B724)</f>
        <v>2017-04-12</v>
      </c>
      <c r="O724" s="14" t="str">
        <f>[1]!b_issue_firstissue(B724)</f>
        <v>2017-04-06</v>
      </c>
      <c r="P724" s="4">
        <f t="shared" ca="1" si="38"/>
        <v>42989</v>
      </c>
    </row>
    <row r="725" spans="2:16">
      <c r="B725" s="7">
        <v>170210</v>
      </c>
      <c r="C725" s="7">
        <v>4.26</v>
      </c>
      <c r="D725" s="18" t="str">
        <f>[1]!b_info_name(B725)</f>
        <v>17国开10</v>
      </c>
      <c r="E725" s="19">
        <f>[1]!b_info_latestissurercreditrating(B725)</f>
        <v>0</v>
      </c>
      <c r="F725" s="20">
        <f ca="1">[1]!b_anal_day(B725,$A$5)/365</f>
        <v>9.5863013698630137</v>
      </c>
      <c r="G725" s="21">
        <f ca="1">[1]!b_anal_yield_cnbd(B725,$A$5)</f>
        <v>0</v>
      </c>
      <c r="H725" s="21">
        <f t="shared" ca="1" si="36"/>
        <v>426</v>
      </c>
      <c r="I725" s="21">
        <f ca="1">[1]!b_anal_yield_cnbd(B725,$A$7)</f>
        <v>0</v>
      </c>
      <c r="J725" s="21">
        <f t="shared" ca="1" si="37"/>
        <v>0</v>
      </c>
      <c r="K725" s="19" t="str">
        <f>[1]!s_info_Nature(B725)</f>
        <v>中央国有企业</v>
      </c>
      <c r="L725" s="19" t="str">
        <f>[1]!b_info_windl1type(B725)</f>
        <v>金融债</v>
      </c>
      <c r="M725" s="13">
        <f>[1]!b_info_couponrate(B725)</f>
        <v>4.04</v>
      </c>
      <c r="N725" s="14" t="str">
        <f>[1]!B_Info_ListedDate(B725)</f>
        <v>2017-04-12</v>
      </c>
      <c r="O725" s="14" t="str">
        <f>[1]!b_issue_firstissue(B725)</f>
        <v>2017-04-06</v>
      </c>
      <c r="P725" s="4">
        <f t="shared" ca="1" si="38"/>
        <v>42989</v>
      </c>
    </row>
    <row r="726" spans="2:16">
      <c r="B726" s="7">
        <v>170210</v>
      </c>
      <c r="C726" s="7">
        <v>4.26</v>
      </c>
      <c r="D726" s="18" t="str">
        <f>[1]!b_info_name(B726)</f>
        <v>17国开10</v>
      </c>
      <c r="E726" s="19">
        <f>[1]!b_info_latestissurercreditrating(B726)</f>
        <v>0</v>
      </c>
      <c r="F726" s="20">
        <f ca="1">[1]!b_anal_day(B726,$A$5)/365</f>
        <v>9.5863013698630137</v>
      </c>
      <c r="G726" s="21">
        <f ca="1">[1]!b_anal_yield_cnbd(B726,$A$5)</f>
        <v>0</v>
      </c>
      <c r="H726" s="21">
        <f t="shared" ca="1" si="36"/>
        <v>426</v>
      </c>
      <c r="I726" s="21">
        <f ca="1">[1]!b_anal_yield_cnbd(B726,$A$7)</f>
        <v>0</v>
      </c>
      <c r="J726" s="21">
        <f t="shared" ca="1" si="37"/>
        <v>0</v>
      </c>
      <c r="K726" s="19" t="str">
        <f>[1]!s_info_Nature(B726)</f>
        <v>中央国有企业</v>
      </c>
      <c r="L726" s="19" t="str">
        <f>[1]!b_info_windl1type(B726)</f>
        <v>金融债</v>
      </c>
      <c r="M726" s="13">
        <f>[1]!b_info_couponrate(B726)</f>
        <v>4.04</v>
      </c>
      <c r="N726" s="14" t="str">
        <f>[1]!B_Info_ListedDate(B726)</f>
        <v>2017-04-12</v>
      </c>
      <c r="O726" s="14" t="str">
        <f>[1]!b_issue_firstissue(B726)</f>
        <v>2017-04-06</v>
      </c>
      <c r="P726" s="4">
        <f t="shared" ca="1" si="38"/>
        <v>42989</v>
      </c>
    </row>
    <row r="727" spans="2:16">
      <c r="B727" s="7">
        <v>170210</v>
      </c>
      <c r="C727" s="7">
        <v>4.26</v>
      </c>
      <c r="D727" s="18" t="str">
        <f>[1]!b_info_name(B727)</f>
        <v>17国开10</v>
      </c>
      <c r="E727" s="19">
        <f>[1]!b_info_latestissurercreditrating(B727)</f>
        <v>0</v>
      </c>
      <c r="F727" s="20">
        <f ca="1">[1]!b_anal_day(B727,$A$5)/365</f>
        <v>9.5863013698630137</v>
      </c>
      <c r="G727" s="21">
        <f ca="1">[1]!b_anal_yield_cnbd(B727,$A$5)</f>
        <v>0</v>
      </c>
      <c r="H727" s="21">
        <f t="shared" ca="1" si="36"/>
        <v>426</v>
      </c>
      <c r="I727" s="21">
        <f ca="1">[1]!b_anal_yield_cnbd(B727,$A$7)</f>
        <v>0</v>
      </c>
      <c r="J727" s="21">
        <f t="shared" ca="1" si="37"/>
        <v>0</v>
      </c>
      <c r="K727" s="19" t="str">
        <f>[1]!s_info_Nature(B727)</f>
        <v>中央国有企业</v>
      </c>
      <c r="L727" s="19" t="str">
        <f>[1]!b_info_windl1type(B727)</f>
        <v>金融债</v>
      </c>
      <c r="M727" s="13">
        <f>[1]!b_info_couponrate(B727)</f>
        <v>4.04</v>
      </c>
      <c r="N727" s="14" t="str">
        <f>[1]!B_Info_ListedDate(B727)</f>
        <v>2017-04-12</v>
      </c>
      <c r="O727" s="14" t="str">
        <f>[1]!b_issue_firstissue(B727)</f>
        <v>2017-04-06</v>
      </c>
      <c r="P727" s="4">
        <f t="shared" ca="1" si="38"/>
        <v>42989</v>
      </c>
    </row>
    <row r="728" spans="2:16">
      <c r="B728" s="7">
        <v>170210</v>
      </c>
      <c r="C728" s="7">
        <v>4.26</v>
      </c>
      <c r="D728" s="18" t="str">
        <f>[1]!b_info_name(B728)</f>
        <v>17国开10</v>
      </c>
      <c r="E728" s="19">
        <f>[1]!b_info_latestissurercreditrating(B728)</f>
        <v>0</v>
      </c>
      <c r="F728" s="20">
        <f ca="1">[1]!b_anal_day(B728,$A$5)/365</f>
        <v>9.5863013698630137</v>
      </c>
      <c r="G728" s="21">
        <f ca="1">[1]!b_anal_yield_cnbd(B728,$A$5)</f>
        <v>0</v>
      </c>
      <c r="H728" s="21">
        <f t="shared" ca="1" si="36"/>
        <v>426</v>
      </c>
      <c r="I728" s="21">
        <f ca="1">[1]!b_anal_yield_cnbd(B728,$A$7)</f>
        <v>0</v>
      </c>
      <c r="J728" s="21">
        <f t="shared" ca="1" si="37"/>
        <v>0</v>
      </c>
      <c r="K728" s="19" t="str">
        <f>[1]!s_info_Nature(B728)</f>
        <v>中央国有企业</v>
      </c>
      <c r="L728" s="19" t="str">
        <f>[1]!b_info_windl1type(B728)</f>
        <v>金融债</v>
      </c>
      <c r="M728" s="13">
        <f>[1]!b_info_couponrate(B728)</f>
        <v>4.04</v>
      </c>
      <c r="N728" s="14" t="str">
        <f>[1]!B_Info_ListedDate(B728)</f>
        <v>2017-04-12</v>
      </c>
      <c r="O728" s="14" t="str">
        <f>[1]!b_issue_firstissue(B728)</f>
        <v>2017-04-06</v>
      </c>
      <c r="P728" s="4">
        <f t="shared" ca="1" si="38"/>
        <v>42989</v>
      </c>
    </row>
    <row r="729" spans="2:16">
      <c r="B729" s="7">
        <v>170210</v>
      </c>
      <c r="C729" s="7">
        <v>4.26</v>
      </c>
      <c r="D729" s="18" t="str">
        <f>[1]!b_info_name(B729)</f>
        <v>17国开10</v>
      </c>
      <c r="E729" s="19">
        <f>[1]!b_info_latestissurercreditrating(B729)</f>
        <v>0</v>
      </c>
      <c r="F729" s="20">
        <f ca="1">[1]!b_anal_day(B729,$A$5)/365</f>
        <v>9.5863013698630137</v>
      </c>
      <c r="G729" s="21">
        <f ca="1">[1]!b_anal_yield_cnbd(B729,$A$5)</f>
        <v>0</v>
      </c>
      <c r="H729" s="21">
        <f t="shared" ca="1" si="36"/>
        <v>426</v>
      </c>
      <c r="I729" s="21">
        <f ca="1">[1]!b_anal_yield_cnbd(B729,$A$7)</f>
        <v>0</v>
      </c>
      <c r="J729" s="21">
        <f t="shared" ca="1" si="37"/>
        <v>0</v>
      </c>
      <c r="K729" s="19" t="str">
        <f>[1]!s_info_Nature(B729)</f>
        <v>中央国有企业</v>
      </c>
      <c r="L729" s="19" t="str">
        <f>[1]!b_info_windl1type(B729)</f>
        <v>金融债</v>
      </c>
      <c r="M729" s="13">
        <f>[1]!b_info_couponrate(B729)</f>
        <v>4.04</v>
      </c>
      <c r="N729" s="14" t="str">
        <f>[1]!B_Info_ListedDate(B729)</f>
        <v>2017-04-12</v>
      </c>
      <c r="O729" s="14" t="str">
        <f>[1]!b_issue_firstissue(B729)</f>
        <v>2017-04-06</v>
      </c>
      <c r="P729" s="4">
        <f t="shared" ca="1" si="38"/>
        <v>42989</v>
      </c>
    </row>
    <row r="730" spans="2:16">
      <c r="B730" s="7">
        <v>170210</v>
      </c>
      <c r="C730" s="7">
        <v>4.26</v>
      </c>
      <c r="D730" s="18" t="str">
        <f>[1]!b_info_name(B730)</f>
        <v>17国开10</v>
      </c>
      <c r="E730" s="19">
        <f>[1]!b_info_latestissurercreditrating(B730)</f>
        <v>0</v>
      </c>
      <c r="F730" s="20">
        <f ca="1">[1]!b_anal_day(B730,$A$5)/365</f>
        <v>9.5863013698630137</v>
      </c>
      <c r="G730" s="21">
        <f ca="1">[1]!b_anal_yield_cnbd(B730,$A$5)</f>
        <v>0</v>
      </c>
      <c r="H730" s="21">
        <f t="shared" ca="1" si="36"/>
        <v>426</v>
      </c>
      <c r="I730" s="21">
        <f ca="1">[1]!b_anal_yield_cnbd(B730,$A$7)</f>
        <v>0</v>
      </c>
      <c r="J730" s="21">
        <f t="shared" ca="1" si="37"/>
        <v>0</v>
      </c>
      <c r="K730" s="19" t="str">
        <f>[1]!s_info_Nature(B730)</f>
        <v>中央国有企业</v>
      </c>
      <c r="L730" s="19" t="str">
        <f>[1]!b_info_windl1type(B730)</f>
        <v>金融债</v>
      </c>
      <c r="M730" s="13">
        <f>[1]!b_info_couponrate(B730)</f>
        <v>4.04</v>
      </c>
      <c r="N730" s="14" t="str">
        <f>[1]!B_Info_ListedDate(B730)</f>
        <v>2017-04-12</v>
      </c>
      <c r="O730" s="14" t="str">
        <f>[1]!b_issue_firstissue(B730)</f>
        <v>2017-04-06</v>
      </c>
      <c r="P730" s="4">
        <f t="shared" ca="1" si="38"/>
        <v>42989</v>
      </c>
    </row>
    <row r="731" spans="2:16">
      <c r="B731" s="7">
        <v>170210</v>
      </c>
      <c r="C731" s="7">
        <v>4.26</v>
      </c>
      <c r="D731" s="18" t="str">
        <f>[1]!b_info_name(B731)</f>
        <v>17国开10</v>
      </c>
      <c r="E731" s="19">
        <f>[1]!b_info_latestissurercreditrating(B731)</f>
        <v>0</v>
      </c>
      <c r="F731" s="20">
        <f ca="1">[1]!b_anal_day(B731,$A$5)/365</f>
        <v>9.5863013698630137</v>
      </c>
      <c r="G731" s="21">
        <f ca="1">[1]!b_anal_yield_cnbd(B731,$A$5)</f>
        <v>0</v>
      </c>
      <c r="H731" s="21">
        <f t="shared" ca="1" si="36"/>
        <v>426</v>
      </c>
      <c r="I731" s="21">
        <f ca="1">[1]!b_anal_yield_cnbd(B731,$A$7)</f>
        <v>0</v>
      </c>
      <c r="J731" s="21">
        <f t="shared" ca="1" si="37"/>
        <v>0</v>
      </c>
      <c r="K731" s="19" t="str">
        <f>[1]!s_info_Nature(B731)</f>
        <v>中央国有企业</v>
      </c>
      <c r="L731" s="19" t="str">
        <f>[1]!b_info_windl1type(B731)</f>
        <v>金融债</v>
      </c>
      <c r="M731" s="13">
        <f>[1]!b_info_couponrate(B731)</f>
        <v>4.04</v>
      </c>
      <c r="N731" s="14" t="str">
        <f>[1]!B_Info_ListedDate(B731)</f>
        <v>2017-04-12</v>
      </c>
      <c r="O731" s="14" t="str">
        <f>[1]!b_issue_firstissue(B731)</f>
        <v>2017-04-06</v>
      </c>
      <c r="P731" s="4">
        <f t="shared" ca="1" si="38"/>
        <v>42989</v>
      </c>
    </row>
    <row r="732" spans="2:16">
      <c r="B732" s="7">
        <v>170210</v>
      </c>
      <c r="C732" s="7">
        <v>4.26</v>
      </c>
      <c r="D732" s="18" t="str">
        <f>[1]!b_info_name(B732)</f>
        <v>17国开10</v>
      </c>
      <c r="E732" s="19">
        <f>[1]!b_info_latestissurercreditrating(B732)</f>
        <v>0</v>
      </c>
      <c r="F732" s="20">
        <f ca="1">[1]!b_anal_day(B732,$A$5)/365</f>
        <v>9.5863013698630137</v>
      </c>
      <c r="G732" s="21">
        <f ca="1">[1]!b_anal_yield_cnbd(B732,$A$5)</f>
        <v>0</v>
      </c>
      <c r="H732" s="21">
        <f t="shared" ca="1" si="36"/>
        <v>426</v>
      </c>
      <c r="I732" s="21">
        <f ca="1">[1]!b_anal_yield_cnbd(B732,$A$7)</f>
        <v>0</v>
      </c>
      <c r="J732" s="21">
        <f t="shared" ca="1" si="37"/>
        <v>0</v>
      </c>
      <c r="K732" s="19" t="str">
        <f>[1]!s_info_Nature(B732)</f>
        <v>中央国有企业</v>
      </c>
      <c r="L732" s="19" t="str">
        <f>[1]!b_info_windl1type(B732)</f>
        <v>金融债</v>
      </c>
      <c r="M732" s="13">
        <f>[1]!b_info_couponrate(B732)</f>
        <v>4.04</v>
      </c>
      <c r="N732" s="14" t="str">
        <f>[1]!B_Info_ListedDate(B732)</f>
        <v>2017-04-12</v>
      </c>
      <c r="O732" s="14" t="str">
        <f>[1]!b_issue_firstissue(B732)</f>
        <v>2017-04-06</v>
      </c>
      <c r="P732" s="4">
        <f t="shared" ca="1" si="38"/>
        <v>42989</v>
      </c>
    </row>
    <row r="733" spans="2:16">
      <c r="B733" s="7">
        <v>170210</v>
      </c>
      <c r="C733" s="7">
        <v>4.26</v>
      </c>
      <c r="D733" s="18" t="str">
        <f>[1]!b_info_name(B733)</f>
        <v>17国开10</v>
      </c>
      <c r="E733" s="19">
        <f>[1]!b_info_latestissurercreditrating(B733)</f>
        <v>0</v>
      </c>
      <c r="F733" s="20">
        <f ca="1">[1]!b_anal_day(B733,$A$5)/365</f>
        <v>9.5863013698630137</v>
      </c>
      <c r="G733" s="21">
        <f ca="1">[1]!b_anal_yield_cnbd(B733,$A$5)</f>
        <v>0</v>
      </c>
      <c r="H733" s="21">
        <f t="shared" ca="1" si="36"/>
        <v>426</v>
      </c>
      <c r="I733" s="21">
        <f ca="1">[1]!b_anal_yield_cnbd(B733,$A$7)</f>
        <v>0</v>
      </c>
      <c r="J733" s="21">
        <f t="shared" ca="1" si="37"/>
        <v>0</v>
      </c>
      <c r="K733" s="19" t="str">
        <f>[1]!s_info_Nature(B733)</f>
        <v>中央国有企业</v>
      </c>
      <c r="L733" s="19" t="str">
        <f>[1]!b_info_windl1type(B733)</f>
        <v>金融债</v>
      </c>
      <c r="M733" s="13">
        <f>[1]!b_info_couponrate(B733)</f>
        <v>4.04</v>
      </c>
      <c r="N733" s="14" t="str">
        <f>[1]!B_Info_ListedDate(B733)</f>
        <v>2017-04-12</v>
      </c>
      <c r="O733" s="14" t="str">
        <f>[1]!b_issue_firstissue(B733)</f>
        <v>2017-04-06</v>
      </c>
      <c r="P733" s="4">
        <f t="shared" ca="1" si="38"/>
        <v>42989</v>
      </c>
    </row>
    <row r="734" spans="2:16">
      <c r="B734" s="7">
        <v>170210</v>
      </c>
      <c r="C734" s="7">
        <v>4.26</v>
      </c>
      <c r="D734" s="18" t="str">
        <f>[1]!b_info_name(B734)</f>
        <v>17国开10</v>
      </c>
      <c r="E734" s="19">
        <f>[1]!b_info_latestissurercreditrating(B734)</f>
        <v>0</v>
      </c>
      <c r="F734" s="20">
        <f ca="1">[1]!b_anal_day(B734,$A$5)/365</f>
        <v>9.5863013698630137</v>
      </c>
      <c r="G734" s="21">
        <f ca="1">[1]!b_anal_yield_cnbd(B734,$A$5)</f>
        <v>0</v>
      </c>
      <c r="H734" s="21">
        <f t="shared" ca="1" si="36"/>
        <v>426</v>
      </c>
      <c r="I734" s="21">
        <f ca="1">[1]!b_anal_yield_cnbd(B734,$A$7)</f>
        <v>0</v>
      </c>
      <c r="J734" s="21">
        <f t="shared" ca="1" si="37"/>
        <v>0</v>
      </c>
      <c r="K734" s="19" t="str">
        <f>[1]!s_info_Nature(B734)</f>
        <v>中央国有企业</v>
      </c>
      <c r="L734" s="19" t="str">
        <f>[1]!b_info_windl1type(B734)</f>
        <v>金融债</v>
      </c>
      <c r="M734" s="13">
        <f>[1]!b_info_couponrate(B734)</f>
        <v>4.04</v>
      </c>
      <c r="N734" s="14" t="str">
        <f>[1]!B_Info_ListedDate(B734)</f>
        <v>2017-04-12</v>
      </c>
      <c r="O734" s="14" t="str">
        <f>[1]!b_issue_firstissue(B734)</f>
        <v>2017-04-06</v>
      </c>
      <c r="P734" s="4">
        <f t="shared" ca="1" si="38"/>
        <v>42989</v>
      </c>
    </row>
    <row r="735" spans="2:16">
      <c r="B735" s="7">
        <v>170210</v>
      </c>
      <c r="C735" s="7">
        <v>4.26</v>
      </c>
      <c r="D735" s="18" t="str">
        <f>[1]!b_info_name(B735)</f>
        <v>17国开10</v>
      </c>
      <c r="E735" s="19">
        <f>[1]!b_info_latestissurercreditrating(B735)</f>
        <v>0</v>
      </c>
      <c r="F735" s="20">
        <f ca="1">[1]!b_anal_day(B735,$A$5)/365</f>
        <v>9.5863013698630137</v>
      </c>
      <c r="G735" s="21">
        <f ca="1">[1]!b_anal_yield_cnbd(B735,$A$5)</f>
        <v>0</v>
      </c>
      <c r="H735" s="21">
        <f t="shared" ca="1" si="36"/>
        <v>426</v>
      </c>
      <c r="I735" s="21">
        <f ca="1">[1]!b_anal_yield_cnbd(B735,$A$7)</f>
        <v>0</v>
      </c>
      <c r="J735" s="21">
        <f t="shared" ca="1" si="37"/>
        <v>0</v>
      </c>
      <c r="K735" s="19" t="str">
        <f>[1]!s_info_Nature(B735)</f>
        <v>中央国有企业</v>
      </c>
      <c r="L735" s="19" t="str">
        <f>[1]!b_info_windl1type(B735)</f>
        <v>金融债</v>
      </c>
      <c r="M735" s="13">
        <f>[1]!b_info_couponrate(B735)</f>
        <v>4.04</v>
      </c>
      <c r="N735" s="14" t="str">
        <f>[1]!B_Info_ListedDate(B735)</f>
        <v>2017-04-12</v>
      </c>
      <c r="O735" s="14" t="str">
        <f>[1]!b_issue_firstissue(B735)</f>
        <v>2017-04-06</v>
      </c>
      <c r="P735" s="4">
        <f t="shared" ca="1" si="38"/>
        <v>42989</v>
      </c>
    </row>
    <row r="736" spans="2:16">
      <c r="B736" s="7">
        <v>170210</v>
      </c>
      <c r="C736" s="7">
        <v>4.26</v>
      </c>
      <c r="D736" s="18" t="str">
        <f>[1]!b_info_name(B736)</f>
        <v>17国开10</v>
      </c>
      <c r="E736" s="19">
        <f>[1]!b_info_latestissurercreditrating(B736)</f>
        <v>0</v>
      </c>
      <c r="F736" s="20">
        <f ca="1">[1]!b_anal_day(B736,$A$5)/365</f>
        <v>9.5863013698630137</v>
      </c>
      <c r="G736" s="21">
        <f ca="1">[1]!b_anal_yield_cnbd(B736,$A$5)</f>
        <v>0</v>
      </c>
      <c r="H736" s="21">
        <f t="shared" ca="1" si="36"/>
        <v>426</v>
      </c>
      <c r="I736" s="21">
        <f ca="1">[1]!b_anal_yield_cnbd(B736,$A$7)</f>
        <v>0</v>
      </c>
      <c r="J736" s="21">
        <f t="shared" ca="1" si="37"/>
        <v>0</v>
      </c>
      <c r="K736" s="19" t="str">
        <f>[1]!s_info_Nature(B736)</f>
        <v>中央国有企业</v>
      </c>
      <c r="L736" s="19" t="str">
        <f>[1]!b_info_windl1type(B736)</f>
        <v>金融债</v>
      </c>
      <c r="M736" s="13">
        <f>[1]!b_info_couponrate(B736)</f>
        <v>4.04</v>
      </c>
      <c r="N736" s="14" t="str">
        <f>[1]!B_Info_ListedDate(B736)</f>
        <v>2017-04-12</v>
      </c>
      <c r="O736" s="14" t="str">
        <f>[1]!b_issue_firstissue(B736)</f>
        <v>2017-04-06</v>
      </c>
      <c r="P736" s="4">
        <f t="shared" ca="1" si="38"/>
        <v>42989</v>
      </c>
    </row>
    <row r="737" spans="2:16">
      <c r="B737" s="7">
        <v>170210</v>
      </c>
      <c r="C737" s="7">
        <v>4.26</v>
      </c>
      <c r="D737" s="18" t="str">
        <f>[1]!b_info_name(B737)</f>
        <v>17国开10</v>
      </c>
      <c r="E737" s="19">
        <f>[1]!b_info_latestissurercreditrating(B737)</f>
        <v>0</v>
      </c>
      <c r="F737" s="20">
        <f ca="1">[1]!b_anal_day(B737,$A$5)/365</f>
        <v>9.5863013698630137</v>
      </c>
      <c r="G737" s="21">
        <f ca="1">[1]!b_anal_yield_cnbd(B737,$A$5)</f>
        <v>0</v>
      </c>
      <c r="H737" s="21">
        <f t="shared" ca="1" si="36"/>
        <v>426</v>
      </c>
      <c r="I737" s="21">
        <f ca="1">[1]!b_anal_yield_cnbd(B737,$A$7)</f>
        <v>0</v>
      </c>
      <c r="J737" s="21">
        <f t="shared" ca="1" si="37"/>
        <v>0</v>
      </c>
      <c r="K737" s="19" t="str">
        <f>[1]!s_info_Nature(B737)</f>
        <v>中央国有企业</v>
      </c>
      <c r="L737" s="19" t="str">
        <f>[1]!b_info_windl1type(B737)</f>
        <v>金融债</v>
      </c>
      <c r="M737" s="13">
        <f>[1]!b_info_couponrate(B737)</f>
        <v>4.04</v>
      </c>
      <c r="N737" s="14" t="str">
        <f>[1]!B_Info_ListedDate(B737)</f>
        <v>2017-04-12</v>
      </c>
      <c r="O737" s="14" t="str">
        <f>[1]!b_issue_firstissue(B737)</f>
        <v>2017-04-06</v>
      </c>
      <c r="P737" s="4">
        <f t="shared" ca="1" si="38"/>
        <v>42989</v>
      </c>
    </row>
    <row r="738" spans="2:16">
      <c r="B738" s="7">
        <v>170210</v>
      </c>
      <c r="C738" s="7">
        <v>4.26</v>
      </c>
      <c r="D738" s="18" t="str">
        <f>[1]!b_info_name(B738)</f>
        <v>17国开10</v>
      </c>
      <c r="E738" s="19">
        <f>[1]!b_info_latestissurercreditrating(B738)</f>
        <v>0</v>
      </c>
      <c r="F738" s="20">
        <f ca="1">[1]!b_anal_day(B738,$A$5)/365</f>
        <v>9.5863013698630137</v>
      </c>
      <c r="G738" s="21">
        <f ca="1">[1]!b_anal_yield_cnbd(B738,$A$5)</f>
        <v>0</v>
      </c>
      <c r="H738" s="21">
        <f t="shared" ca="1" si="36"/>
        <v>426</v>
      </c>
      <c r="I738" s="21">
        <f ca="1">[1]!b_anal_yield_cnbd(B738,$A$7)</f>
        <v>0</v>
      </c>
      <c r="J738" s="21">
        <f t="shared" ca="1" si="37"/>
        <v>0</v>
      </c>
      <c r="K738" s="19" t="str">
        <f>[1]!s_info_Nature(B738)</f>
        <v>中央国有企业</v>
      </c>
      <c r="L738" s="19" t="str">
        <f>[1]!b_info_windl1type(B738)</f>
        <v>金融债</v>
      </c>
      <c r="M738" s="13">
        <f>[1]!b_info_couponrate(B738)</f>
        <v>4.04</v>
      </c>
      <c r="N738" s="14" t="str">
        <f>[1]!B_Info_ListedDate(B738)</f>
        <v>2017-04-12</v>
      </c>
      <c r="O738" s="14" t="str">
        <f>[1]!b_issue_firstissue(B738)</f>
        <v>2017-04-06</v>
      </c>
      <c r="P738" s="4">
        <f t="shared" ca="1" si="38"/>
        <v>42989</v>
      </c>
    </row>
    <row r="739" spans="2:16">
      <c r="B739" s="7">
        <v>170210</v>
      </c>
      <c r="C739" s="7">
        <v>4.26</v>
      </c>
      <c r="D739" s="18" t="str">
        <f>[1]!b_info_name(B739)</f>
        <v>17国开10</v>
      </c>
      <c r="E739" s="19">
        <f>[1]!b_info_latestissurercreditrating(B739)</f>
        <v>0</v>
      </c>
      <c r="F739" s="20">
        <f ca="1">[1]!b_anal_day(B739,$A$5)/365</f>
        <v>9.5863013698630137</v>
      </c>
      <c r="G739" s="21">
        <f ca="1">[1]!b_anal_yield_cnbd(B739,$A$5)</f>
        <v>0</v>
      </c>
      <c r="H739" s="21">
        <f t="shared" ca="1" si="36"/>
        <v>426</v>
      </c>
      <c r="I739" s="21">
        <f ca="1">[1]!b_anal_yield_cnbd(B739,$A$7)</f>
        <v>0</v>
      </c>
      <c r="J739" s="21">
        <f t="shared" ca="1" si="37"/>
        <v>0</v>
      </c>
      <c r="K739" s="19" t="str">
        <f>[1]!s_info_Nature(B739)</f>
        <v>中央国有企业</v>
      </c>
      <c r="L739" s="19" t="str">
        <f>[1]!b_info_windl1type(B739)</f>
        <v>金融债</v>
      </c>
      <c r="M739" s="13">
        <f>[1]!b_info_couponrate(B739)</f>
        <v>4.04</v>
      </c>
      <c r="N739" s="14" t="str">
        <f>[1]!B_Info_ListedDate(B739)</f>
        <v>2017-04-12</v>
      </c>
      <c r="O739" s="14" t="str">
        <f>[1]!b_issue_firstissue(B739)</f>
        <v>2017-04-06</v>
      </c>
      <c r="P739" s="4">
        <f t="shared" ca="1" si="38"/>
        <v>42989</v>
      </c>
    </row>
    <row r="740" spans="2:16">
      <c r="B740" s="7">
        <v>170210</v>
      </c>
      <c r="C740" s="7">
        <v>4.26</v>
      </c>
      <c r="D740" s="18" t="str">
        <f>[1]!b_info_name(B740)</f>
        <v>17国开10</v>
      </c>
      <c r="E740" s="19">
        <f>[1]!b_info_latestissurercreditrating(B740)</f>
        <v>0</v>
      </c>
      <c r="F740" s="20">
        <f ca="1">[1]!b_anal_day(B740,$A$5)/365</f>
        <v>9.5863013698630137</v>
      </c>
      <c r="G740" s="21">
        <f ca="1">[1]!b_anal_yield_cnbd(B740,$A$5)</f>
        <v>0</v>
      </c>
      <c r="H740" s="21">
        <f t="shared" ref="H740:H803" ca="1" si="39">(IF(C740&lt;0.1,C740*100,C740)-G740)*100</f>
        <v>426</v>
      </c>
      <c r="I740" s="21">
        <f ca="1">[1]!b_anal_yield_cnbd(B740,$A$7)</f>
        <v>0</v>
      </c>
      <c r="J740" s="21">
        <f t="shared" ref="J740:J803" ca="1" si="40">(G740-I740)*100</f>
        <v>0</v>
      </c>
      <c r="K740" s="19" t="str">
        <f>[1]!s_info_Nature(B740)</f>
        <v>中央国有企业</v>
      </c>
      <c r="L740" s="19" t="str">
        <f>[1]!b_info_windl1type(B740)</f>
        <v>金融债</v>
      </c>
      <c r="M740" s="13">
        <f>[1]!b_info_couponrate(B740)</f>
        <v>4.04</v>
      </c>
      <c r="N740" s="14" t="str">
        <f>[1]!B_Info_ListedDate(B740)</f>
        <v>2017-04-12</v>
      </c>
      <c r="O740" s="14" t="str">
        <f>[1]!b_issue_firstissue(B740)</f>
        <v>2017-04-06</v>
      </c>
      <c r="P740" s="4">
        <f t="shared" ref="P740:P803" ca="1" si="41">$A$2</f>
        <v>42989</v>
      </c>
    </row>
    <row r="741" spans="2:16">
      <c r="B741" s="7">
        <v>170210</v>
      </c>
      <c r="C741" s="7">
        <v>4.26</v>
      </c>
      <c r="D741" s="18" t="str">
        <f>[1]!b_info_name(B741)</f>
        <v>17国开10</v>
      </c>
      <c r="E741" s="19">
        <f>[1]!b_info_latestissurercreditrating(B741)</f>
        <v>0</v>
      </c>
      <c r="F741" s="20">
        <f ca="1">[1]!b_anal_day(B741,$A$5)/365</f>
        <v>9.5863013698630137</v>
      </c>
      <c r="G741" s="21">
        <f ca="1">[1]!b_anal_yield_cnbd(B741,$A$5)</f>
        <v>0</v>
      </c>
      <c r="H741" s="21">
        <f t="shared" ca="1" si="39"/>
        <v>426</v>
      </c>
      <c r="I741" s="21">
        <f ca="1">[1]!b_anal_yield_cnbd(B741,$A$7)</f>
        <v>0</v>
      </c>
      <c r="J741" s="21">
        <f t="shared" ca="1" si="40"/>
        <v>0</v>
      </c>
      <c r="K741" s="19" t="str">
        <f>[1]!s_info_Nature(B741)</f>
        <v>中央国有企业</v>
      </c>
      <c r="L741" s="19" t="str">
        <f>[1]!b_info_windl1type(B741)</f>
        <v>金融债</v>
      </c>
      <c r="M741" s="13">
        <f>[1]!b_info_couponrate(B741)</f>
        <v>4.04</v>
      </c>
      <c r="N741" s="14" t="str">
        <f>[1]!B_Info_ListedDate(B741)</f>
        <v>2017-04-12</v>
      </c>
      <c r="O741" s="14" t="str">
        <f>[1]!b_issue_firstissue(B741)</f>
        <v>2017-04-06</v>
      </c>
      <c r="P741" s="4">
        <f t="shared" ca="1" si="41"/>
        <v>42989</v>
      </c>
    </row>
    <row r="742" spans="2:16">
      <c r="B742" s="7">
        <v>170210</v>
      </c>
      <c r="C742" s="7">
        <v>4.26</v>
      </c>
      <c r="D742" s="18" t="str">
        <f>[1]!b_info_name(B742)</f>
        <v>17国开10</v>
      </c>
      <c r="E742" s="19">
        <f>[1]!b_info_latestissurercreditrating(B742)</f>
        <v>0</v>
      </c>
      <c r="F742" s="20">
        <f ca="1">[1]!b_anal_day(B742,$A$5)/365</f>
        <v>9.5863013698630137</v>
      </c>
      <c r="G742" s="21">
        <f ca="1">[1]!b_anal_yield_cnbd(B742,$A$5)</f>
        <v>0</v>
      </c>
      <c r="H742" s="21">
        <f t="shared" ca="1" si="39"/>
        <v>426</v>
      </c>
      <c r="I742" s="21">
        <f ca="1">[1]!b_anal_yield_cnbd(B742,$A$7)</f>
        <v>0</v>
      </c>
      <c r="J742" s="21">
        <f t="shared" ca="1" si="40"/>
        <v>0</v>
      </c>
      <c r="K742" s="19" t="str">
        <f>[1]!s_info_Nature(B742)</f>
        <v>中央国有企业</v>
      </c>
      <c r="L742" s="19" t="str">
        <f>[1]!b_info_windl1type(B742)</f>
        <v>金融债</v>
      </c>
      <c r="M742" s="13">
        <f>[1]!b_info_couponrate(B742)</f>
        <v>4.04</v>
      </c>
      <c r="N742" s="14" t="str">
        <f>[1]!B_Info_ListedDate(B742)</f>
        <v>2017-04-12</v>
      </c>
      <c r="O742" s="14" t="str">
        <f>[1]!b_issue_firstissue(B742)</f>
        <v>2017-04-06</v>
      </c>
      <c r="P742" s="4">
        <f t="shared" ca="1" si="41"/>
        <v>42989</v>
      </c>
    </row>
    <row r="743" spans="2:16">
      <c r="B743" s="7">
        <v>170210</v>
      </c>
      <c r="C743" s="7">
        <v>4.26</v>
      </c>
      <c r="D743" s="18" t="str">
        <f>[1]!b_info_name(B743)</f>
        <v>17国开10</v>
      </c>
      <c r="E743" s="19">
        <f>[1]!b_info_latestissurercreditrating(B743)</f>
        <v>0</v>
      </c>
      <c r="F743" s="20">
        <f ca="1">[1]!b_anal_day(B743,$A$5)/365</f>
        <v>9.5863013698630137</v>
      </c>
      <c r="G743" s="21">
        <f ca="1">[1]!b_anal_yield_cnbd(B743,$A$5)</f>
        <v>0</v>
      </c>
      <c r="H743" s="21">
        <f t="shared" ca="1" si="39"/>
        <v>426</v>
      </c>
      <c r="I743" s="21">
        <f ca="1">[1]!b_anal_yield_cnbd(B743,$A$7)</f>
        <v>0</v>
      </c>
      <c r="J743" s="21">
        <f t="shared" ca="1" si="40"/>
        <v>0</v>
      </c>
      <c r="K743" s="19" t="str">
        <f>[1]!s_info_Nature(B743)</f>
        <v>中央国有企业</v>
      </c>
      <c r="L743" s="19" t="str">
        <f>[1]!b_info_windl1type(B743)</f>
        <v>金融债</v>
      </c>
      <c r="M743" s="13">
        <f>[1]!b_info_couponrate(B743)</f>
        <v>4.04</v>
      </c>
      <c r="N743" s="14" t="str">
        <f>[1]!B_Info_ListedDate(B743)</f>
        <v>2017-04-12</v>
      </c>
      <c r="O743" s="14" t="str">
        <f>[1]!b_issue_firstissue(B743)</f>
        <v>2017-04-06</v>
      </c>
      <c r="P743" s="4">
        <f t="shared" ca="1" si="41"/>
        <v>42989</v>
      </c>
    </row>
    <row r="744" spans="2:16">
      <c r="B744" s="7">
        <v>170210</v>
      </c>
      <c r="C744" s="7">
        <v>4.26</v>
      </c>
      <c r="D744" s="18" t="str">
        <f>[1]!b_info_name(B744)</f>
        <v>17国开10</v>
      </c>
      <c r="E744" s="19">
        <f>[1]!b_info_latestissurercreditrating(B744)</f>
        <v>0</v>
      </c>
      <c r="F744" s="20">
        <f ca="1">[1]!b_anal_day(B744,$A$5)/365</f>
        <v>9.5863013698630137</v>
      </c>
      <c r="G744" s="21">
        <f ca="1">[1]!b_anal_yield_cnbd(B744,$A$5)</f>
        <v>0</v>
      </c>
      <c r="H744" s="21">
        <f t="shared" ca="1" si="39"/>
        <v>426</v>
      </c>
      <c r="I744" s="21">
        <f ca="1">[1]!b_anal_yield_cnbd(B744,$A$7)</f>
        <v>0</v>
      </c>
      <c r="J744" s="21">
        <f t="shared" ca="1" si="40"/>
        <v>0</v>
      </c>
      <c r="K744" s="19" t="str">
        <f>[1]!s_info_Nature(B744)</f>
        <v>中央国有企业</v>
      </c>
      <c r="L744" s="19" t="str">
        <f>[1]!b_info_windl1type(B744)</f>
        <v>金融债</v>
      </c>
      <c r="M744" s="13">
        <f>[1]!b_info_couponrate(B744)</f>
        <v>4.04</v>
      </c>
      <c r="N744" s="14" t="str">
        <f>[1]!B_Info_ListedDate(B744)</f>
        <v>2017-04-12</v>
      </c>
      <c r="O744" s="14" t="str">
        <f>[1]!b_issue_firstissue(B744)</f>
        <v>2017-04-06</v>
      </c>
      <c r="P744" s="4">
        <f t="shared" ca="1" si="41"/>
        <v>42989</v>
      </c>
    </row>
    <row r="745" spans="2:16">
      <c r="B745" s="7">
        <v>170210</v>
      </c>
      <c r="C745" s="7">
        <v>4.26</v>
      </c>
      <c r="D745" s="18" t="str">
        <f>[1]!b_info_name(B745)</f>
        <v>17国开10</v>
      </c>
      <c r="E745" s="19">
        <f>[1]!b_info_latestissurercreditrating(B745)</f>
        <v>0</v>
      </c>
      <c r="F745" s="20">
        <f ca="1">[1]!b_anal_day(B745,$A$5)/365</f>
        <v>9.5863013698630137</v>
      </c>
      <c r="G745" s="21">
        <f ca="1">[1]!b_anal_yield_cnbd(B745,$A$5)</f>
        <v>0</v>
      </c>
      <c r="H745" s="21">
        <f t="shared" ca="1" si="39"/>
        <v>426</v>
      </c>
      <c r="I745" s="21">
        <f ca="1">[1]!b_anal_yield_cnbd(B745,$A$7)</f>
        <v>0</v>
      </c>
      <c r="J745" s="21">
        <f t="shared" ca="1" si="40"/>
        <v>0</v>
      </c>
      <c r="K745" s="19" t="str">
        <f>[1]!s_info_Nature(B745)</f>
        <v>中央国有企业</v>
      </c>
      <c r="L745" s="19" t="str">
        <f>[1]!b_info_windl1type(B745)</f>
        <v>金融债</v>
      </c>
      <c r="M745" s="13">
        <f>[1]!b_info_couponrate(B745)</f>
        <v>4.04</v>
      </c>
      <c r="N745" s="14" t="str">
        <f>[1]!B_Info_ListedDate(B745)</f>
        <v>2017-04-12</v>
      </c>
      <c r="O745" s="14" t="str">
        <f>[1]!b_issue_firstissue(B745)</f>
        <v>2017-04-06</v>
      </c>
      <c r="P745" s="4">
        <f t="shared" ca="1" si="41"/>
        <v>42989</v>
      </c>
    </row>
    <row r="746" spans="2:16">
      <c r="B746" s="7">
        <v>170210</v>
      </c>
      <c r="C746" s="7">
        <v>4.26</v>
      </c>
      <c r="D746" s="18" t="str">
        <f>[1]!b_info_name(B746)</f>
        <v>17国开10</v>
      </c>
      <c r="E746" s="19">
        <f>[1]!b_info_latestissurercreditrating(B746)</f>
        <v>0</v>
      </c>
      <c r="F746" s="20">
        <f ca="1">[1]!b_anal_day(B746,$A$5)/365</f>
        <v>9.5863013698630137</v>
      </c>
      <c r="G746" s="21">
        <f ca="1">[1]!b_anal_yield_cnbd(B746,$A$5)</f>
        <v>0</v>
      </c>
      <c r="H746" s="21">
        <f t="shared" ca="1" si="39"/>
        <v>426</v>
      </c>
      <c r="I746" s="21">
        <f ca="1">[1]!b_anal_yield_cnbd(B746,$A$7)</f>
        <v>0</v>
      </c>
      <c r="J746" s="21">
        <f t="shared" ca="1" si="40"/>
        <v>0</v>
      </c>
      <c r="K746" s="19" t="str">
        <f>[1]!s_info_Nature(B746)</f>
        <v>中央国有企业</v>
      </c>
      <c r="L746" s="19" t="str">
        <f>[1]!b_info_windl1type(B746)</f>
        <v>金融债</v>
      </c>
      <c r="M746" s="13">
        <f>[1]!b_info_couponrate(B746)</f>
        <v>4.04</v>
      </c>
      <c r="N746" s="14" t="str">
        <f>[1]!B_Info_ListedDate(B746)</f>
        <v>2017-04-12</v>
      </c>
      <c r="O746" s="14" t="str">
        <f>[1]!b_issue_firstissue(B746)</f>
        <v>2017-04-06</v>
      </c>
      <c r="P746" s="4">
        <f t="shared" ca="1" si="41"/>
        <v>42989</v>
      </c>
    </row>
    <row r="747" spans="2:16">
      <c r="B747" s="7">
        <v>170210</v>
      </c>
      <c r="C747" s="7">
        <v>4.26</v>
      </c>
      <c r="D747" s="18" t="str">
        <f>[1]!b_info_name(B747)</f>
        <v>17国开10</v>
      </c>
      <c r="E747" s="19">
        <f>[1]!b_info_latestissurercreditrating(B747)</f>
        <v>0</v>
      </c>
      <c r="F747" s="20">
        <f ca="1">[1]!b_anal_day(B747,$A$5)/365</f>
        <v>9.5863013698630137</v>
      </c>
      <c r="G747" s="21">
        <f ca="1">[1]!b_anal_yield_cnbd(B747,$A$5)</f>
        <v>0</v>
      </c>
      <c r="H747" s="21">
        <f t="shared" ca="1" si="39"/>
        <v>426</v>
      </c>
      <c r="I747" s="21">
        <f ca="1">[1]!b_anal_yield_cnbd(B747,$A$7)</f>
        <v>0</v>
      </c>
      <c r="J747" s="21">
        <f t="shared" ca="1" si="40"/>
        <v>0</v>
      </c>
      <c r="K747" s="19" t="str">
        <f>[1]!s_info_Nature(B747)</f>
        <v>中央国有企业</v>
      </c>
      <c r="L747" s="19" t="str">
        <f>[1]!b_info_windl1type(B747)</f>
        <v>金融债</v>
      </c>
      <c r="M747" s="13">
        <f>[1]!b_info_couponrate(B747)</f>
        <v>4.04</v>
      </c>
      <c r="N747" s="14" t="str">
        <f>[1]!B_Info_ListedDate(B747)</f>
        <v>2017-04-12</v>
      </c>
      <c r="O747" s="14" t="str">
        <f>[1]!b_issue_firstissue(B747)</f>
        <v>2017-04-06</v>
      </c>
      <c r="P747" s="4">
        <f t="shared" ca="1" si="41"/>
        <v>42989</v>
      </c>
    </row>
    <row r="748" spans="2:16">
      <c r="B748" s="7">
        <v>170210</v>
      </c>
      <c r="C748" s="7">
        <v>4.26</v>
      </c>
      <c r="D748" s="18" t="str">
        <f>[1]!b_info_name(B748)</f>
        <v>17国开10</v>
      </c>
      <c r="E748" s="19">
        <f>[1]!b_info_latestissurercreditrating(B748)</f>
        <v>0</v>
      </c>
      <c r="F748" s="20">
        <f ca="1">[1]!b_anal_day(B748,$A$5)/365</f>
        <v>9.5863013698630137</v>
      </c>
      <c r="G748" s="21">
        <f ca="1">[1]!b_anal_yield_cnbd(B748,$A$5)</f>
        <v>0</v>
      </c>
      <c r="H748" s="21">
        <f t="shared" ca="1" si="39"/>
        <v>426</v>
      </c>
      <c r="I748" s="21">
        <f ca="1">[1]!b_anal_yield_cnbd(B748,$A$7)</f>
        <v>0</v>
      </c>
      <c r="J748" s="21">
        <f t="shared" ca="1" si="40"/>
        <v>0</v>
      </c>
      <c r="K748" s="19" t="str">
        <f>[1]!s_info_Nature(B748)</f>
        <v>中央国有企业</v>
      </c>
      <c r="L748" s="19" t="str">
        <f>[1]!b_info_windl1type(B748)</f>
        <v>金融债</v>
      </c>
      <c r="M748" s="13">
        <f>[1]!b_info_couponrate(B748)</f>
        <v>4.04</v>
      </c>
      <c r="N748" s="14" t="str">
        <f>[1]!B_Info_ListedDate(B748)</f>
        <v>2017-04-12</v>
      </c>
      <c r="O748" s="14" t="str">
        <f>[1]!b_issue_firstissue(B748)</f>
        <v>2017-04-06</v>
      </c>
      <c r="P748" s="4">
        <f t="shared" ca="1" si="41"/>
        <v>42989</v>
      </c>
    </row>
    <row r="749" spans="2:16">
      <c r="B749" s="7">
        <v>170210</v>
      </c>
      <c r="C749" s="7">
        <v>4.26</v>
      </c>
      <c r="D749" s="18" t="str">
        <f>[1]!b_info_name(B749)</f>
        <v>17国开10</v>
      </c>
      <c r="E749" s="19">
        <f>[1]!b_info_latestissurercreditrating(B749)</f>
        <v>0</v>
      </c>
      <c r="F749" s="20">
        <f ca="1">[1]!b_anal_day(B749,$A$5)/365</f>
        <v>9.5863013698630137</v>
      </c>
      <c r="G749" s="21">
        <f ca="1">[1]!b_anal_yield_cnbd(B749,$A$5)</f>
        <v>0</v>
      </c>
      <c r="H749" s="21">
        <f t="shared" ca="1" si="39"/>
        <v>426</v>
      </c>
      <c r="I749" s="21">
        <f ca="1">[1]!b_anal_yield_cnbd(B749,$A$7)</f>
        <v>0</v>
      </c>
      <c r="J749" s="21">
        <f t="shared" ca="1" si="40"/>
        <v>0</v>
      </c>
      <c r="K749" s="19" t="str">
        <f>[1]!s_info_Nature(B749)</f>
        <v>中央国有企业</v>
      </c>
      <c r="L749" s="19" t="str">
        <f>[1]!b_info_windl1type(B749)</f>
        <v>金融债</v>
      </c>
      <c r="M749" s="13">
        <f>[1]!b_info_couponrate(B749)</f>
        <v>4.04</v>
      </c>
      <c r="N749" s="14" t="str">
        <f>[1]!B_Info_ListedDate(B749)</f>
        <v>2017-04-12</v>
      </c>
      <c r="O749" s="14" t="str">
        <f>[1]!b_issue_firstissue(B749)</f>
        <v>2017-04-06</v>
      </c>
      <c r="P749" s="4">
        <f t="shared" ca="1" si="41"/>
        <v>42989</v>
      </c>
    </row>
    <row r="750" spans="2:16">
      <c r="B750" s="7">
        <v>170210</v>
      </c>
      <c r="C750" s="7">
        <v>4.26</v>
      </c>
      <c r="D750" s="18" t="str">
        <f>[1]!b_info_name(B750)</f>
        <v>17国开10</v>
      </c>
      <c r="E750" s="19">
        <f>[1]!b_info_latestissurercreditrating(B750)</f>
        <v>0</v>
      </c>
      <c r="F750" s="20">
        <f ca="1">[1]!b_anal_day(B750,$A$5)/365</f>
        <v>9.5863013698630137</v>
      </c>
      <c r="G750" s="21">
        <f ca="1">[1]!b_anal_yield_cnbd(B750,$A$5)</f>
        <v>0</v>
      </c>
      <c r="H750" s="21">
        <f t="shared" ca="1" si="39"/>
        <v>426</v>
      </c>
      <c r="I750" s="21">
        <f ca="1">[1]!b_anal_yield_cnbd(B750,$A$7)</f>
        <v>0</v>
      </c>
      <c r="J750" s="21">
        <f t="shared" ca="1" si="40"/>
        <v>0</v>
      </c>
      <c r="K750" s="19" t="str">
        <f>[1]!s_info_Nature(B750)</f>
        <v>中央国有企业</v>
      </c>
      <c r="L750" s="19" t="str">
        <f>[1]!b_info_windl1type(B750)</f>
        <v>金融债</v>
      </c>
      <c r="M750" s="13">
        <f>[1]!b_info_couponrate(B750)</f>
        <v>4.04</v>
      </c>
      <c r="N750" s="14" t="str">
        <f>[1]!B_Info_ListedDate(B750)</f>
        <v>2017-04-12</v>
      </c>
      <c r="O750" s="14" t="str">
        <f>[1]!b_issue_firstissue(B750)</f>
        <v>2017-04-06</v>
      </c>
      <c r="P750" s="4">
        <f t="shared" ca="1" si="41"/>
        <v>42989</v>
      </c>
    </row>
    <row r="751" spans="2:16">
      <c r="B751" s="7">
        <v>170210</v>
      </c>
      <c r="C751" s="7">
        <v>4.26</v>
      </c>
      <c r="D751" s="18" t="str">
        <f>[1]!b_info_name(B751)</f>
        <v>17国开10</v>
      </c>
      <c r="E751" s="19">
        <f>[1]!b_info_latestissurercreditrating(B751)</f>
        <v>0</v>
      </c>
      <c r="F751" s="20">
        <f ca="1">[1]!b_anal_day(B751,$A$5)/365</f>
        <v>9.5863013698630137</v>
      </c>
      <c r="G751" s="21">
        <f ca="1">[1]!b_anal_yield_cnbd(B751,$A$5)</f>
        <v>0</v>
      </c>
      <c r="H751" s="21">
        <f t="shared" ca="1" si="39"/>
        <v>426</v>
      </c>
      <c r="I751" s="21">
        <f ca="1">[1]!b_anal_yield_cnbd(B751,$A$7)</f>
        <v>0</v>
      </c>
      <c r="J751" s="21">
        <f t="shared" ca="1" si="40"/>
        <v>0</v>
      </c>
      <c r="K751" s="19" t="str">
        <f>[1]!s_info_Nature(B751)</f>
        <v>中央国有企业</v>
      </c>
      <c r="L751" s="19" t="str">
        <f>[1]!b_info_windl1type(B751)</f>
        <v>金融债</v>
      </c>
      <c r="M751" s="13">
        <f>[1]!b_info_couponrate(B751)</f>
        <v>4.04</v>
      </c>
      <c r="N751" s="14" t="str">
        <f>[1]!B_Info_ListedDate(B751)</f>
        <v>2017-04-12</v>
      </c>
      <c r="O751" s="14" t="str">
        <f>[1]!b_issue_firstissue(B751)</f>
        <v>2017-04-06</v>
      </c>
      <c r="P751" s="4">
        <f t="shared" ca="1" si="41"/>
        <v>42989</v>
      </c>
    </row>
    <row r="752" spans="2:16">
      <c r="B752" s="7">
        <v>170210</v>
      </c>
      <c r="C752" s="7">
        <v>4.26</v>
      </c>
      <c r="D752" s="18" t="str">
        <f>[1]!b_info_name(B752)</f>
        <v>17国开10</v>
      </c>
      <c r="E752" s="19">
        <f>[1]!b_info_latestissurercreditrating(B752)</f>
        <v>0</v>
      </c>
      <c r="F752" s="20">
        <f ca="1">[1]!b_anal_day(B752,$A$5)/365</f>
        <v>9.5863013698630137</v>
      </c>
      <c r="G752" s="21">
        <f ca="1">[1]!b_anal_yield_cnbd(B752,$A$5)</f>
        <v>0</v>
      </c>
      <c r="H752" s="21">
        <f t="shared" ca="1" si="39"/>
        <v>426</v>
      </c>
      <c r="I752" s="21">
        <f ca="1">[1]!b_anal_yield_cnbd(B752,$A$7)</f>
        <v>0</v>
      </c>
      <c r="J752" s="21">
        <f t="shared" ca="1" si="40"/>
        <v>0</v>
      </c>
      <c r="K752" s="19" t="str">
        <f>[1]!s_info_Nature(B752)</f>
        <v>中央国有企业</v>
      </c>
      <c r="L752" s="19" t="str">
        <f>[1]!b_info_windl1type(B752)</f>
        <v>金融债</v>
      </c>
      <c r="M752" s="13">
        <f>[1]!b_info_couponrate(B752)</f>
        <v>4.04</v>
      </c>
      <c r="N752" s="14" t="str">
        <f>[1]!B_Info_ListedDate(B752)</f>
        <v>2017-04-12</v>
      </c>
      <c r="O752" s="14" t="str">
        <f>[1]!b_issue_firstissue(B752)</f>
        <v>2017-04-06</v>
      </c>
      <c r="P752" s="4">
        <f t="shared" ca="1" si="41"/>
        <v>42989</v>
      </c>
    </row>
    <row r="753" spans="2:16">
      <c r="B753" s="7">
        <v>170210</v>
      </c>
      <c r="C753" s="7">
        <v>4.26</v>
      </c>
      <c r="D753" s="18" t="str">
        <f>[1]!b_info_name(B753)</f>
        <v>17国开10</v>
      </c>
      <c r="E753" s="19">
        <f>[1]!b_info_latestissurercreditrating(B753)</f>
        <v>0</v>
      </c>
      <c r="F753" s="20">
        <f ca="1">[1]!b_anal_day(B753,$A$5)/365</f>
        <v>9.5863013698630137</v>
      </c>
      <c r="G753" s="21">
        <f ca="1">[1]!b_anal_yield_cnbd(B753,$A$5)</f>
        <v>0</v>
      </c>
      <c r="H753" s="21">
        <f t="shared" ca="1" si="39"/>
        <v>426</v>
      </c>
      <c r="I753" s="21">
        <f ca="1">[1]!b_anal_yield_cnbd(B753,$A$7)</f>
        <v>0</v>
      </c>
      <c r="J753" s="21">
        <f t="shared" ca="1" si="40"/>
        <v>0</v>
      </c>
      <c r="K753" s="19" t="str">
        <f>[1]!s_info_Nature(B753)</f>
        <v>中央国有企业</v>
      </c>
      <c r="L753" s="19" t="str">
        <f>[1]!b_info_windl1type(B753)</f>
        <v>金融债</v>
      </c>
      <c r="M753" s="13">
        <f>[1]!b_info_couponrate(B753)</f>
        <v>4.04</v>
      </c>
      <c r="N753" s="14" t="str">
        <f>[1]!B_Info_ListedDate(B753)</f>
        <v>2017-04-12</v>
      </c>
      <c r="O753" s="14" t="str">
        <f>[1]!b_issue_firstissue(B753)</f>
        <v>2017-04-06</v>
      </c>
      <c r="P753" s="4">
        <f t="shared" ca="1" si="41"/>
        <v>42989</v>
      </c>
    </row>
    <row r="754" spans="2:16">
      <c r="B754" s="7">
        <v>170210</v>
      </c>
      <c r="C754" s="7">
        <v>4.26</v>
      </c>
      <c r="D754" s="18" t="str">
        <f>[1]!b_info_name(B754)</f>
        <v>17国开10</v>
      </c>
      <c r="E754" s="19">
        <f>[1]!b_info_latestissurercreditrating(B754)</f>
        <v>0</v>
      </c>
      <c r="F754" s="20">
        <f ca="1">[1]!b_anal_day(B754,$A$5)/365</f>
        <v>9.5863013698630137</v>
      </c>
      <c r="G754" s="21">
        <f ca="1">[1]!b_anal_yield_cnbd(B754,$A$5)</f>
        <v>0</v>
      </c>
      <c r="H754" s="21">
        <f t="shared" ca="1" si="39"/>
        <v>426</v>
      </c>
      <c r="I754" s="21">
        <f ca="1">[1]!b_anal_yield_cnbd(B754,$A$7)</f>
        <v>0</v>
      </c>
      <c r="J754" s="21">
        <f t="shared" ca="1" si="40"/>
        <v>0</v>
      </c>
      <c r="K754" s="19" t="str">
        <f>[1]!s_info_Nature(B754)</f>
        <v>中央国有企业</v>
      </c>
      <c r="L754" s="19" t="str">
        <f>[1]!b_info_windl1type(B754)</f>
        <v>金融债</v>
      </c>
      <c r="M754" s="13">
        <f>[1]!b_info_couponrate(B754)</f>
        <v>4.04</v>
      </c>
      <c r="N754" s="14" t="str">
        <f>[1]!B_Info_ListedDate(B754)</f>
        <v>2017-04-12</v>
      </c>
      <c r="O754" s="14" t="str">
        <f>[1]!b_issue_firstissue(B754)</f>
        <v>2017-04-06</v>
      </c>
      <c r="P754" s="4">
        <f t="shared" ca="1" si="41"/>
        <v>42989</v>
      </c>
    </row>
    <row r="755" spans="2:16">
      <c r="B755" s="7">
        <v>170210</v>
      </c>
      <c r="C755" s="7">
        <v>4.26</v>
      </c>
      <c r="D755" s="18" t="str">
        <f>[1]!b_info_name(B755)</f>
        <v>17国开10</v>
      </c>
      <c r="E755" s="19">
        <f>[1]!b_info_latestissurercreditrating(B755)</f>
        <v>0</v>
      </c>
      <c r="F755" s="20">
        <f ca="1">[1]!b_anal_day(B755,$A$5)/365</f>
        <v>9.5863013698630137</v>
      </c>
      <c r="G755" s="21">
        <f ca="1">[1]!b_anal_yield_cnbd(B755,$A$5)</f>
        <v>0</v>
      </c>
      <c r="H755" s="21">
        <f t="shared" ca="1" si="39"/>
        <v>426</v>
      </c>
      <c r="I755" s="21">
        <f ca="1">[1]!b_anal_yield_cnbd(B755,$A$7)</f>
        <v>0</v>
      </c>
      <c r="J755" s="21">
        <f t="shared" ca="1" si="40"/>
        <v>0</v>
      </c>
      <c r="K755" s="19" t="str">
        <f>[1]!s_info_Nature(B755)</f>
        <v>中央国有企业</v>
      </c>
      <c r="L755" s="19" t="str">
        <f>[1]!b_info_windl1type(B755)</f>
        <v>金融债</v>
      </c>
      <c r="M755" s="13">
        <f>[1]!b_info_couponrate(B755)</f>
        <v>4.04</v>
      </c>
      <c r="N755" s="14" t="str">
        <f>[1]!B_Info_ListedDate(B755)</f>
        <v>2017-04-12</v>
      </c>
      <c r="O755" s="14" t="str">
        <f>[1]!b_issue_firstissue(B755)</f>
        <v>2017-04-06</v>
      </c>
      <c r="P755" s="4">
        <f t="shared" ca="1" si="41"/>
        <v>42989</v>
      </c>
    </row>
    <row r="756" spans="2:16">
      <c r="B756" s="7">
        <v>170210</v>
      </c>
      <c r="C756" s="7">
        <v>4.26</v>
      </c>
      <c r="D756" s="18" t="str">
        <f>[1]!b_info_name(B756)</f>
        <v>17国开10</v>
      </c>
      <c r="E756" s="19">
        <f>[1]!b_info_latestissurercreditrating(B756)</f>
        <v>0</v>
      </c>
      <c r="F756" s="20">
        <f ca="1">[1]!b_anal_day(B756,$A$5)/365</f>
        <v>9.5863013698630137</v>
      </c>
      <c r="G756" s="21">
        <f ca="1">[1]!b_anal_yield_cnbd(B756,$A$5)</f>
        <v>0</v>
      </c>
      <c r="H756" s="21">
        <f t="shared" ca="1" si="39"/>
        <v>426</v>
      </c>
      <c r="I756" s="21">
        <f ca="1">[1]!b_anal_yield_cnbd(B756,$A$7)</f>
        <v>0</v>
      </c>
      <c r="J756" s="21">
        <f t="shared" ca="1" si="40"/>
        <v>0</v>
      </c>
      <c r="K756" s="19" t="str">
        <f>[1]!s_info_Nature(B756)</f>
        <v>中央国有企业</v>
      </c>
      <c r="L756" s="19" t="str">
        <f>[1]!b_info_windl1type(B756)</f>
        <v>金融债</v>
      </c>
      <c r="M756" s="13">
        <f>[1]!b_info_couponrate(B756)</f>
        <v>4.04</v>
      </c>
      <c r="N756" s="14" t="str">
        <f>[1]!B_Info_ListedDate(B756)</f>
        <v>2017-04-12</v>
      </c>
      <c r="O756" s="14" t="str">
        <f>[1]!b_issue_firstissue(B756)</f>
        <v>2017-04-06</v>
      </c>
      <c r="P756" s="4">
        <f t="shared" ca="1" si="41"/>
        <v>42989</v>
      </c>
    </row>
    <row r="757" spans="2:16">
      <c r="B757" s="7">
        <v>170210</v>
      </c>
      <c r="C757" s="7">
        <v>4.26</v>
      </c>
      <c r="D757" s="18" t="str">
        <f>[1]!b_info_name(B757)</f>
        <v>17国开10</v>
      </c>
      <c r="E757" s="19">
        <f>[1]!b_info_latestissurercreditrating(B757)</f>
        <v>0</v>
      </c>
      <c r="F757" s="20">
        <f ca="1">[1]!b_anal_day(B757,$A$5)/365</f>
        <v>9.5863013698630137</v>
      </c>
      <c r="G757" s="21">
        <f ca="1">[1]!b_anal_yield_cnbd(B757,$A$5)</f>
        <v>0</v>
      </c>
      <c r="H757" s="21">
        <f t="shared" ca="1" si="39"/>
        <v>426</v>
      </c>
      <c r="I757" s="21">
        <f ca="1">[1]!b_anal_yield_cnbd(B757,$A$7)</f>
        <v>0</v>
      </c>
      <c r="J757" s="21">
        <f t="shared" ca="1" si="40"/>
        <v>0</v>
      </c>
      <c r="K757" s="19" t="str">
        <f>[1]!s_info_Nature(B757)</f>
        <v>中央国有企业</v>
      </c>
      <c r="L757" s="19" t="str">
        <f>[1]!b_info_windl1type(B757)</f>
        <v>金融债</v>
      </c>
      <c r="M757" s="13">
        <f>[1]!b_info_couponrate(B757)</f>
        <v>4.04</v>
      </c>
      <c r="N757" s="14" t="str">
        <f>[1]!B_Info_ListedDate(B757)</f>
        <v>2017-04-12</v>
      </c>
      <c r="O757" s="14" t="str">
        <f>[1]!b_issue_firstissue(B757)</f>
        <v>2017-04-06</v>
      </c>
      <c r="P757" s="4">
        <f t="shared" ca="1" si="41"/>
        <v>42989</v>
      </c>
    </row>
    <row r="758" spans="2:16">
      <c r="B758" s="7">
        <v>170210</v>
      </c>
      <c r="C758" s="7">
        <v>4.26</v>
      </c>
      <c r="D758" s="18" t="str">
        <f>[1]!b_info_name(B758)</f>
        <v>17国开10</v>
      </c>
      <c r="E758" s="19">
        <f>[1]!b_info_latestissurercreditrating(B758)</f>
        <v>0</v>
      </c>
      <c r="F758" s="20">
        <f ca="1">[1]!b_anal_day(B758,$A$5)/365</f>
        <v>9.5863013698630137</v>
      </c>
      <c r="G758" s="21">
        <f ca="1">[1]!b_anal_yield_cnbd(B758,$A$5)</f>
        <v>0</v>
      </c>
      <c r="H758" s="21">
        <f t="shared" ca="1" si="39"/>
        <v>426</v>
      </c>
      <c r="I758" s="21">
        <f ca="1">[1]!b_anal_yield_cnbd(B758,$A$7)</f>
        <v>0</v>
      </c>
      <c r="J758" s="21">
        <f t="shared" ca="1" si="40"/>
        <v>0</v>
      </c>
      <c r="K758" s="19" t="str">
        <f>[1]!s_info_Nature(B758)</f>
        <v>中央国有企业</v>
      </c>
      <c r="L758" s="19" t="str">
        <f>[1]!b_info_windl1type(B758)</f>
        <v>金融债</v>
      </c>
      <c r="M758" s="13">
        <f>[1]!b_info_couponrate(B758)</f>
        <v>4.04</v>
      </c>
      <c r="N758" s="14" t="str">
        <f>[1]!B_Info_ListedDate(B758)</f>
        <v>2017-04-12</v>
      </c>
      <c r="O758" s="14" t="str">
        <f>[1]!b_issue_firstissue(B758)</f>
        <v>2017-04-06</v>
      </c>
      <c r="P758" s="4">
        <f t="shared" ca="1" si="41"/>
        <v>42989</v>
      </c>
    </row>
    <row r="759" spans="2:16">
      <c r="B759" s="7">
        <v>170210</v>
      </c>
      <c r="C759" s="7">
        <v>4.26</v>
      </c>
      <c r="D759" s="18" t="str">
        <f>[1]!b_info_name(B759)</f>
        <v>17国开10</v>
      </c>
      <c r="E759" s="19">
        <f>[1]!b_info_latestissurercreditrating(B759)</f>
        <v>0</v>
      </c>
      <c r="F759" s="20">
        <f ca="1">[1]!b_anal_day(B759,$A$5)/365</f>
        <v>9.5863013698630137</v>
      </c>
      <c r="G759" s="21">
        <f ca="1">[1]!b_anal_yield_cnbd(B759,$A$5)</f>
        <v>0</v>
      </c>
      <c r="H759" s="21">
        <f t="shared" ca="1" si="39"/>
        <v>426</v>
      </c>
      <c r="I759" s="21">
        <f ca="1">[1]!b_anal_yield_cnbd(B759,$A$7)</f>
        <v>0</v>
      </c>
      <c r="J759" s="21">
        <f t="shared" ca="1" si="40"/>
        <v>0</v>
      </c>
      <c r="K759" s="19" t="str">
        <f>[1]!s_info_Nature(B759)</f>
        <v>中央国有企业</v>
      </c>
      <c r="L759" s="19" t="str">
        <f>[1]!b_info_windl1type(B759)</f>
        <v>金融债</v>
      </c>
      <c r="M759" s="13">
        <f>[1]!b_info_couponrate(B759)</f>
        <v>4.04</v>
      </c>
      <c r="N759" s="14" t="str">
        <f>[1]!B_Info_ListedDate(B759)</f>
        <v>2017-04-12</v>
      </c>
      <c r="O759" s="14" t="str">
        <f>[1]!b_issue_firstissue(B759)</f>
        <v>2017-04-06</v>
      </c>
      <c r="P759" s="4">
        <f t="shared" ca="1" si="41"/>
        <v>42989</v>
      </c>
    </row>
    <row r="760" spans="2:16">
      <c r="B760" s="7">
        <v>170210</v>
      </c>
      <c r="C760" s="7">
        <v>4.26</v>
      </c>
      <c r="D760" s="18" t="str">
        <f>[1]!b_info_name(B760)</f>
        <v>17国开10</v>
      </c>
      <c r="E760" s="19">
        <f>[1]!b_info_latestissurercreditrating(B760)</f>
        <v>0</v>
      </c>
      <c r="F760" s="20">
        <f ca="1">[1]!b_anal_day(B760,$A$5)/365</f>
        <v>9.5863013698630137</v>
      </c>
      <c r="G760" s="21">
        <f ca="1">[1]!b_anal_yield_cnbd(B760,$A$5)</f>
        <v>0</v>
      </c>
      <c r="H760" s="21">
        <f t="shared" ca="1" si="39"/>
        <v>426</v>
      </c>
      <c r="I760" s="21">
        <f ca="1">[1]!b_anal_yield_cnbd(B760,$A$7)</f>
        <v>0</v>
      </c>
      <c r="J760" s="21">
        <f t="shared" ca="1" si="40"/>
        <v>0</v>
      </c>
      <c r="K760" s="19" t="str">
        <f>[1]!s_info_Nature(B760)</f>
        <v>中央国有企业</v>
      </c>
      <c r="L760" s="19" t="str">
        <f>[1]!b_info_windl1type(B760)</f>
        <v>金融债</v>
      </c>
      <c r="M760" s="13">
        <f>[1]!b_info_couponrate(B760)</f>
        <v>4.04</v>
      </c>
      <c r="N760" s="14" t="str">
        <f>[1]!B_Info_ListedDate(B760)</f>
        <v>2017-04-12</v>
      </c>
      <c r="O760" s="14" t="str">
        <f>[1]!b_issue_firstissue(B760)</f>
        <v>2017-04-06</v>
      </c>
      <c r="P760" s="4">
        <f t="shared" ca="1" si="41"/>
        <v>42989</v>
      </c>
    </row>
    <row r="761" spans="2:16">
      <c r="B761" s="7">
        <v>170210</v>
      </c>
      <c r="C761" s="7">
        <v>4.26</v>
      </c>
      <c r="D761" s="18" t="str">
        <f>[1]!b_info_name(B761)</f>
        <v>17国开10</v>
      </c>
      <c r="E761" s="19">
        <f>[1]!b_info_latestissurercreditrating(B761)</f>
        <v>0</v>
      </c>
      <c r="F761" s="20">
        <f ca="1">[1]!b_anal_day(B761,$A$5)/365</f>
        <v>9.5863013698630137</v>
      </c>
      <c r="G761" s="21">
        <f ca="1">[1]!b_anal_yield_cnbd(B761,$A$5)</f>
        <v>0</v>
      </c>
      <c r="H761" s="21">
        <f t="shared" ca="1" si="39"/>
        <v>426</v>
      </c>
      <c r="I761" s="21">
        <f ca="1">[1]!b_anal_yield_cnbd(B761,$A$7)</f>
        <v>0</v>
      </c>
      <c r="J761" s="21">
        <f t="shared" ca="1" si="40"/>
        <v>0</v>
      </c>
      <c r="K761" s="19" t="str">
        <f>[1]!s_info_Nature(B761)</f>
        <v>中央国有企业</v>
      </c>
      <c r="L761" s="19" t="str">
        <f>[1]!b_info_windl1type(B761)</f>
        <v>金融债</v>
      </c>
      <c r="M761" s="13">
        <f>[1]!b_info_couponrate(B761)</f>
        <v>4.04</v>
      </c>
      <c r="N761" s="14" t="str">
        <f>[1]!B_Info_ListedDate(B761)</f>
        <v>2017-04-12</v>
      </c>
      <c r="O761" s="14" t="str">
        <f>[1]!b_issue_firstissue(B761)</f>
        <v>2017-04-06</v>
      </c>
      <c r="P761" s="4">
        <f t="shared" ca="1" si="41"/>
        <v>42989</v>
      </c>
    </row>
    <row r="762" spans="2:16">
      <c r="B762" s="7">
        <v>170210</v>
      </c>
      <c r="C762" s="7">
        <v>4.26</v>
      </c>
      <c r="D762" s="18" t="str">
        <f>[1]!b_info_name(B762)</f>
        <v>17国开10</v>
      </c>
      <c r="E762" s="19">
        <f>[1]!b_info_latestissurercreditrating(B762)</f>
        <v>0</v>
      </c>
      <c r="F762" s="20">
        <f ca="1">[1]!b_anal_day(B762,$A$5)/365</f>
        <v>9.5863013698630137</v>
      </c>
      <c r="G762" s="21">
        <f ca="1">[1]!b_anal_yield_cnbd(B762,$A$5)</f>
        <v>0</v>
      </c>
      <c r="H762" s="21">
        <f t="shared" ca="1" si="39"/>
        <v>426</v>
      </c>
      <c r="I762" s="21">
        <f ca="1">[1]!b_anal_yield_cnbd(B762,$A$7)</f>
        <v>0</v>
      </c>
      <c r="J762" s="21">
        <f t="shared" ca="1" si="40"/>
        <v>0</v>
      </c>
      <c r="K762" s="19" t="str">
        <f>[1]!s_info_Nature(B762)</f>
        <v>中央国有企业</v>
      </c>
      <c r="L762" s="19" t="str">
        <f>[1]!b_info_windl1type(B762)</f>
        <v>金融债</v>
      </c>
      <c r="M762" s="13">
        <f>[1]!b_info_couponrate(B762)</f>
        <v>4.04</v>
      </c>
      <c r="N762" s="14" t="str">
        <f>[1]!B_Info_ListedDate(B762)</f>
        <v>2017-04-12</v>
      </c>
      <c r="O762" s="14" t="str">
        <f>[1]!b_issue_firstissue(B762)</f>
        <v>2017-04-06</v>
      </c>
      <c r="P762" s="4">
        <f t="shared" ca="1" si="41"/>
        <v>42989</v>
      </c>
    </row>
    <row r="763" spans="2:16">
      <c r="B763" s="7">
        <v>170210</v>
      </c>
      <c r="C763" s="7">
        <v>4.26</v>
      </c>
      <c r="D763" s="18" t="str">
        <f>[1]!b_info_name(B763)</f>
        <v>17国开10</v>
      </c>
      <c r="E763" s="19">
        <f>[1]!b_info_latestissurercreditrating(B763)</f>
        <v>0</v>
      </c>
      <c r="F763" s="20">
        <f ca="1">[1]!b_anal_day(B763,$A$5)/365</f>
        <v>9.5863013698630137</v>
      </c>
      <c r="G763" s="21">
        <f ca="1">[1]!b_anal_yield_cnbd(B763,$A$5)</f>
        <v>0</v>
      </c>
      <c r="H763" s="21">
        <f t="shared" ca="1" si="39"/>
        <v>426</v>
      </c>
      <c r="I763" s="21">
        <f ca="1">[1]!b_anal_yield_cnbd(B763,$A$7)</f>
        <v>0</v>
      </c>
      <c r="J763" s="21">
        <f t="shared" ca="1" si="40"/>
        <v>0</v>
      </c>
      <c r="K763" s="19" t="str">
        <f>[1]!s_info_Nature(B763)</f>
        <v>中央国有企业</v>
      </c>
      <c r="L763" s="19" t="str">
        <f>[1]!b_info_windl1type(B763)</f>
        <v>金融债</v>
      </c>
      <c r="M763" s="13">
        <f>[1]!b_info_couponrate(B763)</f>
        <v>4.04</v>
      </c>
      <c r="N763" s="14" t="str">
        <f>[1]!B_Info_ListedDate(B763)</f>
        <v>2017-04-12</v>
      </c>
      <c r="O763" s="14" t="str">
        <f>[1]!b_issue_firstissue(B763)</f>
        <v>2017-04-06</v>
      </c>
      <c r="P763" s="4">
        <f t="shared" ca="1" si="41"/>
        <v>42989</v>
      </c>
    </row>
    <row r="764" spans="2:16">
      <c r="B764" s="7">
        <v>170210</v>
      </c>
      <c r="C764" s="7">
        <v>4.26</v>
      </c>
      <c r="D764" s="18" t="str">
        <f>[1]!b_info_name(B764)</f>
        <v>17国开10</v>
      </c>
      <c r="E764" s="19">
        <f>[1]!b_info_latestissurercreditrating(B764)</f>
        <v>0</v>
      </c>
      <c r="F764" s="20">
        <f ca="1">[1]!b_anal_day(B764,$A$5)/365</f>
        <v>9.5863013698630137</v>
      </c>
      <c r="G764" s="21">
        <f ca="1">[1]!b_anal_yield_cnbd(B764,$A$5)</f>
        <v>0</v>
      </c>
      <c r="H764" s="21">
        <f t="shared" ca="1" si="39"/>
        <v>426</v>
      </c>
      <c r="I764" s="21">
        <f ca="1">[1]!b_anal_yield_cnbd(B764,$A$7)</f>
        <v>0</v>
      </c>
      <c r="J764" s="21">
        <f t="shared" ca="1" si="40"/>
        <v>0</v>
      </c>
      <c r="K764" s="19" t="str">
        <f>[1]!s_info_Nature(B764)</f>
        <v>中央国有企业</v>
      </c>
      <c r="L764" s="19" t="str">
        <f>[1]!b_info_windl1type(B764)</f>
        <v>金融债</v>
      </c>
      <c r="M764" s="13">
        <f>[1]!b_info_couponrate(B764)</f>
        <v>4.04</v>
      </c>
      <c r="N764" s="14" t="str">
        <f>[1]!B_Info_ListedDate(B764)</f>
        <v>2017-04-12</v>
      </c>
      <c r="O764" s="14" t="str">
        <f>[1]!b_issue_firstissue(B764)</f>
        <v>2017-04-06</v>
      </c>
      <c r="P764" s="4">
        <f t="shared" ca="1" si="41"/>
        <v>42989</v>
      </c>
    </row>
    <row r="765" spans="2:16">
      <c r="B765" s="7">
        <v>170210</v>
      </c>
      <c r="C765" s="7">
        <v>4.26</v>
      </c>
      <c r="D765" s="18" t="str">
        <f>[1]!b_info_name(B765)</f>
        <v>17国开10</v>
      </c>
      <c r="E765" s="19">
        <f>[1]!b_info_latestissurercreditrating(B765)</f>
        <v>0</v>
      </c>
      <c r="F765" s="20">
        <f ca="1">[1]!b_anal_day(B765,$A$5)/365</f>
        <v>9.5863013698630137</v>
      </c>
      <c r="G765" s="21">
        <f ca="1">[1]!b_anal_yield_cnbd(B765,$A$5)</f>
        <v>0</v>
      </c>
      <c r="H765" s="21">
        <f t="shared" ca="1" si="39"/>
        <v>426</v>
      </c>
      <c r="I765" s="21">
        <f ca="1">[1]!b_anal_yield_cnbd(B765,$A$7)</f>
        <v>0</v>
      </c>
      <c r="J765" s="21">
        <f t="shared" ca="1" si="40"/>
        <v>0</v>
      </c>
      <c r="K765" s="19" t="str">
        <f>[1]!s_info_Nature(B765)</f>
        <v>中央国有企业</v>
      </c>
      <c r="L765" s="19" t="str">
        <f>[1]!b_info_windl1type(B765)</f>
        <v>金融债</v>
      </c>
      <c r="M765" s="13">
        <f>[1]!b_info_couponrate(B765)</f>
        <v>4.04</v>
      </c>
      <c r="N765" s="14" t="str">
        <f>[1]!B_Info_ListedDate(B765)</f>
        <v>2017-04-12</v>
      </c>
      <c r="O765" s="14" t="str">
        <f>[1]!b_issue_firstissue(B765)</f>
        <v>2017-04-06</v>
      </c>
      <c r="P765" s="4">
        <f t="shared" ca="1" si="41"/>
        <v>42989</v>
      </c>
    </row>
    <row r="766" spans="2:16">
      <c r="B766" s="7">
        <v>170210</v>
      </c>
      <c r="C766" s="7">
        <v>4.26</v>
      </c>
      <c r="D766" s="18" t="str">
        <f>[1]!b_info_name(B766)</f>
        <v>17国开10</v>
      </c>
      <c r="E766" s="19">
        <f>[1]!b_info_latestissurercreditrating(B766)</f>
        <v>0</v>
      </c>
      <c r="F766" s="20">
        <f ca="1">[1]!b_anal_day(B766,$A$5)/365</f>
        <v>9.5863013698630137</v>
      </c>
      <c r="G766" s="21">
        <f ca="1">[1]!b_anal_yield_cnbd(B766,$A$5)</f>
        <v>0</v>
      </c>
      <c r="H766" s="21">
        <f t="shared" ca="1" si="39"/>
        <v>426</v>
      </c>
      <c r="I766" s="21">
        <f ca="1">[1]!b_anal_yield_cnbd(B766,$A$7)</f>
        <v>0</v>
      </c>
      <c r="J766" s="21">
        <f t="shared" ca="1" si="40"/>
        <v>0</v>
      </c>
      <c r="K766" s="19" t="str">
        <f>[1]!s_info_Nature(B766)</f>
        <v>中央国有企业</v>
      </c>
      <c r="L766" s="19" t="str">
        <f>[1]!b_info_windl1type(B766)</f>
        <v>金融债</v>
      </c>
      <c r="M766" s="13">
        <f>[1]!b_info_couponrate(B766)</f>
        <v>4.04</v>
      </c>
      <c r="N766" s="14" t="str">
        <f>[1]!B_Info_ListedDate(B766)</f>
        <v>2017-04-12</v>
      </c>
      <c r="O766" s="14" t="str">
        <f>[1]!b_issue_firstissue(B766)</f>
        <v>2017-04-06</v>
      </c>
      <c r="P766" s="4">
        <f t="shared" ca="1" si="41"/>
        <v>42989</v>
      </c>
    </row>
    <row r="767" spans="2:16">
      <c r="B767" s="7">
        <v>170210</v>
      </c>
      <c r="C767" s="7">
        <v>4.258</v>
      </c>
      <c r="D767" s="18" t="str">
        <f>[1]!b_info_name(B767)</f>
        <v>17国开10</v>
      </c>
      <c r="E767" s="19">
        <f>[1]!b_info_latestissurercreditrating(B767)</f>
        <v>0</v>
      </c>
      <c r="F767" s="20">
        <f ca="1">[1]!b_anal_day(B767,$A$5)/365</f>
        <v>9.5863013698630137</v>
      </c>
      <c r="G767" s="21">
        <f ca="1">[1]!b_anal_yield_cnbd(B767,$A$5)</f>
        <v>0</v>
      </c>
      <c r="H767" s="21">
        <f t="shared" ca="1" si="39"/>
        <v>425.8</v>
      </c>
      <c r="I767" s="21">
        <f ca="1">[1]!b_anal_yield_cnbd(B767,$A$7)</f>
        <v>0</v>
      </c>
      <c r="J767" s="21">
        <f t="shared" ca="1" si="40"/>
        <v>0</v>
      </c>
      <c r="K767" s="19" t="str">
        <f>[1]!s_info_Nature(B767)</f>
        <v>中央国有企业</v>
      </c>
      <c r="L767" s="19" t="str">
        <f>[1]!b_info_windl1type(B767)</f>
        <v>金融债</v>
      </c>
      <c r="M767" s="13">
        <f>[1]!b_info_couponrate(B767)</f>
        <v>4.04</v>
      </c>
      <c r="N767" s="14" t="str">
        <f>[1]!B_Info_ListedDate(B767)</f>
        <v>2017-04-12</v>
      </c>
      <c r="O767" s="14" t="str">
        <f>[1]!b_issue_firstissue(B767)</f>
        <v>2017-04-06</v>
      </c>
      <c r="P767" s="4">
        <f t="shared" ca="1" si="41"/>
        <v>42989</v>
      </c>
    </row>
    <row r="768" spans="2:16">
      <c r="B768" s="7">
        <v>170210</v>
      </c>
      <c r="C768" s="7">
        <v>4.2575000000000003</v>
      </c>
      <c r="D768" s="18" t="str">
        <f>[1]!b_info_name(B768)</f>
        <v>17国开10</v>
      </c>
      <c r="E768" s="19">
        <f>[1]!b_info_latestissurercreditrating(B768)</f>
        <v>0</v>
      </c>
      <c r="F768" s="20">
        <f ca="1">[1]!b_anal_day(B768,$A$5)/365</f>
        <v>9.5863013698630137</v>
      </c>
      <c r="G768" s="21">
        <f ca="1">[1]!b_anal_yield_cnbd(B768,$A$5)</f>
        <v>0</v>
      </c>
      <c r="H768" s="21">
        <f t="shared" ca="1" si="39"/>
        <v>425.75</v>
      </c>
      <c r="I768" s="21">
        <f ca="1">[1]!b_anal_yield_cnbd(B768,$A$7)</f>
        <v>0</v>
      </c>
      <c r="J768" s="21">
        <f t="shared" ca="1" si="40"/>
        <v>0</v>
      </c>
      <c r="K768" s="19" t="str">
        <f>[1]!s_info_Nature(B768)</f>
        <v>中央国有企业</v>
      </c>
      <c r="L768" s="19" t="str">
        <f>[1]!b_info_windl1type(B768)</f>
        <v>金融债</v>
      </c>
      <c r="M768" s="13">
        <f>[1]!b_info_couponrate(B768)</f>
        <v>4.04</v>
      </c>
      <c r="N768" s="14" t="str">
        <f>[1]!B_Info_ListedDate(B768)</f>
        <v>2017-04-12</v>
      </c>
      <c r="O768" s="14" t="str">
        <f>[1]!b_issue_firstissue(B768)</f>
        <v>2017-04-06</v>
      </c>
      <c r="P768" s="4">
        <f t="shared" ca="1" si="41"/>
        <v>42989</v>
      </c>
    </row>
    <row r="769" spans="2:16">
      <c r="B769" s="7">
        <v>170210</v>
      </c>
      <c r="C769" s="7">
        <v>4.2575000000000003</v>
      </c>
      <c r="D769" s="18" t="str">
        <f>[1]!b_info_name(B769)</f>
        <v>17国开10</v>
      </c>
      <c r="E769" s="19">
        <f>[1]!b_info_latestissurercreditrating(B769)</f>
        <v>0</v>
      </c>
      <c r="F769" s="20">
        <f ca="1">[1]!b_anal_day(B769,$A$5)/365</f>
        <v>9.5863013698630137</v>
      </c>
      <c r="G769" s="21">
        <f ca="1">[1]!b_anal_yield_cnbd(B769,$A$5)</f>
        <v>0</v>
      </c>
      <c r="H769" s="21">
        <f t="shared" ca="1" si="39"/>
        <v>425.75</v>
      </c>
      <c r="I769" s="21">
        <f ca="1">[1]!b_anal_yield_cnbd(B769,$A$7)</f>
        <v>0</v>
      </c>
      <c r="J769" s="21">
        <f t="shared" ca="1" si="40"/>
        <v>0</v>
      </c>
      <c r="K769" s="19" t="str">
        <f>[1]!s_info_Nature(B769)</f>
        <v>中央国有企业</v>
      </c>
      <c r="L769" s="19" t="str">
        <f>[1]!b_info_windl1type(B769)</f>
        <v>金融债</v>
      </c>
      <c r="M769" s="13">
        <f>[1]!b_info_couponrate(B769)</f>
        <v>4.04</v>
      </c>
      <c r="N769" s="14" t="str">
        <f>[1]!B_Info_ListedDate(B769)</f>
        <v>2017-04-12</v>
      </c>
      <c r="O769" s="14" t="str">
        <f>[1]!b_issue_firstissue(B769)</f>
        <v>2017-04-06</v>
      </c>
      <c r="P769" s="4">
        <f t="shared" ca="1" si="41"/>
        <v>42989</v>
      </c>
    </row>
    <row r="770" spans="2:16">
      <c r="B770" s="7">
        <v>170210</v>
      </c>
      <c r="C770" s="7">
        <v>4.2575000000000003</v>
      </c>
      <c r="D770" s="18" t="str">
        <f>[1]!b_info_name(B770)</f>
        <v>17国开10</v>
      </c>
      <c r="E770" s="19">
        <f>[1]!b_info_latestissurercreditrating(B770)</f>
        <v>0</v>
      </c>
      <c r="F770" s="20">
        <f ca="1">[1]!b_anal_day(B770,$A$5)/365</f>
        <v>9.5863013698630137</v>
      </c>
      <c r="G770" s="21">
        <f ca="1">[1]!b_anal_yield_cnbd(B770,$A$5)</f>
        <v>0</v>
      </c>
      <c r="H770" s="21">
        <f t="shared" ca="1" si="39"/>
        <v>425.75</v>
      </c>
      <c r="I770" s="21">
        <f ca="1">[1]!b_anal_yield_cnbd(B770,$A$7)</f>
        <v>0</v>
      </c>
      <c r="J770" s="21">
        <f t="shared" ca="1" si="40"/>
        <v>0</v>
      </c>
      <c r="K770" s="19" t="str">
        <f>[1]!s_info_Nature(B770)</f>
        <v>中央国有企业</v>
      </c>
      <c r="L770" s="19" t="str">
        <f>[1]!b_info_windl1type(B770)</f>
        <v>金融债</v>
      </c>
      <c r="M770" s="13">
        <f>[1]!b_info_couponrate(B770)</f>
        <v>4.04</v>
      </c>
      <c r="N770" s="14" t="str">
        <f>[1]!B_Info_ListedDate(B770)</f>
        <v>2017-04-12</v>
      </c>
      <c r="O770" s="14" t="str">
        <f>[1]!b_issue_firstissue(B770)</f>
        <v>2017-04-06</v>
      </c>
      <c r="P770" s="4">
        <f t="shared" ca="1" si="41"/>
        <v>42989</v>
      </c>
    </row>
    <row r="771" spans="2:16">
      <c r="B771" s="7">
        <v>170210</v>
      </c>
      <c r="C771" s="7">
        <v>4.2575000000000003</v>
      </c>
      <c r="D771" s="18" t="str">
        <f>[1]!b_info_name(B771)</f>
        <v>17国开10</v>
      </c>
      <c r="E771" s="19">
        <f>[1]!b_info_latestissurercreditrating(B771)</f>
        <v>0</v>
      </c>
      <c r="F771" s="20">
        <f ca="1">[1]!b_anal_day(B771,$A$5)/365</f>
        <v>9.5863013698630137</v>
      </c>
      <c r="G771" s="21">
        <f ca="1">[1]!b_anal_yield_cnbd(B771,$A$5)</f>
        <v>0</v>
      </c>
      <c r="H771" s="21">
        <f t="shared" ca="1" si="39"/>
        <v>425.75</v>
      </c>
      <c r="I771" s="21">
        <f ca="1">[1]!b_anal_yield_cnbd(B771,$A$7)</f>
        <v>0</v>
      </c>
      <c r="J771" s="21">
        <f t="shared" ca="1" si="40"/>
        <v>0</v>
      </c>
      <c r="K771" s="19" t="str">
        <f>[1]!s_info_Nature(B771)</f>
        <v>中央国有企业</v>
      </c>
      <c r="L771" s="19" t="str">
        <f>[1]!b_info_windl1type(B771)</f>
        <v>金融债</v>
      </c>
      <c r="M771" s="13">
        <f>[1]!b_info_couponrate(B771)</f>
        <v>4.04</v>
      </c>
      <c r="N771" s="14" t="str">
        <f>[1]!B_Info_ListedDate(B771)</f>
        <v>2017-04-12</v>
      </c>
      <c r="O771" s="14" t="str">
        <f>[1]!b_issue_firstissue(B771)</f>
        <v>2017-04-06</v>
      </c>
      <c r="P771" s="4">
        <f t="shared" ca="1" si="41"/>
        <v>42989</v>
      </c>
    </row>
    <row r="772" spans="2:16">
      <c r="B772" s="7">
        <v>170210</v>
      </c>
      <c r="C772" s="7">
        <v>4.2575000000000003</v>
      </c>
      <c r="D772" s="18" t="str">
        <f>[1]!b_info_name(B772)</f>
        <v>17国开10</v>
      </c>
      <c r="E772" s="19">
        <f>[1]!b_info_latestissurercreditrating(B772)</f>
        <v>0</v>
      </c>
      <c r="F772" s="20">
        <f ca="1">[1]!b_anal_day(B772,$A$5)/365</f>
        <v>9.5863013698630137</v>
      </c>
      <c r="G772" s="21">
        <f ca="1">[1]!b_anal_yield_cnbd(B772,$A$5)</f>
        <v>0</v>
      </c>
      <c r="H772" s="21">
        <f t="shared" ca="1" si="39"/>
        <v>425.75</v>
      </c>
      <c r="I772" s="21">
        <f ca="1">[1]!b_anal_yield_cnbd(B772,$A$7)</f>
        <v>0</v>
      </c>
      <c r="J772" s="21">
        <f t="shared" ca="1" si="40"/>
        <v>0</v>
      </c>
      <c r="K772" s="19" t="str">
        <f>[1]!s_info_Nature(B772)</f>
        <v>中央国有企业</v>
      </c>
      <c r="L772" s="19" t="str">
        <f>[1]!b_info_windl1type(B772)</f>
        <v>金融债</v>
      </c>
      <c r="M772" s="13">
        <f>[1]!b_info_couponrate(B772)</f>
        <v>4.04</v>
      </c>
      <c r="N772" s="14" t="str">
        <f>[1]!B_Info_ListedDate(B772)</f>
        <v>2017-04-12</v>
      </c>
      <c r="O772" s="14" t="str">
        <f>[1]!b_issue_firstissue(B772)</f>
        <v>2017-04-06</v>
      </c>
      <c r="P772" s="4">
        <f t="shared" ca="1" si="41"/>
        <v>42989</v>
      </c>
    </row>
    <row r="773" spans="2:16">
      <c r="B773" s="7">
        <v>170210</v>
      </c>
      <c r="C773" s="7">
        <v>4.2575000000000003</v>
      </c>
      <c r="D773" s="18" t="str">
        <f>[1]!b_info_name(B773)</f>
        <v>17国开10</v>
      </c>
      <c r="E773" s="19">
        <f>[1]!b_info_latestissurercreditrating(B773)</f>
        <v>0</v>
      </c>
      <c r="F773" s="20">
        <f ca="1">[1]!b_anal_day(B773,$A$5)/365</f>
        <v>9.5863013698630137</v>
      </c>
      <c r="G773" s="21">
        <f ca="1">[1]!b_anal_yield_cnbd(B773,$A$5)</f>
        <v>0</v>
      </c>
      <c r="H773" s="21">
        <f t="shared" ca="1" si="39"/>
        <v>425.75</v>
      </c>
      <c r="I773" s="21">
        <f ca="1">[1]!b_anal_yield_cnbd(B773,$A$7)</f>
        <v>0</v>
      </c>
      <c r="J773" s="21">
        <f t="shared" ca="1" si="40"/>
        <v>0</v>
      </c>
      <c r="K773" s="19" t="str">
        <f>[1]!s_info_Nature(B773)</f>
        <v>中央国有企业</v>
      </c>
      <c r="L773" s="19" t="str">
        <f>[1]!b_info_windl1type(B773)</f>
        <v>金融债</v>
      </c>
      <c r="M773" s="13">
        <f>[1]!b_info_couponrate(B773)</f>
        <v>4.04</v>
      </c>
      <c r="N773" s="14" t="str">
        <f>[1]!B_Info_ListedDate(B773)</f>
        <v>2017-04-12</v>
      </c>
      <c r="O773" s="14" t="str">
        <f>[1]!b_issue_firstissue(B773)</f>
        <v>2017-04-06</v>
      </c>
      <c r="P773" s="4">
        <f t="shared" ca="1" si="41"/>
        <v>42989</v>
      </c>
    </row>
    <row r="774" spans="2:16">
      <c r="B774" s="7">
        <v>170210</v>
      </c>
      <c r="C774" s="7">
        <v>4.2575000000000003</v>
      </c>
      <c r="D774" s="18" t="str">
        <f>[1]!b_info_name(B774)</f>
        <v>17国开10</v>
      </c>
      <c r="E774" s="19">
        <f>[1]!b_info_latestissurercreditrating(B774)</f>
        <v>0</v>
      </c>
      <c r="F774" s="20">
        <f ca="1">[1]!b_anal_day(B774,$A$5)/365</f>
        <v>9.5863013698630137</v>
      </c>
      <c r="G774" s="21">
        <f ca="1">[1]!b_anal_yield_cnbd(B774,$A$5)</f>
        <v>0</v>
      </c>
      <c r="H774" s="21">
        <f t="shared" ca="1" si="39"/>
        <v>425.75</v>
      </c>
      <c r="I774" s="21">
        <f ca="1">[1]!b_anal_yield_cnbd(B774,$A$7)</f>
        <v>0</v>
      </c>
      <c r="J774" s="21">
        <f t="shared" ca="1" si="40"/>
        <v>0</v>
      </c>
      <c r="K774" s="19" t="str">
        <f>[1]!s_info_Nature(B774)</f>
        <v>中央国有企业</v>
      </c>
      <c r="L774" s="19" t="str">
        <f>[1]!b_info_windl1type(B774)</f>
        <v>金融债</v>
      </c>
      <c r="M774" s="13">
        <f>[1]!b_info_couponrate(B774)</f>
        <v>4.04</v>
      </c>
      <c r="N774" s="14" t="str">
        <f>[1]!B_Info_ListedDate(B774)</f>
        <v>2017-04-12</v>
      </c>
      <c r="O774" s="14" t="str">
        <f>[1]!b_issue_firstissue(B774)</f>
        <v>2017-04-06</v>
      </c>
      <c r="P774" s="4">
        <f t="shared" ca="1" si="41"/>
        <v>42989</v>
      </c>
    </row>
    <row r="775" spans="2:16">
      <c r="B775" s="7">
        <v>170210</v>
      </c>
      <c r="C775" s="7">
        <v>4.2575000000000003</v>
      </c>
      <c r="D775" s="18" t="str">
        <f>[1]!b_info_name(B775)</f>
        <v>17国开10</v>
      </c>
      <c r="E775" s="19">
        <f>[1]!b_info_latestissurercreditrating(B775)</f>
        <v>0</v>
      </c>
      <c r="F775" s="20">
        <f ca="1">[1]!b_anal_day(B775,$A$5)/365</f>
        <v>9.5863013698630137</v>
      </c>
      <c r="G775" s="21">
        <f ca="1">[1]!b_anal_yield_cnbd(B775,$A$5)</f>
        <v>0</v>
      </c>
      <c r="H775" s="21">
        <f t="shared" ca="1" si="39"/>
        <v>425.75</v>
      </c>
      <c r="I775" s="21">
        <f ca="1">[1]!b_anal_yield_cnbd(B775,$A$7)</f>
        <v>0</v>
      </c>
      <c r="J775" s="21">
        <f t="shared" ca="1" si="40"/>
        <v>0</v>
      </c>
      <c r="K775" s="19" t="str">
        <f>[1]!s_info_Nature(B775)</f>
        <v>中央国有企业</v>
      </c>
      <c r="L775" s="19" t="str">
        <f>[1]!b_info_windl1type(B775)</f>
        <v>金融债</v>
      </c>
      <c r="M775" s="13">
        <f>[1]!b_info_couponrate(B775)</f>
        <v>4.04</v>
      </c>
      <c r="N775" s="14" t="str">
        <f>[1]!B_Info_ListedDate(B775)</f>
        <v>2017-04-12</v>
      </c>
      <c r="O775" s="14" t="str">
        <f>[1]!b_issue_firstissue(B775)</f>
        <v>2017-04-06</v>
      </c>
      <c r="P775" s="4">
        <f t="shared" ca="1" si="41"/>
        <v>42989</v>
      </c>
    </row>
    <row r="776" spans="2:16">
      <c r="B776" s="7">
        <v>170210</v>
      </c>
      <c r="C776" s="7">
        <v>4.2575000000000003</v>
      </c>
      <c r="D776" s="18" t="str">
        <f>[1]!b_info_name(B776)</f>
        <v>17国开10</v>
      </c>
      <c r="E776" s="19">
        <f>[1]!b_info_latestissurercreditrating(B776)</f>
        <v>0</v>
      </c>
      <c r="F776" s="20">
        <f ca="1">[1]!b_anal_day(B776,$A$5)/365</f>
        <v>9.5863013698630137</v>
      </c>
      <c r="G776" s="21">
        <f ca="1">[1]!b_anal_yield_cnbd(B776,$A$5)</f>
        <v>0</v>
      </c>
      <c r="H776" s="21">
        <f t="shared" ca="1" si="39"/>
        <v>425.75</v>
      </c>
      <c r="I776" s="21">
        <f ca="1">[1]!b_anal_yield_cnbd(B776,$A$7)</f>
        <v>0</v>
      </c>
      <c r="J776" s="21">
        <f t="shared" ca="1" si="40"/>
        <v>0</v>
      </c>
      <c r="K776" s="19" t="str">
        <f>[1]!s_info_Nature(B776)</f>
        <v>中央国有企业</v>
      </c>
      <c r="L776" s="19" t="str">
        <f>[1]!b_info_windl1type(B776)</f>
        <v>金融债</v>
      </c>
      <c r="M776" s="13">
        <f>[1]!b_info_couponrate(B776)</f>
        <v>4.04</v>
      </c>
      <c r="N776" s="14" t="str">
        <f>[1]!B_Info_ListedDate(B776)</f>
        <v>2017-04-12</v>
      </c>
      <c r="O776" s="14" t="str">
        <f>[1]!b_issue_firstissue(B776)</f>
        <v>2017-04-06</v>
      </c>
      <c r="P776" s="4">
        <f t="shared" ca="1" si="41"/>
        <v>42989</v>
      </c>
    </row>
    <row r="777" spans="2:16">
      <c r="B777" s="7">
        <v>170210</v>
      </c>
      <c r="C777" s="7">
        <v>4.2575000000000003</v>
      </c>
      <c r="D777" s="18" t="str">
        <f>[1]!b_info_name(B777)</f>
        <v>17国开10</v>
      </c>
      <c r="E777" s="19">
        <f>[1]!b_info_latestissurercreditrating(B777)</f>
        <v>0</v>
      </c>
      <c r="F777" s="20">
        <f ca="1">[1]!b_anal_day(B777,$A$5)/365</f>
        <v>9.5863013698630137</v>
      </c>
      <c r="G777" s="21">
        <f ca="1">[1]!b_anal_yield_cnbd(B777,$A$5)</f>
        <v>0</v>
      </c>
      <c r="H777" s="21">
        <f t="shared" ca="1" si="39"/>
        <v>425.75</v>
      </c>
      <c r="I777" s="21">
        <f ca="1">[1]!b_anal_yield_cnbd(B777,$A$7)</f>
        <v>0</v>
      </c>
      <c r="J777" s="21">
        <f t="shared" ca="1" si="40"/>
        <v>0</v>
      </c>
      <c r="K777" s="19" t="str">
        <f>[1]!s_info_Nature(B777)</f>
        <v>中央国有企业</v>
      </c>
      <c r="L777" s="19" t="str">
        <f>[1]!b_info_windl1type(B777)</f>
        <v>金融债</v>
      </c>
      <c r="M777" s="13">
        <f>[1]!b_info_couponrate(B777)</f>
        <v>4.04</v>
      </c>
      <c r="N777" s="14" t="str">
        <f>[1]!B_Info_ListedDate(B777)</f>
        <v>2017-04-12</v>
      </c>
      <c r="O777" s="14" t="str">
        <f>[1]!b_issue_firstissue(B777)</f>
        <v>2017-04-06</v>
      </c>
      <c r="P777" s="4">
        <f t="shared" ca="1" si="41"/>
        <v>42989</v>
      </c>
    </row>
    <row r="778" spans="2:16">
      <c r="B778" s="7">
        <v>170210</v>
      </c>
      <c r="C778" s="7">
        <v>4.2575000000000003</v>
      </c>
      <c r="D778" s="18" t="str">
        <f>[1]!b_info_name(B778)</f>
        <v>17国开10</v>
      </c>
      <c r="E778" s="19">
        <f>[1]!b_info_latestissurercreditrating(B778)</f>
        <v>0</v>
      </c>
      <c r="F778" s="20">
        <f ca="1">[1]!b_anal_day(B778,$A$5)/365</f>
        <v>9.5863013698630137</v>
      </c>
      <c r="G778" s="21">
        <f ca="1">[1]!b_anal_yield_cnbd(B778,$A$5)</f>
        <v>0</v>
      </c>
      <c r="H778" s="21">
        <f t="shared" ca="1" si="39"/>
        <v>425.75</v>
      </c>
      <c r="I778" s="21">
        <f ca="1">[1]!b_anal_yield_cnbd(B778,$A$7)</f>
        <v>0</v>
      </c>
      <c r="J778" s="21">
        <f t="shared" ca="1" si="40"/>
        <v>0</v>
      </c>
      <c r="K778" s="19" t="str">
        <f>[1]!s_info_Nature(B778)</f>
        <v>中央国有企业</v>
      </c>
      <c r="L778" s="19" t="str">
        <f>[1]!b_info_windl1type(B778)</f>
        <v>金融债</v>
      </c>
      <c r="M778" s="13">
        <f>[1]!b_info_couponrate(B778)</f>
        <v>4.04</v>
      </c>
      <c r="N778" s="14" t="str">
        <f>[1]!B_Info_ListedDate(B778)</f>
        <v>2017-04-12</v>
      </c>
      <c r="O778" s="14" t="str">
        <f>[1]!b_issue_firstissue(B778)</f>
        <v>2017-04-06</v>
      </c>
      <c r="P778" s="4">
        <f t="shared" ca="1" si="41"/>
        <v>42989</v>
      </c>
    </row>
    <row r="779" spans="2:16">
      <c r="B779" s="7">
        <v>170210</v>
      </c>
      <c r="C779" s="7">
        <v>4.2575000000000003</v>
      </c>
      <c r="D779" s="18" t="str">
        <f>[1]!b_info_name(B779)</f>
        <v>17国开10</v>
      </c>
      <c r="E779" s="19">
        <f>[1]!b_info_latestissurercreditrating(B779)</f>
        <v>0</v>
      </c>
      <c r="F779" s="20">
        <f ca="1">[1]!b_anal_day(B779,$A$5)/365</f>
        <v>9.5863013698630137</v>
      </c>
      <c r="G779" s="21">
        <f ca="1">[1]!b_anal_yield_cnbd(B779,$A$5)</f>
        <v>0</v>
      </c>
      <c r="H779" s="21">
        <f t="shared" ca="1" si="39"/>
        <v>425.75</v>
      </c>
      <c r="I779" s="21">
        <f ca="1">[1]!b_anal_yield_cnbd(B779,$A$7)</f>
        <v>0</v>
      </c>
      <c r="J779" s="21">
        <f t="shared" ca="1" si="40"/>
        <v>0</v>
      </c>
      <c r="K779" s="19" t="str">
        <f>[1]!s_info_Nature(B779)</f>
        <v>中央国有企业</v>
      </c>
      <c r="L779" s="19" t="str">
        <f>[1]!b_info_windl1type(B779)</f>
        <v>金融债</v>
      </c>
      <c r="M779" s="13">
        <f>[1]!b_info_couponrate(B779)</f>
        <v>4.04</v>
      </c>
      <c r="N779" s="14" t="str">
        <f>[1]!B_Info_ListedDate(B779)</f>
        <v>2017-04-12</v>
      </c>
      <c r="O779" s="14" t="str">
        <f>[1]!b_issue_firstissue(B779)</f>
        <v>2017-04-06</v>
      </c>
      <c r="P779" s="4">
        <f t="shared" ca="1" si="41"/>
        <v>42989</v>
      </c>
    </row>
    <row r="780" spans="2:16">
      <c r="B780" s="7">
        <v>170210</v>
      </c>
      <c r="C780" s="7">
        <v>4.2575000000000003</v>
      </c>
      <c r="D780" s="18" t="str">
        <f>[1]!b_info_name(B780)</f>
        <v>17国开10</v>
      </c>
      <c r="E780" s="19">
        <f>[1]!b_info_latestissurercreditrating(B780)</f>
        <v>0</v>
      </c>
      <c r="F780" s="20">
        <f ca="1">[1]!b_anal_day(B780,$A$5)/365</f>
        <v>9.5863013698630137</v>
      </c>
      <c r="G780" s="21">
        <f ca="1">[1]!b_anal_yield_cnbd(B780,$A$5)</f>
        <v>0</v>
      </c>
      <c r="H780" s="21">
        <f t="shared" ca="1" si="39"/>
        <v>425.75</v>
      </c>
      <c r="I780" s="21">
        <f ca="1">[1]!b_anal_yield_cnbd(B780,$A$7)</f>
        <v>0</v>
      </c>
      <c r="J780" s="21">
        <f t="shared" ca="1" si="40"/>
        <v>0</v>
      </c>
      <c r="K780" s="19" t="str">
        <f>[1]!s_info_Nature(B780)</f>
        <v>中央国有企业</v>
      </c>
      <c r="L780" s="19" t="str">
        <f>[1]!b_info_windl1type(B780)</f>
        <v>金融债</v>
      </c>
      <c r="M780" s="13">
        <f>[1]!b_info_couponrate(B780)</f>
        <v>4.04</v>
      </c>
      <c r="N780" s="14" t="str">
        <f>[1]!B_Info_ListedDate(B780)</f>
        <v>2017-04-12</v>
      </c>
      <c r="O780" s="14" t="str">
        <f>[1]!b_issue_firstissue(B780)</f>
        <v>2017-04-06</v>
      </c>
      <c r="P780" s="4">
        <f t="shared" ca="1" si="41"/>
        <v>42989</v>
      </c>
    </row>
    <row r="781" spans="2:16">
      <c r="B781" s="7">
        <v>170210</v>
      </c>
      <c r="C781" s="7">
        <v>4.2575000000000003</v>
      </c>
      <c r="D781" s="18" t="str">
        <f>[1]!b_info_name(B781)</f>
        <v>17国开10</v>
      </c>
      <c r="E781" s="19">
        <f>[1]!b_info_latestissurercreditrating(B781)</f>
        <v>0</v>
      </c>
      <c r="F781" s="20">
        <f ca="1">[1]!b_anal_day(B781,$A$5)/365</f>
        <v>9.5863013698630137</v>
      </c>
      <c r="G781" s="21">
        <f ca="1">[1]!b_anal_yield_cnbd(B781,$A$5)</f>
        <v>0</v>
      </c>
      <c r="H781" s="21">
        <f t="shared" ca="1" si="39"/>
        <v>425.75</v>
      </c>
      <c r="I781" s="21">
        <f ca="1">[1]!b_anal_yield_cnbd(B781,$A$7)</f>
        <v>0</v>
      </c>
      <c r="J781" s="21">
        <f t="shared" ca="1" si="40"/>
        <v>0</v>
      </c>
      <c r="K781" s="19" t="str">
        <f>[1]!s_info_Nature(B781)</f>
        <v>中央国有企业</v>
      </c>
      <c r="L781" s="19" t="str">
        <f>[1]!b_info_windl1type(B781)</f>
        <v>金融债</v>
      </c>
      <c r="M781" s="13">
        <f>[1]!b_info_couponrate(B781)</f>
        <v>4.04</v>
      </c>
      <c r="N781" s="14" t="str">
        <f>[1]!B_Info_ListedDate(B781)</f>
        <v>2017-04-12</v>
      </c>
      <c r="O781" s="14" t="str">
        <f>[1]!b_issue_firstissue(B781)</f>
        <v>2017-04-06</v>
      </c>
      <c r="P781" s="4">
        <f t="shared" ca="1" si="41"/>
        <v>42989</v>
      </c>
    </row>
    <row r="782" spans="2:16">
      <c r="B782" s="7">
        <v>170210</v>
      </c>
      <c r="C782" s="7">
        <v>4.2575000000000003</v>
      </c>
      <c r="D782" s="18" t="str">
        <f>[1]!b_info_name(B782)</f>
        <v>17国开10</v>
      </c>
      <c r="E782" s="19">
        <f>[1]!b_info_latestissurercreditrating(B782)</f>
        <v>0</v>
      </c>
      <c r="F782" s="20">
        <f ca="1">[1]!b_anal_day(B782,$A$5)/365</f>
        <v>9.5863013698630137</v>
      </c>
      <c r="G782" s="21">
        <f ca="1">[1]!b_anal_yield_cnbd(B782,$A$5)</f>
        <v>0</v>
      </c>
      <c r="H782" s="21">
        <f t="shared" ca="1" si="39"/>
        <v>425.75</v>
      </c>
      <c r="I782" s="21">
        <f ca="1">[1]!b_anal_yield_cnbd(B782,$A$7)</f>
        <v>0</v>
      </c>
      <c r="J782" s="21">
        <f t="shared" ca="1" si="40"/>
        <v>0</v>
      </c>
      <c r="K782" s="19" t="str">
        <f>[1]!s_info_Nature(B782)</f>
        <v>中央国有企业</v>
      </c>
      <c r="L782" s="19" t="str">
        <f>[1]!b_info_windl1type(B782)</f>
        <v>金融债</v>
      </c>
      <c r="M782" s="13">
        <f>[1]!b_info_couponrate(B782)</f>
        <v>4.04</v>
      </c>
      <c r="N782" s="14" t="str">
        <f>[1]!B_Info_ListedDate(B782)</f>
        <v>2017-04-12</v>
      </c>
      <c r="O782" s="14" t="str">
        <f>[1]!b_issue_firstissue(B782)</f>
        <v>2017-04-06</v>
      </c>
      <c r="P782" s="4">
        <f t="shared" ca="1" si="41"/>
        <v>42989</v>
      </c>
    </row>
    <row r="783" spans="2:16">
      <c r="B783" s="7">
        <v>170210</v>
      </c>
      <c r="C783" s="7">
        <v>4.2575000000000003</v>
      </c>
      <c r="D783" s="18" t="str">
        <f>[1]!b_info_name(B783)</f>
        <v>17国开10</v>
      </c>
      <c r="E783" s="19">
        <f>[1]!b_info_latestissurercreditrating(B783)</f>
        <v>0</v>
      </c>
      <c r="F783" s="20">
        <f ca="1">[1]!b_anal_day(B783,$A$5)/365</f>
        <v>9.5863013698630137</v>
      </c>
      <c r="G783" s="21">
        <f ca="1">[1]!b_anal_yield_cnbd(B783,$A$5)</f>
        <v>0</v>
      </c>
      <c r="H783" s="21">
        <f t="shared" ca="1" si="39"/>
        <v>425.75</v>
      </c>
      <c r="I783" s="21">
        <f ca="1">[1]!b_anal_yield_cnbd(B783,$A$7)</f>
        <v>0</v>
      </c>
      <c r="J783" s="21">
        <f t="shared" ca="1" si="40"/>
        <v>0</v>
      </c>
      <c r="K783" s="19" t="str">
        <f>[1]!s_info_Nature(B783)</f>
        <v>中央国有企业</v>
      </c>
      <c r="L783" s="19" t="str">
        <f>[1]!b_info_windl1type(B783)</f>
        <v>金融债</v>
      </c>
      <c r="M783" s="13">
        <f>[1]!b_info_couponrate(B783)</f>
        <v>4.04</v>
      </c>
      <c r="N783" s="14" t="str">
        <f>[1]!B_Info_ListedDate(B783)</f>
        <v>2017-04-12</v>
      </c>
      <c r="O783" s="14" t="str">
        <f>[1]!b_issue_firstissue(B783)</f>
        <v>2017-04-06</v>
      </c>
      <c r="P783" s="4">
        <f t="shared" ca="1" si="41"/>
        <v>42989</v>
      </c>
    </row>
    <row r="784" spans="2:16">
      <c r="B784" s="7">
        <v>170210</v>
      </c>
      <c r="C784" s="7">
        <v>4.2575000000000003</v>
      </c>
      <c r="D784" s="18" t="str">
        <f>[1]!b_info_name(B784)</f>
        <v>17国开10</v>
      </c>
      <c r="E784" s="19">
        <f>[1]!b_info_latestissurercreditrating(B784)</f>
        <v>0</v>
      </c>
      <c r="F784" s="20">
        <f ca="1">[1]!b_anal_day(B784,$A$5)/365</f>
        <v>9.5863013698630137</v>
      </c>
      <c r="G784" s="21">
        <f ca="1">[1]!b_anal_yield_cnbd(B784,$A$5)</f>
        <v>0</v>
      </c>
      <c r="H784" s="21">
        <f t="shared" ca="1" si="39"/>
        <v>425.75</v>
      </c>
      <c r="I784" s="21">
        <f ca="1">[1]!b_anal_yield_cnbd(B784,$A$7)</f>
        <v>0</v>
      </c>
      <c r="J784" s="21">
        <f t="shared" ca="1" si="40"/>
        <v>0</v>
      </c>
      <c r="K784" s="19" t="str">
        <f>[1]!s_info_Nature(B784)</f>
        <v>中央国有企业</v>
      </c>
      <c r="L784" s="19" t="str">
        <f>[1]!b_info_windl1type(B784)</f>
        <v>金融债</v>
      </c>
      <c r="M784" s="13">
        <f>[1]!b_info_couponrate(B784)</f>
        <v>4.04</v>
      </c>
      <c r="N784" s="14" t="str">
        <f>[1]!B_Info_ListedDate(B784)</f>
        <v>2017-04-12</v>
      </c>
      <c r="O784" s="14" t="str">
        <f>[1]!b_issue_firstissue(B784)</f>
        <v>2017-04-06</v>
      </c>
      <c r="P784" s="4">
        <f t="shared" ca="1" si="41"/>
        <v>42989</v>
      </c>
    </row>
    <row r="785" spans="2:16">
      <c r="B785" s="7">
        <v>170210</v>
      </c>
      <c r="C785" s="7">
        <v>4.2575000000000003</v>
      </c>
      <c r="D785" s="18" t="str">
        <f>[1]!b_info_name(B785)</f>
        <v>17国开10</v>
      </c>
      <c r="E785" s="19">
        <f>[1]!b_info_latestissurercreditrating(B785)</f>
        <v>0</v>
      </c>
      <c r="F785" s="20">
        <f ca="1">[1]!b_anal_day(B785,$A$5)/365</f>
        <v>9.5863013698630137</v>
      </c>
      <c r="G785" s="21">
        <f ca="1">[1]!b_anal_yield_cnbd(B785,$A$5)</f>
        <v>0</v>
      </c>
      <c r="H785" s="21">
        <f t="shared" ca="1" si="39"/>
        <v>425.75</v>
      </c>
      <c r="I785" s="21">
        <f ca="1">[1]!b_anal_yield_cnbd(B785,$A$7)</f>
        <v>0</v>
      </c>
      <c r="J785" s="21">
        <f t="shared" ca="1" si="40"/>
        <v>0</v>
      </c>
      <c r="K785" s="19" t="str">
        <f>[1]!s_info_Nature(B785)</f>
        <v>中央国有企业</v>
      </c>
      <c r="L785" s="19" t="str">
        <f>[1]!b_info_windl1type(B785)</f>
        <v>金融债</v>
      </c>
      <c r="M785" s="13">
        <f>[1]!b_info_couponrate(B785)</f>
        <v>4.04</v>
      </c>
      <c r="N785" s="14" t="str">
        <f>[1]!B_Info_ListedDate(B785)</f>
        <v>2017-04-12</v>
      </c>
      <c r="O785" s="14" t="str">
        <f>[1]!b_issue_firstissue(B785)</f>
        <v>2017-04-06</v>
      </c>
      <c r="P785" s="4">
        <f t="shared" ca="1" si="41"/>
        <v>42989</v>
      </c>
    </row>
    <row r="786" spans="2:16">
      <c r="B786" s="7">
        <v>170210</v>
      </c>
      <c r="C786" s="7">
        <v>4.2575000000000003</v>
      </c>
      <c r="D786" s="18" t="str">
        <f>[1]!b_info_name(B786)</f>
        <v>17国开10</v>
      </c>
      <c r="E786" s="19">
        <f>[1]!b_info_latestissurercreditrating(B786)</f>
        <v>0</v>
      </c>
      <c r="F786" s="20">
        <f ca="1">[1]!b_anal_day(B786,$A$5)/365</f>
        <v>9.5863013698630137</v>
      </c>
      <c r="G786" s="21">
        <f ca="1">[1]!b_anal_yield_cnbd(B786,$A$5)</f>
        <v>0</v>
      </c>
      <c r="H786" s="21">
        <f t="shared" ca="1" si="39"/>
        <v>425.75</v>
      </c>
      <c r="I786" s="21">
        <f ca="1">[1]!b_anal_yield_cnbd(B786,$A$7)</f>
        <v>0</v>
      </c>
      <c r="J786" s="21">
        <f t="shared" ca="1" si="40"/>
        <v>0</v>
      </c>
      <c r="K786" s="19" t="str">
        <f>[1]!s_info_Nature(B786)</f>
        <v>中央国有企业</v>
      </c>
      <c r="L786" s="19" t="str">
        <f>[1]!b_info_windl1type(B786)</f>
        <v>金融债</v>
      </c>
      <c r="M786" s="13">
        <f>[1]!b_info_couponrate(B786)</f>
        <v>4.04</v>
      </c>
      <c r="N786" s="14" t="str">
        <f>[1]!B_Info_ListedDate(B786)</f>
        <v>2017-04-12</v>
      </c>
      <c r="O786" s="14" t="str">
        <f>[1]!b_issue_firstissue(B786)</f>
        <v>2017-04-06</v>
      </c>
      <c r="P786" s="4">
        <f t="shared" ca="1" si="41"/>
        <v>42989</v>
      </c>
    </row>
    <row r="787" spans="2:16">
      <c r="B787" s="7">
        <v>170210</v>
      </c>
      <c r="C787" s="7">
        <v>4.2575000000000003</v>
      </c>
      <c r="D787" s="18" t="str">
        <f>[1]!b_info_name(B787)</f>
        <v>17国开10</v>
      </c>
      <c r="E787" s="19">
        <f>[1]!b_info_latestissurercreditrating(B787)</f>
        <v>0</v>
      </c>
      <c r="F787" s="20">
        <f ca="1">[1]!b_anal_day(B787,$A$5)/365</f>
        <v>9.5863013698630137</v>
      </c>
      <c r="G787" s="21">
        <f ca="1">[1]!b_anal_yield_cnbd(B787,$A$5)</f>
        <v>0</v>
      </c>
      <c r="H787" s="21">
        <f t="shared" ca="1" si="39"/>
        <v>425.75</v>
      </c>
      <c r="I787" s="21">
        <f ca="1">[1]!b_anal_yield_cnbd(B787,$A$7)</f>
        <v>0</v>
      </c>
      <c r="J787" s="21">
        <f t="shared" ca="1" si="40"/>
        <v>0</v>
      </c>
      <c r="K787" s="19" t="str">
        <f>[1]!s_info_Nature(B787)</f>
        <v>中央国有企业</v>
      </c>
      <c r="L787" s="19" t="str">
        <f>[1]!b_info_windl1type(B787)</f>
        <v>金融债</v>
      </c>
      <c r="M787" s="13">
        <f>[1]!b_info_couponrate(B787)</f>
        <v>4.04</v>
      </c>
      <c r="N787" s="14" t="str">
        <f>[1]!B_Info_ListedDate(B787)</f>
        <v>2017-04-12</v>
      </c>
      <c r="O787" s="14" t="str">
        <f>[1]!b_issue_firstissue(B787)</f>
        <v>2017-04-06</v>
      </c>
      <c r="P787" s="4">
        <f t="shared" ca="1" si="41"/>
        <v>42989</v>
      </c>
    </row>
    <row r="788" spans="2:16">
      <c r="B788" s="7">
        <v>170210</v>
      </c>
      <c r="C788" s="7">
        <v>4.2575000000000003</v>
      </c>
      <c r="D788" s="18" t="str">
        <f>[1]!b_info_name(B788)</f>
        <v>17国开10</v>
      </c>
      <c r="E788" s="19">
        <f>[1]!b_info_latestissurercreditrating(B788)</f>
        <v>0</v>
      </c>
      <c r="F788" s="20">
        <f ca="1">[1]!b_anal_day(B788,$A$5)/365</f>
        <v>9.5863013698630137</v>
      </c>
      <c r="G788" s="21">
        <f ca="1">[1]!b_anal_yield_cnbd(B788,$A$5)</f>
        <v>0</v>
      </c>
      <c r="H788" s="21">
        <f t="shared" ca="1" si="39"/>
        <v>425.75</v>
      </c>
      <c r="I788" s="21">
        <f ca="1">[1]!b_anal_yield_cnbd(B788,$A$7)</f>
        <v>0</v>
      </c>
      <c r="J788" s="21">
        <f t="shared" ca="1" si="40"/>
        <v>0</v>
      </c>
      <c r="K788" s="19" t="str">
        <f>[1]!s_info_Nature(B788)</f>
        <v>中央国有企业</v>
      </c>
      <c r="L788" s="19" t="str">
        <f>[1]!b_info_windl1type(B788)</f>
        <v>金融债</v>
      </c>
      <c r="M788" s="13">
        <f>[1]!b_info_couponrate(B788)</f>
        <v>4.04</v>
      </c>
      <c r="N788" s="14" t="str">
        <f>[1]!B_Info_ListedDate(B788)</f>
        <v>2017-04-12</v>
      </c>
      <c r="O788" s="14" t="str">
        <f>[1]!b_issue_firstissue(B788)</f>
        <v>2017-04-06</v>
      </c>
      <c r="P788" s="4">
        <f t="shared" ca="1" si="41"/>
        <v>42989</v>
      </c>
    </row>
    <row r="789" spans="2:16">
      <c r="B789" s="7">
        <v>170210</v>
      </c>
      <c r="C789" s="7">
        <v>4.2575000000000003</v>
      </c>
      <c r="D789" s="18" t="str">
        <f>[1]!b_info_name(B789)</f>
        <v>17国开10</v>
      </c>
      <c r="E789" s="19">
        <f>[1]!b_info_latestissurercreditrating(B789)</f>
        <v>0</v>
      </c>
      <c r="F789" s="20">
        <f ca="1">[1]!b_anal_day(B789,$A$5)/365</f>
        <v>9.5863013698630137</v>
      </c>
      <c r="G789" s="21">
        <f ca="1">[1]!b_anal_yield_cnbd(B789,$A$5)</f>
        <v>0</v>
      </c>
      <c r="H789" s="21">
        <f t="shared" ca="1" si="39"/>
        <v>425.75</v>
      </c>
      <c r="I789" s="21">
        <f ca="1">[1]!b_anal_yield_cnbd(B789,$A$7)</f>
        <v>0</v>
      </c>
      <c r="J789" s="21">
        <f t="shared" ca="1" si="40"/>
        <v>0</v>
      </c>
      <c r="K789" s="19" t="str">
        <f>[1]!s_info_Nature(B789)</f>
        <v>中央国有企业</v>
      </c>
      <c r="L789" s="19" t="str">
        <f>[1]!b_info_windl1type(B789)</f>
        <v>金融债</v>
      </c>
      <c r="M789" s="13">
        <f>[1]!b_info_couponrate(B789)</f>
        <v>4.04</v>
      </c>
      <c r="N789" s="14" t="str">
        <f>[1]!B_Info_ListedDate(B789)</f>
        <v>2017-04-12</v>
      </c>
      <c r="O789" s="14" t="str">
        <f>[1]!b_issue_firstissue(B789)</f>
        <v>2017-04-06</v>
      </c>
      <c r="P789" s="4">
        <f t="shared" ca="1" si="41"/>
        <v>42989</v>
      </c>
    </row>
    <row r="790" spans="2:16">
      <c r="B790" s="7">
        <v>170210</v>
      </c>
      <c r="C790" s="7">
        <v>4.2575000000000003</v>
      </c>
      <c r="D790" s="18" t="str">
        <f>[1]!b_info_name(B790)</f>
        <v>17国开10</v>
      </c>
      <c r="E790" s="19">
        <f>[1]!b_info_latestissurercreditrating(B790)</f>
        <v>0</v>
      </c>
      <c r="F790" s="20">
        <f ca="1">[1]!b_anal_day(B790,$A$5)/365</f>
        <v>9.5863013698630137</v>
      </c>
      <c r="G790" s="21">
        <f ca="1">[1]!b_anal_yield_cnbd(B790,$A$5)</f>
        <v>0</v>
      </c>
      <c r="H790" s="21">
        <f t="shared" ca="1" si="39"/>
        <v>425.75</v>
      </c>
      <c r="I790" s="21">
        <f ca="1">[1]!b_anal_yield_cnbd(B790,$A$7)</f>
        <v>0</v>
      </c>
      <c r="J790" s="21">
        <f t="shared" ca="1" si="40"/>
        <v>0</v>
      </c>
      <c r="K790" s="19" t="str">
        <f>[1]!s_info_Nature(B790)</f>
        <v>中央国有企业</v>
      </c>
      <c r="L790" s="19" t="str">
        <f>[1]!b_info_windl1type(B790)</f>
        <v>金融债</v>
      </c>
      <c r="M790" s="13">
        <f>[1]!b_info_couponrate(B790)</f>
        <v>4.04</v>
      </c>
      <c r="N790" s="14" t="str">
        <f>[1]!B_Info_ListedDate(B790)</f>
        <v>2017-04-12</v>
      </c>
      <c r="O790" s="14" t="str">
        <f>[1]!b_issue_firstissue(B790)</f>
        <v>2017-04-06</v>
      </c>
      <c r="P790" s="4">
        <f t="shared" ca="1" si="41"/>
        <v>42989</v>
      </c>
    </row>
    <row r="791" spans="2:16">
      <c r="B791" s="7">
        <v>170210</v>
      </c>
      <c r="C791" s="7">
        <v>4.2549999999999999</v>
      </c>
      <c r="D791" s="18" t="str">
        <f>[1]!b_info_name(B791)</f>
        <v>17国开10</v>
      </c>
      <c r="E791" s="19">
        <f>[1]!b_info_latestissurercreditrating(B791)</f>
        <v>0</v>
      </c>
      <c r="F791" s="20">
        <f ca="1">[1]!b_anal_day(B791,$A$5)/365</f>
        <v>9.5863013698630137</v>
      </c>
      <c r="G791" s="21">
        <f ca="1">[1]!b_anal_yield_cnbd(B791,$A$5)</f>
        <v>0</v>
      </c>
      <c r="H791" s="21">
        <f t="shared" ca="1" si="39"/>
        <v>425.5</v>
      </c>
      <c r="I791" s="21">
        <f ca="1">[1]!b_anal_yield_cnbd(B791,$A$7)</f>
        <v>0</v>
      </c>
      <c r="J791" s="21">
        <f t="shared" ca="1" si="40"/>
        <v>0</v>
      </c>
      <c r="K791" s="19" t="str">
        <f>[1]!s_info_Nature(B791)</f>
        <v>中央国有企业</v>
      </c>
      <c r="L791" s="19" t="str">
        <f>[1]!b_info_windl1type(B791)</f>
        <v>金融债</v>
      </c>
      <c r="M791" s="13">
        <f>[1]!b_info_couponrate(B791)</f>
        <v>4.04</v>
      </c>
      <c r="N791" s="14" t="str">
        <f>[1]!B_Info_ListedDate(B791)</f>
        <v>2017-04-12</v>
      </c>
      <c r="O791" s="14" t="str">
        <f>[1]!b_issue_firstissue(B791)</f>
        <v>2017-04-06</v>
      </c>
      <c r="P791" s="4">
        <f t="shared" ca="1" si="41"/>
        <v>42989</v>
      </c>
    </row>
    <row r="792" spans="2:16">
      <c r="B792" s="7">
        <v>170210</v>
      </c>
      <c r="C792" s="7">
        <v>4.2549999999999999</v>
      </c>
      <c r="D792" s="18" t="str">
        <f>[1]!b_info_name(B792)</f>
        <v>17国开10</v>
      </c>
      <c r="E792" s="19">
        <f>[1]!b_info_latestissurercreditrating(B792)</f>
        <v>0</v>
      </c>
      <c r="F792" s="20">
        <f ca="1">[1]!b_anal_day(B792,$A$5)/365</f>
        <v>9.5863013698630137</v>
      </c>
      <c r="G792" s="21">
        <f ca="1">[1]!b_anal_yield_cnbd(B792,$A$5)</f>
        <v>0</v>
      </c>
      <c r="H792" s="21">
        <f t="shared" ca="1" si="39"/>
        <v>425.5</v>
      </c>
      <c r="I792" s="21">
        <f ca="1">[1]!b_anal_yield_cnbd(B792,$A$7)</f>
        <v>0</v>
      </c>
      <c r="J792" s="21">
        <f t="shared" ca="1" si="40"/>
        <v>0</v>
      </c>
      <c r="K792" s="19" t="str">
        <f>[1]!s_info_Nature(B792)</f>
        <v>中央国有企业</v>
      </c>
      <c r="L792" s="19" t="str">
        <f>[1]!b_info_windl1type(B792)</f>
        <v>金融债</v>
      </c>
      <c r="M792" s="13">
        <f>[1]!b_info_couponrate(B792)</f>
        <v>4.04</v>
      </c>
      <c r="N792" s="14" t="str">
        <f>[1]!B_Info_ListedDate(B792)</f>
        <v>2017-04-12</v>
      </c>
      <c r="O792" s="14" t="str">
        <f>[1]!b_issue_firstissue(B792)</f>
        <v>2017-04-06</v>
      </c>
      <c r="P792" s="4">
        <f t="shared" ca="1" si="41"/>
        <v>42989</v>
      </c>
    </row>
    <row r="793" spans="2:16">
      <c r="B793" s="7">
        <v>170210</v>
      </c>
      <c r="C793" s="7">
        <v>4.2549999999999999</v>
      </c>
      <c r="D793" s="18" t="str">
        <f>[1]!b_info_name(B793)</f>
        <v>17国开10</v>
      </c>
      <c r="E793" s="19">
        <f>[1]!b_info_latestissurercreditrating(B793)</f>
        <v>0</v>
      </c>
      <c r="F793" s="20">
        <f ca="1">[1]!b_anal_day(B793,$A$5)/365</f>
        <v>9.5863013698630137</v>
      </c>
      <c r="G793" s="21">
        <f ca="1">[1]!b_anal_yield_cnbd(B793,$A$5)</f>
        <v>0</v>
      </c>
      <c r="H793" s="21">
        <f t="shared" ca="1" si="39"/>
        <v>425.5</v>
      </c>
      <c r="I793" s="21">
        <f ca="1">[1]!b_anal_yield_cnbd(B793,$A$7)</f>
        <v>0</v>
      </c>
      <c r="J793" s="21">
        <f t="shared" ca="1" si="40"/>
        <v>0</v>
      </c>
      <c r="K793" s="19" t="str">
        <f>[1]!s_info_Nature(B793)</f>
        <v>中央国有企业</v>
      </c>
      <c r="L793" s="19" t="str">
        <f>[1]!b_info_windl1type(B793)</f>
        <v>金融债</v>
      </c>
      <c r="M793" s="13">
        <f>[1]!b_info_couponrate(B793)</f>
        <v>4.04</v>
      </c>
      <c r="N793" s="14" t="str">
        <f>[1]!B_Info_ListedDate(B793)</f>
        <v>2017-04-12</v>
      </c>
      <c r="O793" s="14" t="str">
        <f>[1]!b_issue_firstissue(B793)</f>
        <v>2017-04-06</v>
      </c>
      <c r="P793" s="4">
        <f t="shared" ca="1" si="41"/>
        <v>42989</v>
      </c>
    </row>
    <row r="794" spans="2:16">
      <c r="B794" s="7">
        <v>170210</v>
      </c>
      <c r="C794" s="7">
        <v>4.2549999999999999</v>
      </c>
      <c r="D794" s="18" t="str">
        <f>[1]!b_info_name(B794)</f>
        <v>17国开10</v>
      </c>
      <c r="E794" s="19">
        <f>[1]!b_info_latestissurercreditrating(B794)</f>
        <v>0</v>
      </c>
      <c r="F794" s="20">
        <f ca="1">[1]!b_anal_day(B794,$A$5)/365</f>
        <v>9.5863013698630137</v>
      </c>
      <c r="G794" s="21">
        <f ca="1">[1]!b_anal_yield_cnbd(B794,$A$5)</f>
        <v>0</v>
      </c>
      <c r="H794" s="21">
        <f t="shared" ca="1" si="39"/>
        <v>425.5</v>
      </c>
      <c r="I794" s="21">
        <f ca="1">[1]!b_anal_yield_cnbd(B794,$A$7)</f>
        <v>0</v>
      </c>
      <c r="J794" s="21">
        <f t="shared" ca="1" si="40"/>
        <v>0</v>
      </c>
      <c r="K794" s="19" t="str">
        <f>[1]!s_info_Nature(B794)</f>
        <v>中央国有企业</v>
      </c>
      <c r="L794" s="19" t="str">
        <f>[1]!b_info_windl1type(B794)</f>
        <v>金融债</v>
      </c>
      <c r="M794" s="13">
        <f>[1]!b_info_couponrate(B794)</f>
        <v>4.04</v>
      </c>
      <c r="N794" s="14" t="str">
        <f>[1]!B_Info_ListedDate(B794)</f>
        <v>2017-04-12</v>
      </c>
      <c r="O794" s="14" t="str">
        <f>[1]!b_issue_firstissue(B794)</f>
        <v>2017-04-06</v>
      </c>
      <c r="P794" s="4">
        <f t="shared" ca="1" si="41"/>
        <v>42989</v>
      </c>
    </row>
    <row r="795" spans="2:16">
      <c r="B795" s="7">
        <v>170210</v>
      </c>
      <c r="C795" s="7">
        <v>4.2549999999999999</v>
      </c>
      <c r="D795" s="18" t="str">
        <f>[1]!b_info_name(B795)</f>
        <v>17国开10</v>
      </c>
      <c r="E795" s="19">
        <f>[1]!b_info_latestissurercreditrating(B795)</f>
        <v>0</v>
      </c>
      <c r="F795" s="20">
        <f ca="1">[1]!b_anal_day(B795,$A$5)/365</f>
        <v>9.5863013698630137</v>
      </c>
      <c r="G795" s="21">
        <f ca="1">[1]!b_anal_yield_cnbd(B795,$A$5)</f>
        <v>0</v>
      </c>
      <c r="H795" s="21">
        <f t="shared" ca="1" si="39"/>
        <v>425.5</v>
      </c>
      <c r="I795" s="21">
        <f ca="1">[1]!b_anal_yield_cnbd(B795,$A$7)</f>
        <v>0</v>
      </c>
      <c r="J795" s="21">
        <f t="shared" ca="1" si="40"/>
        <v>0</v>
      </c>
      <c r="K795" s="19" t="str">
        <f>[1]!s_info_Nature(B795)</f>
        <v>中央国有企业</v>
      </c>
      <c r="L795" s="19" t="str">
        <f>[1]!b_info_windl1type(B795)</f>
        <v>金融债</v>
      </c>
      <c r="M795" s="13">
        <f>[1]!b_info_couponrate(B795)</f>
        <v>4.04</v>
      </c>
      <c r="N795" s="14" t="str">
        <f>[1]!B_Info_ListedDate(B795)</f>
        <v>2017-04-12</v>
      </c>
      <c r="O795" s="14" t="str">
        <f>[1]!b_issue_firstissue(B795)</f>
        <v>2017-04-06</v>
      </c>
      <c r="P795" s="4">
        <f t="shared" ca="1" si="41"/>
        <v>42989</v>
      </c>
    </row>
    <row r="796" spans="2:16">
      <c r="B796" s="7">
        <v>170210</v>
      </c>
      <c r="C796" s="7">
        <v>4.2549999999999999</v>
      </c>
      <c r="D796" s="18" t="str">
        <f>[1]!b_info_name(B796)</f>
        <v>17国开10</v>
      </c>
      <c r="E796" s="19">
        <f>[1]!b_info_latestissurercreditrating(B796)</f>
        <v>0</v>
      </c>
      <c r="F796" s="20">
        <f ca="1">[1]!b_anal_day(B796,$A$5)/365</f>
        <v>9.5863013698630137</v>
      </c>
      <c r="G796" s="21">
        <f ca="1">[1]!b_anal_yield_cnbd(B796,$A$5)</f>
        <v>0</v>
      </c>
      <c r="H796" s="21">
        <f t="shared" ca="1" si="39"/>
        <v>425.5</v>
      </c>
      <c r="I796" s="21">
        <f ca="1">[1]!b_anal_yield_cnbd(B796,$A$7)</f>
        <v>0</v>
      </c>
      <c r="J796" s="21">
        <f t="shared" ca="1" si="40"/>
        <v>0</v>
      </c>
      <c r="K796" s="19" t="str">
        <f>[1]!s_info_Nature(B796)</f>
        <v>中央国有企业</v>
      </c>
      <c r="L796" s="19" t="str">
        <f>[1]!b_info_windl1type(B796)</f>
        <v>金融债</v>
      </c>
      <c r="M796" s="13">
        <f>[1]!b_info_couponrate(B796)</f>
        <v>4.04</v>
      </c>
      <c r="N796" s="14" t="str">
        <f>[1]!B_Info_ListedDate(B796)</f>
        <v>2017-04-12</v>
      </c>
      <c r="O796" s="14" t="str">
        <f>[1]!b_issue_firstissue(B796)</f>
        <v>2017-04-06</v>
      </c>
      <c r="P796" s="4">
        <f t="shared" ca="1" si="41"/>
        <v>42989</v>
      </c>
    </row>
    <row r="797" spans="2:16">
      <c r="B797" s="7">
        <v>170210</v>
      </c>
      <c r="C797" s="7">
        <v>4.2549999999999999</v>
      </c>
      <c r="D797" s="18" t="str">
        <f>[1]!b_info_name(B797)</f>
        <v>17国开10</v>
      </c>
      <c r="E797" s="19">
        <f>[1]!b_info_latestissurercreditrating(B797)</f>
        <v>0</v>
      </c>
      <c r="F797" s="20">
        <f ca="1">[1]!b_anal_day(B797,$A$5)/365</f>
        <v>9.5863013698630137</v>
      </c>
      <c r="G797" s="21">
        <f ca="1">[1]!b_anal_yield_cnbd(B797,$A$5)</f>
        <v>0</v>
      </c>
      <c r="H797" s="21">
        <f t="shared" ca="1" si="39"/>
        <v>425.5</v>
      </c>
      <c r="I797" s="21">
        <f ca="1">[1]!b_anal_yield_cnbd(B797,$A$7)</f>
        <v>0</v>
      </c>
      <c r="J797" s="21">
        <f t="shared" ca="1" si="40"/>
        <v>0</v>
      </c>
      <c r="K797" s="19" t="str">
        <f>[1]!s_info_Nature(B797)</f>
        <v>中央国有企业</v>
      </c>
      <c r="L797" s="19" t="str">
        <f>[1]!b_info_windl1type(B797)</f>
        <v>金融债</v>
      </c>
      <c r="M797" s="13">
        <f>[1]!b_info_couponrate(B797)</f>
        <v>4.04</v>
      </c>
      <c r="N797" s="14" t="str">
        <f>[1]!B_Info_ListedDate(B797)</f>
        <v>2017-04-12</v>
      </c>
      <c r="O797" s="14" t="str">
        <f>[1]!b_issue_firstissue(B797)</f>
        <v>2017-04-06</v>
      </c>
      <c r="P797" s="4">
        <f t="shared" ca="1" si="41"/>
        <v>42989</v>
      </c>
    </row>
    <row r="798" spans="2:16">
      <c r="B798" s="7">
        <v>170210</v>
      </c>
      <c r="C798" s="7">
        <v>4.2549999999999999</v>
      </c>
      <c r="D798" s="18" t="str">
        <f>[1]!b_info_name(B798)</f>
        <v>17国开10</v>
      </c>
      <c r="E798" s="19">
        <f>[1]!b_info_latestissurercreditrating(B798)</f>
        <v>0</v>
      </c>
      <c r="F798" s="20">
        <f ca="1">[1]!b_anal_day(B798,$A$5)/365</f>
        <v>9.5863013698630137</v>
      </c>
      <c r="G798" s="21">
        <f ca="1">[1]!b_anal_yield_cnbd(B798,$A$5)</f>
        <v>0</v>
      </c>
      <c r="H798" s="21">
        <f t="shared" ca="1" si="39"/>
        <v>425.5</v>
      </c>
      <c r="I798" s="21">
        <f ca="1">[1]!b_anal_yield_cnbd(B798,$A$7)</f>
        <v>0</v>
      </c>
      <c r="J798" s="21">
        <f t="shared" ca="1" si="40"/>
        <v>0</v>
      </c>
      <c r="K798" s="19" t="str">
        <f>[1]!s_info_Nature(B798)</f>
        <v>中央国有企业</v>
      </c>
      <c r="L798" s="19" t="str">
        <f>[1]!b_info_windl1type(B798)</f>
        <v>金融债</v>
      </c>
      <c r="M798" s="13">
        <f>[1]!b_info_couponrate(B798)</f>
        <v>4.04</v>
      </c>
      <c r="N798" s="14" t="str">
        <f>[1]!B_Info_ListedDate(B798)</f>
        <v>2017-04-12</v>
      </c>
      <c r="O798" s="14" t="str">
        <f>[1]!b_issue_firstissue(B798)</f>
        <v>2017-04-06</v>
      </c>
      <c r="P798" s="4">
        <f t="shared" ca="1" si="41"/>
        <v>42989</v>
      </c>
    </row>
    <row r="799" spans="2:16">
      <c r="B799" s="7">
        <v>170210</v>
      </c>
      <c r="C799" s="7">
        <v>4.2549999999999999</v>
      </c>
      <c r="D799" s="18" t="str">
        <f>[1]!b_info_name(B799)</f>
        <v>17国开10</v>
      </c>
      <c r="E799" s="19">
        <f>[1]!b_info_latestissurercreditrating(B799)</f>
        <v>0</v>
      </c>
      <c r="F799" s="20">
        <f ca="1">[1]!b_anal_day(B799,$A$5)/365</f>
        <v>9.5863013698630137</v>
      </c>
      <c r="G799" s="21">
        <f ca="1">[1]!b_anal_yield_cnbd(B799,$A$5)</f>
        <v>0</v>
      </c>
      <c r="H799" s="21">
        <f t="shared" ca="1" si="39"/>
        <v>425.5</v>
      </c>
      <c r="I799" s="21">
        <f ca="1">[1]!b_anal_yield_cnbd(B799,$A$7)</f>
        <v>0</v>
      </c>
      <c r="J799" s="21">
        <f t="shared" ca="1" si="40"/>
        <v>0</v>
      </c>
      <c r="K799" s="19" t="str">
        <f>[1]!s_info_Nature(B799)</f>
        <v>中央国有企业</v>
      </c>
      <c r="L799" s="19" t="str">
        <f>[1]!b_info_windl1type(B799)</f>
        <v>金融债</v>
      </c>
      <c r="M799" s="13">
        <f>[1]!b_info_couponrate(B799)</f>
        <v>4.04</v>
      </c>
      <c r="N799" s="14" t="str">
        <f>[1]!B_Info_ListedDate(B799)</f>
        <v>2017-04-12</v>
      </c>
      <c r="O799" s="14" t="str">
        <f>[1]!b_issue_firstissue(B799)</f>
        <v>2017-04-06</v>
      </c>
      <c r="P799" s="4">
        <f t="shared" ca="1" si="41"/>
        <v>42989</v>
      </c>
    </row>
    <row r="800" spans="2:16">
      <c r="B800" s="7">
        <v>170210</v>
      </c>
      <c r="C800" s="7">
        <v>4.2549999999999999</v>
      </c>
      <c r="D800" s="18" t="str">
        <f>[1]!b_info_name(B800)</f>
        <v>17国开10</v>
      </c>
      <c r="E800" s="19">
        <f>[1]!b_info_latestissurercreditrating(B800)</f>
        <v>0</v>
      </c>
      <c r="F800" s="20">
        <f ca="1">[1]!b_anal_day(B800,$A$5)/365</f>
        <v>9.5863013698630137</v>
      </c>
      <c r="G800" s="21">
        <f ca="1">[1]!b_anal_yield_cnbd(B800,$A$5)</f>
        <v>0</v>
      </c>
      <c r="H800" s="21">
        <f t="shared" ca="1" si="39"/>
        <v>425.5</v>
      </c>
      <c r="I800" s="21">
        <f ca="1">[1]!b_anal_yield_cnbd(B800,$A$7)</f>
        <v>0</v>
      </c>
      <c r="J800" s="21">
        <f t="shared" ca="1" si="40"/>
        <v>0</v>
      </c>
      <c r="K800" s="19" t="str">
        <f>[1]!s_info_Nature(B800)</f>
        <v>中央国有企业</v>
      </c>
      <c r="L800" s="19" t="str">
        <f>[1]!b_info_windl1type(B800)</f>
        <v>金融债</v>
      </c>
      <c r="M800" s="13">
        <f>[1]!b_info_couponrate(B800)</f>
        <v>4.04</v>
      </c>
      <c r="N800" s="14" t="str">
        <f>[1]!B_Info_ListedDate(B800)</f>
        <v>2017-04-12</v>
      </c>
      <c r="O800" s="14" t="str">
        <f>[1]!b_issue_firstissue(B800)</f>
        <v>2017-04-06</v>
      </c>
      <c r="P800" s="4">
        <f t="shared" ca="1" si="41"/>
        <v>42989</v>
      </c>
    </row>
    <row r="801" spans="2:16">
      <c r="B801" s="7">
        <v>170210</v>
      </c>
      <c r="C801" s="7">
        <v>4.2549999999999999</v>
      </c>
      <c r="D801" s="18" t="str">
        <f>[1]!b_info_name(B801)</f>
        <v>17国开10</v>
      </c>
      <c r="E801" s="19">
        <f>[1]!b_info_latestissurercreditrating(B801)</f>
        <v>0</v>
      </c>
      <c r="F801" s="20">
        <f ca="1">[1]!b_anal_day(B801,$A$5)/365</f>
        <v>9.5863013698630137</v>
      </c>
      <c r="G801" s="21">
        <f ca="1">[1]!b_anal_yield_cnbd(B801,$A$5)</f>
        <v>0</v>
      </c>
      <c r="H801" s="21">
        <f t="shared" ca="1" si="39"/>
        <v>425.5</v>
      </c>
      <c r="I801" s="21">
        <f ca="1">[1]!b_anal_yield_cnbd(B801,$A$7)</f>
        <v>0</v>
      </c>
      <c r="J801" s="21">
        <f t="shared" ca="1" si="40"/>
        <v>0</v>
      </c>
      <c r="K801" s="19" t="str">
        <f>[1]!s_info_Nature(B801)</f>
        <v>中央国有企业</v>
      </c>
      <c r="L801" s="19" t="str">
        <f>[1]!b_info_windl1type(B801)</f>
        <v>金融债</v>
      </c>
      <c r="M801" s="13">
        <f>[1]!b_info_couponrate(B801)</f>
        <v>4.04</v>
      </c>
      <c r="N801" s="14" t="str">
        <f>[1]!B_Info_ListedDate(B801)</f>
        <v>2017-04-12</v>
      </c>
      <c r="O801" s="14" t="str">
        <f>[1]!b_issue_firstissue(B801)</f>
        <v>2017-04-06</v>
      </c>
      <c r="P801" s="4">
        <f t="shared" ca="1" si="41"/>
        <v>42989</v>
      </c>
    </row>
    <row r="802" spans="2:16">
      <c r="B802" s="7">
        <v>170210</v>
      </c>
      <c r="C802" s="7">
        <v>4.2549999999999999</v>
      </c>
      <c r="D802" s="18" t="str">
        <f>[1]!b_info_name(B802)</f>
        <v>17国开10</v>
      </c>
      <c r="E802" s="19">
        <f>[1]!b_info_latestissurercreditrating(B802)</f>
        <v>0</v>
      </c>
      <c r="F802" s="20">
        <f ca="1">[1]!b_anal_day(B802,$A$5)/365</f>
        <v>9.5863013698630137</v>
      </c>
      <c r="G802" s="21">
        <f ca="1">[1]!b_anal_yield_cnbd(B802,$A$5)</f>
        <v>0</v>
      </c>
      <c r="H802" s="21">
        <f t="shared" ca="1" si="39"/>
        <v>425.5</v>
      </c>
      <c r="I802" s="21">
        <f ca="1">[1]!b_anal_yield_cnbd(B802,$A$7)</f>
        <v>0</v>
      </c>
      <c r="J802" s="21">
        <f t="shared" ca="1" si="40"/>
        <v>0</v>
      </c>
      <c r="K802" s="19" t="str">
        <f>[1]!s_info_Nature(B802)</f>
        <v>中央国有企业</v>
      </c>
      <c r="L802" s="19" t="str">
        <f>[1]!b_info_windl1type(B802)</f>
        <v>金融债</v>
      </c>
      <c r="M802" s="13">
        <f>[1]!b_info_couponrate(B802)</f>
        <v>4.04</v>
      </c>
      <c r="N802" s="14" t="str">
        <f>[1]!B_Info_ListedDate(B802)</f>
        <v>2017-04-12</v>
      </c>
      <c r="O802" s="14" t="str">
        <f>[1]!b_issue_firstissue(B802)</f>
        <v>2017-04-06</v>
      </c>
      <c r="P802" s="4">
        <f t="shared" ca="1" si="41"/>
        <v>42989</v>
      </c>
    </row>
    <row r="803" spans="2:16">
      <c r="B803" s="7">
        <v>170210</v>
      </c>
      <c r="C803" s="7">
        <v>4.2549999999999999</v>
      </c>
      <c r="D803" s="18" t="str">
        <f>[1]!b_info_name(B803)</f>
        <v>17国开10</v>
      </c>
      <c r="E803" s="19">
        <f>[1]!b_info_latestissurercreditrating(B803)</f>
        <v>0</v>
      </c>
      <c r="F803" s="20">
        <f ca="1">[1]!b_anal_day(B803,$A$5)/365</f>
        <v>9.5863013698630137</v>
      </c>
      <c r="G803" s="21">
        <f ca="1">[1]!b_anal_yield_cnbd(B803,$A$5)</f>
        <v>0</v>
      </c>
      <c r="H803" s="21">
        <f t="shared" ca="1" si="39"/>
        <v>425.5</v>
      </c>
      <c r="I803" s="21">
        <f ca="1">[1]!b_anal_yield_cnbd(B803,$A$7)</f>
        <v>0</v>
      </c>
      <c r="J803" s="21">
        <f t="shared" ca="1" si="40"/>
        <v>0</v>
      </c>
      <c r="K803" s="19" t="str">
        <f>[1]!s_info_Nature(B803)</f>
        <v>中央国有企业</v>
      </c>
      <c r="L803" s="19" t="str">
        <f>[1]!b_info_windl1type(B803)</f>
        <v>金融债</v>
      </c>
      <c r="M803" s="13">
        <f>[1]!b_info_couponrate(B803)</f>
        <v>4.04</v>
      </c>
      <c r="N803" s="14" t="str">
        <f>[1]!B_Info_ListedDate(B803)</f>
        <v>2017-04-12</v>
      </c>
      <c r="O803" s="14" t="str">
        <f>[1]!b_issue_firstissue(B803)</f>
        <v>2017-04-06</v>
      </c>
      <c r="P803" s="4">
        <f t="shared" ca="1" si="41"/>
        <v>42989</v>
      </c>
    </row>
    <row r="804" spans="2:16">
      <c r="B804" s="7">
        <v>170210</v>
      </c>
      <c r="C804" s="7">
        <v>4.2549999999999999</v>
      </c>
      <c r="D804" s="18" t="str">
        <f>[1]!b_info_name(B804)</f>
        <v>17国开10</v>
      </c>
      <c r="E804" s="19">
        <f>[1]!b_info_latestissurercreditrating(B804)</f>
        <v>0</v>
      </c>
      <c r="F804" s="20">
        <f ca="1">[1]!b_anal_day(B804,$A$5)/365</f>
        <v>9.5863013698630137</v>
      </c>
      <c r="G804" s="21">
        <f ca="1">[1]!b_anal_yield_cnbd(B804,$A$5)</f>
        <v>0</v>
      </c>
      <c r="H804" s="21">
        <f t="shared" ref="H804:H867" ca="1" si="42">(IF(C804&lt;0.1,C804*100,C804)-G804)*100</f>
        <v>425.5</v>
      </c>
      <c r="I804" s="21">
        <f ca="1">[1]!b_anal_yield_cnbd(B804,$A$7)</f>
        <v>0</v>
      </c>
      <c r="J804" s="21">
        <f t="shared" ref="J804:J867" ca="1" si="43">(G804-I804)*100</f>
        <v>0</v>
      </c>
      <c r="K804" s="19" t="str">
        <f>[1]!s_info_Nature(B804)</f>
        <v>中央国有企业</v>
      </c>
      <c r="L804" s="19" t="str">
        <f>[1]!b_info_windl1type(B804)</f>
        <v>金融债</v>
      </c>
      <c r="M804" s="13">
        <f>[1]!b_info_couponrate(B804)</f>
        <v>4.04</v>
      </c>
      <c r="N804" s="14" t="str">
        <f>[1]!B_Info_ListedDate(B804)</f>
        <v>2017-04-12</v>
      </c>
      <c r="O804" s="14" t="str">
        <f>[1]!b_issue_firstissue(B804)</f>
        <v>2017-04-06</v>
      </c>
      <c r="P804" s="4">
        <f t="shared" ref="P804:P867" ca="1" si="44">$A$2</f>
        <v>42989</v>
      </c>
    </row>
    <row r="805" spans="2:16">
      <c r="B805" s="7">
        <v>170210</v>
      </c>
      <c r="C805" s="7">
        <v>4.2549999999999999</v>
      </c>
      <c r="D805" s="18" t="str">
        <f>[1]!b_info_name(B805)</f>
        <v>17国开10</v>
      </c>
      <c r="E805" s="19">
        <f>[1]!b_info_latestissurercreditrating(B805)</f>
        <v>0</v>
      </c>
      <c r="F805" s="20">
        <f ca="1">[1]!b_anal_day(B805,$A$5)/365</f>
        <v>9.5863013698630137</v>
      </c>
      <c r="G805" s="21">
        <f ca="1">[1]!b_anal_yield_cnbd(B805,$A$5)</f>
        <v>0</v>
      </c>
      <c r="H805" s="21">
        <f t="shared" ca="1" si="42"/>
        <v>425.5</v>
      </c>
      <c r="I805" s="21">
        <f ca="1">[1]!b_anal_yield_cnbd(B805,$A$7)</f>
        <v>0</v>
      </c>
      <c r="J805" s="21">
        <f t="shared" ca="1" si="43"/>
        <v>0</v>
      </c>
      <c r="K805" s="19" t="str">
        <f>[1]!s_info_Nature(B805)</f>
        <v>中央国有企业</v>
      </c>
      <c r="L805" s="19" t="str">
        <f>[1]!b_info_windl1type(B805)</f>
        <v>金融债</v>
      </c>
      <c r="M805" s="13">
        <f>[1]!b_info_couponrate(B805)</f>
        <v>4.04</v>
      </c>
      <c r="N805" s="14" t="str">
        <f>[1]!B_Info_ListedDate(B805)</f>
        <v>2017-04-12</v>
      </c>
      <c r="O805" s="14" t="str">
        <f>[1]!b_issue_firstissue(B805)</f>
        <v>2017-04-06</v>
      </c>
      <c r="P805" s="4">
        <f t="shared" ca="1" si="44"/>
        <v>42989</v>
      </c>
    </row>
    <row r="806" spans="2:16">
      <c r="B806" s="7">
        <v>170210</v>
      </c>
      <c r="C806" s="7">
        <v>4.2525000000000004</v>
      </c>
      <c r="D806" s="18" t="str">
        <f>[1]!b_info_name(B806)</f>
        <v>17国开10</v>
      </c>
      <c r="E806" s="19">
        <f>[1]!b_info_latestissurercreditrating(B806)</f>
        <v>0</v>
      </c>
      <c r="F806" s="20">
        <f ca="1">[1]!b_anal_day(B806,$A$5)/365</f>
        <v>9.5863013698630137</v>
      </c>
      <c r="G806" s="21">
        <f ca="1">[1]!b_anal_yield_cnbd(B806,$A$5)</f>
        <v>0</v>
      </c>
      <c r="H806" s="21">
        <f t="shared" ca="1" si="42"/>
        <v>425.25000000000006</v>
      </c>
      <c r="I806" s="21">
        <f ca="1">[1]!b_anal_yield_cnbd(B806,$A$7)</f>
        <v>0</v>
      </c>
      <c r="J806" s="21">
        <f t="shared" ca="1" si="43"/>
        <v>0</v>
      </c>
      <c r="K806" s="19" t="str">
        <f>[1]!s_info_Nature(B806)</f>
        <v>中央国有企业</v>
      </c>
      <c r="L806" s="19" t="str">
        <f>[1]!b_info_windl1type(B806)</f>
        <v>金融债</v>
      </c>
      <c r="M806" s="13">
        <f>[1]!b_info_couponrate(B806)</f>
        <v>4.04</v>
      </c>
      <c r="N806" s="14" t="str">
        <f>[1]!B_Info_ListedDate(B806)</f>
        <v>2017-04-12</v>
      </c>
      <c r="O806" s="14" t="str">
        <f>[1]!b_issue_firstissue(B806)</f>
        <v>2017-04-06</v>
      </c>
      <c r="P806" s="4">
        <f t="shared" ca="1" si="44"/>
        <v>42989</v>
      </c>
    </row>
    <row r="807" spans="2:16">
      <c r="B807" s="7">
        <v>170210</v>
      </c>
      <c r="C807" s="7">
        <v>4.2525000000000004</v>
      </c>
      <c r="D807" s="18" t="str">
        <f>[1]!b_info_name(B807)</f>
        <v>17国开10</v>
      </c>
      <c r="E807" s="19">
        <f>[1]!b_info_latestissurercreditrating(B807)</f>
        <v>0</v>
      </c>
      <c r="F807" s="20">
        <f ca="1">[1]!b_anal_day(B807,$A$5)/365</f>
        <v>9.5863013698630137</v>
      </c>
      <c r="G807" s="21">
        <f ca="1">[1]!b_anal_yield_cnbd(B807,$A$5)</f>
        <v>0</v>
      </c>
      <c r="H807" s="21">
        <f t="shared" ca="1" si="42"/>
        <v>425.25000000000006</v>
      </c>
      <c r="I807" s="21">
        <f ca="1">[1]!b_anal_yield_cnbd(B807,$A$7)</f>
        <v>0</v>
      </c>
      <c r="J807" s="21">
        <f t="shared" ca="1" si="43"/>
        <v>0</v>
      </c>
      <c r="K807" s="19" t="str">
        <f>[1]!s_info_Nature(B807)</f>
        <v>中央国有企业</v>
      </c>
      <c r="L807" s="19" t="str">
        <f>[1]!b_info_windl1type(B807)</f>
        <v>金融债</v>
      </c>
      <c r="M807" s="13">
        <f>[1]!b_info_couponrate(B807)</f>
        <v>4.04</v>
      </c>
      <c r="N807" s="14" t="str">
        <f>[1]!B_Info_ListedDate(B807)</f>
        <v>2017-04-12</v>
      </c>
      <c r="O807" s="14" t="str">
        <f>[1]!b_issue_firstissue(B807)</f>
        <v>2017-04-06</v>
      </c>
      <c r="P807" s="4">
        <f t="shared" ca="1" si="44"/>
        <v>42989</v>
      </c>
    </row>
    <row r="808" spans="2:16">
      <c r="B808" s="7">
        <v>170210</v>
      </c>
      <c r="C808" s="7">
        <v>4.2525000000000004</v>
      </c>
      <c r="D808" s="18" t="str">
        <f>[1]!b_info_name(B808)</f>
        <v>17国开10</v>
      </c>
      <c r="E808" s="19">
        <f>[1]!b_info_latestissurercreditrating(B808)</f>
        <v>0</v>
      </c>
      <c r="F808" s="20">
        <f ca="1">[1]!b_anal_day(B808,$A$5)/365</f>
        <v>9.5863013698630137</v>
      </c>
      <c r="G808" s="21">
        <f ca="1">[1]!b_anal_yield_cnbd(B808,$A$5)</f>
        <v>0</v>
      </c>
      <c r="H808" s="21">
        <f t="shared" ca="1" si="42"/>
        <v>425.25000000000006</v>
      </c>
      <c r="I808" s="21">
        <f ca="1">[1]!b_anal_yield_cnbd(B808,$A$7)</f>
        <v>0</v>
      </c>
      <c r="J808" s="21">
        <f t="shared" ca="1" si="43"/>
        <v>0</v>
      </c>
      <c r="K808" s="19" t="str">
        <f>[1]!s_info_Nature(B808)</f>
        <v>中央国有企业</v>
      </c>
      <c r="L808" s="19" t="str">
        <f>[1]!b_info_windl1type(B808)</f>
        <v>金融债</v>
      </c>
      <c r="M808" s="13">
        <f>[1]!b_info_couponrate(B808)</f>
        <v>4.04</v>
      </c>
      <c r="N808" s="14" t="str">
        <f>[1]!B_Info_ListedDate(B808)</f>
        <v>2017-04-12</v>
      </c>
      <c r="O808" s="14" t="str">
        <f>[1]!b_issue_firstissue(B808)</f>
        <v>2017-04-06</v>
      </c>
      <c r="P808" s="4">
        <f t="shared" ca="1" si="44"/>
        <v>42989</v>
      </c>
    </row>
    <row r="809" spans="2:16">
      <c r="B809" s="7">
        <v>111714058</v>
      </c>
      <c r="C809" s="7">
        <v>4.25</v>
      </c>
      <c r="D809" s="18" t="str">
        <f>[1]!b_info_name(B809)</f>
        <v>17江苏银行CD058</v>
      </c>
      <c r="E809" s="19" t="str">
        <f>[1]!b_info_latestissurercreditrating(B809)</f>
        <v>AAA</v>
      </c>
      <c r="F809" s="20">
        <f ca="1">[1]!b_anal_day(B809,$A$5)/365</f>
        <v>0</v>
      </c>
      <c r="G809" s="21">
        <f ca="1">[1]!b_anal_yield_cnbd(B809,$A$5)</f>
        <v>0</v>
      </c>
      <c r="H809" s="21">
        <f t="shared" ca="1" si="42"/>
        <v>425</v>
      </c>
      <c r="I809" s="21">
        <f ca="1">[1]!b_anal_yield_cnbd(B809,$A$7)</f>
        <v>0</v>
      </c>
      <c r="J809" s="21">
        <f t="shared" ca="1" si="43"/>
        <v>0</v>
      </c>
      <c r="K809" s="19" t="str">
        <f>[1]!s_info_Nature(B809)</f>
        <v>公众企业</v>
      </c>
      <c r="L809" s="19" t="str">
        <f>[1]!b_info_windl1type(B809)</f>
        <v>同业存单</v>
      </c>
      <c r="M809" s="13">
        <f>[1]!b_info_couponrate(B809)</f>
        <v>4.4501999999999997</v>
      </c>
      <c r="N809" s="14" t="str">
        <f>[1]!B_Info_ListedDate(B809)</f>
        <v>2017-02-21</v>
      </c>
      <c r="O809" s="14" t="str">
        <f>[1]!b_issue_firstissue(B809)</f>
        <v>2017-02-20</v>
      </c>
      <c r="P809" s="4">
        <f t="shared" ca="1" si="44"/>
        <v>42989</v>
      </c>
    </row>
    <row r="810" spans="2:16">
      <c r="B810" s="7">
        <v>41658066</v>
      </c>
      <c r="C810" s="7">
        <v>4.25</v>
      </c>
      <c r="D810" s="18" t="str">
        <f>[1]!b_info_name(B810)</f>
        <v>16华能集CP003</v>
      </c>
      <c r="E810" s="19" t="str">
        <f>[1]!b_info_latestissurercreditrating(B810)</f>
        <v>AAA</v>
      </c>
      <c r="F810" s="20">
        <f ca="1">[1]!b_anal_day(B810,$A$5)/365</f>
        <v>0.18630136986301371</v>
      </c>
      <c r="G810" s="21">
        <f ca="1">[1]!b_anal_yield_cnbd(B810,$A$5)</f>
        <v>0</v>
      </c>
      <c r="H810" s="21">
        <f t="shared" ca="1" si="42"/>
        <v>425</v>
      </c>
      <c r="I810" s="21">
        <f ca="1">[1]!b_anal_yield_cnbd(B810,$A$7)</f>
        <v>0</v>
      </c>
      <c r="J810" s="21">
        <f t="shared" ca="1" si="43"/>
        <v>0</v>
      </c>
      <c r="K810" s="19" t="str">
        <f>[1]!s_info_Nature(B810)</f>
        <v>中央国有企业</v>
      </c>
      <c r="L810" s="19" t="str">
        <f>[1]!b_info_windl1type(B810)</f>
        <v>短期融资券</v>
      </c>
      <c r="M810" s="13">
        <f>[1]!b_info_couponrate(B810)</f>
        <v>2.98</v>
      </c>
      <c r="N810" s="14" t="str">
        <f>[1]!B_Info_ListedDate(B810)</f>
        <v>2016-11-18</v>
      </c>
      <c r="O810" s="14" t="str">
        <f>[1]!b_issue_firstissue(B810)</f>
        <v>2016-11-16</v>
      </c>
      <c r="P810" s="4">
        <f t="shared" ca="1" si="44"/>
        <v>42989</v>
      </c>
    </row>
    <row r="811" spans="2:16">
      <c r="B811" s="7">
        <v>11766016</v>
      </c>
      <c r="C811" s="7">
        <v>4.2300000000000004</v>
      </c>
      <c r="D811" s="18" t="str">
        <f>[1]!b_info_name(B811)</f>
        <v>17中电投SCP009</v>
      </c>
      <c r="E811" s="19" t="str">
        <f>[1]!b_info_latestissurercreditrating(B811)</f>
        <v>AAA</v>
      </c>
      <c r="F811" s="20">
        <f ca="1">[1]!b_anal_day(B811,$A$5)/365</f>
        <v>0.10410958904109589</v>
      </c>
      <c r="G811" s="21">
        <f ca="1">[1]!b_anal_yield_cnbd(B811,$A$5)</f>
        <v>0</v>
      </c>
      <c r="H811" s="21">
        <f t="shared" ca="1" si="42"/>
        <v>423.00000000000006</v>
      </c>
      <c r="I811" s="21">
        <f ca="1">[1]!b_anal_yield_cnbd(B811,$A$7)</f>
        <v>0</v>
      </c>
      <c r="J811" s="21">
        <f t="shared" ca="1" si="43"/>
        <v>0</v>
      </c>
      <c r="K811" s="19" t="str">
        <f>[1]!s_info_Nature(B811)</f>
        <v>中央国有企业</v>
      </c>
      <c r="L811" s="19" t="str">
        <f>[1]!b_info_windl1type(B811)</f>
        <v>短期融资券</v>
      </c>
      <c r="M811" s="13">
        <f>[1]!b_info_couponrate(B811)</f>
        <v>4.21</v>
      </c>
      <c r="N811" s="14" t="str">
        <f>[1]!B_Info_ListedDate(B811)</f>
        <v>2017-04-28</v>
      </c>
      <c r="O811" s="14" t="str">
        <f>[1]!b_issue_firstissue(B811)</f>
        <v>2017-04-26</v>
      </c>
      <c r="P811" s="4">
        <f t="shared" ca="1" si="44"/>
        <v>42989</v>
      </c>
    </row>
    <row r="812" spans="2:16">
      <c r="B812" s="7">
        <v>11766016</v>
      </c>
      <c r="C812" s="7">
        <v>4.2300000000000004</v>
      </c>
      <c r="D812" s="18" t="str">
        <f>[1]!b_info_name(B812)</f>
        <v>17中电投SCP009</v>
      </c>
      <c r="E812" s="19" t="str">
        <f>[1]!b_info_latestissurercreditrating(B812)</f>
        <v>AAA</v>
      </c>
      <c r="F812" s="20">
        <f ca="1">[1]!b_anal_day(B812,$A$5)/365</f>
        <v>0.10410958904109589</v>
      </c>
      <c r="G812" s="21">
        <f ca="1">[1]!b_anal_yield_cnbd(B812,$A$5)</f>
        <v>0</v>
      </c>
      <c r="H812" s="21">
        <f t="shared" ca="1" si="42"/>
        <v>423.00000000000006</v>
      </c>
      <c r="I812" s="21">
        <f ca="1">[1]!b_anal_yield_cnbd(B812,$A$7)</f>
        <v>0</v>
      </c>
      <c r="J812" s="21">
        <f t="shared" ca="1" si="43"/>
        <v>0</v>
      </c>
      <c r="K812" s="19" t="str">
        <f>[1]!s_info_Nature(B812)</f>
        <v>中央国有企业</v>
      </c>
      <c r="L812" s="19" t="str">
        <f>[1]!b_info_windl1type(B812)</f>
        <v>短期融资券</v>
      </c>
      <c r="M812" s="13">
        <f>[1]!b_info_couponrate(B812)</f>
        <v>4.21</v>
      </c>
      <c r="N812" s="14" t="str">
        <f>[1]!B_Info_ListedDate(B812)</f>
        <v>2017-04-28</v>
      </c>
      <c r="O812" s="14" t="str">
        <f>[1]!b_issue_firstissue(B812)</f>
        <v>2017-04-26</v>
      </c>
      <c r="P812" s="4">
        <f t="shared" ca="1" si="44"/>
        <v>42989</v>
      </c>
    </row>
    <row r="813" spans="2:16">
      <c r="B813" s="7">
        <v>11766016</v>
      </c>
      <c r="C813" s="7">
        <v>4.2300000000000004</v>
      </c>
      <c r="D813" s="18" t="str">
        <f>[1]!b_info_name(B813)</f>
        <v>17中电投SCP009</v>
      </c>
      <c r="E813" s="19" t="str">
        <f>[1]!b_info_latestissurercreditrating(B813)</f>
        <v>AAA</v>
      </c>
      <c r="F813" s="20">
        <f ca="1">[1]!b_anal_day(B813,$A$5)/365</f>
        <v>0.10410958904109589</v>
      </c>
      <c r="G813" s="21">
        <f ca="1">[1]!b_anal_yield_cnbd(B813,$A$5)</f>
        <v>0</v>
      </c>
      <c r="H813" s="21">
        <f t="shared" ca="1" si="42"/>
        <v>423.00000000000006</v>
      </c>
      <c r="I813" s="21">
        <f ca="1">[1]!b_anal_yield_cnbd(B813,$A$7)</f>
        <v>0</v>
      </c>
      <c r="J813" s="21">
        <f t="shared" ca="1" si="43"/>
        <v>0</v>
      </c>
      <c r="K813" s="19" t="str">
        <f>[1]!s_info_Nature(B813)</f>
        <v>中央国有企业</v>
      </c>
      <c r="L813" s="19" t="str">
        <f>[1]!b_info_windl1type(B813)</f>
        <v>短期融资券</v>
      </c>
      <c r="M813" s="13">
        <f>[1]!b_info_couponrate(B813)</f>
        <v>4.21</v>
      </c>
      <c r="N813" s="14" t="str">
        <f>[1]!B_Info_ListedDate(B813)</f>
        <v>2017-04-28</v>
      </c>
      <c r="O813" s="14" t="str">
        <f>[1]!b_issue_firstissue(B813)</f>
        <v>2017-04-26</v>
      </c>
      <c r="P813" s="4">
        <f t="shared" ca="1" si="44"/>
        <v>42989</v>
      </c>
    </row>
    <row r="814" spans="2:16">
      <c r="B814" s="7">
        <v>11766016</v>
      </c>
      <c r="C814" s="7">
        <v>4.2300000000000004</v>
      </c>
      <c r="D814" s="18" t="str">
        <f>[1]!b_info_name(B814)</f>
        <v>17中电投SCP009</v>
      </c>
      <c r="E814" s="19" t="str">
        <f>[1]!b_info_latestissurercreditrating(B814)</f>
        <v>AAA</v>
      </c>
      <c r="F814" s="20">
        <f ca="1">[1]!b_anal_day(B814,$A$5)/365</f>
        <v>0.10410958904109589</v>
      </c>
      <c r="G814" s="21">
        <f ca="1">[1]!b_anal_yield_cnbd(B814,$A$5)</f>
        <v>0</v>
      </c>
      <c r="H814" s="21">
        <f t="shared" ca="1" si="42"/>
        <v>423.00000000000006</v>
      </c>
      <c r="I814" s="21">
        <f ca="1">[1]!b_anal_yield_cnbd(B814,$A$7)</f>
        <v>0</v>
      </c>
      <c r="J814" s="21">
        <f t="shared" ca="1" si="43"/>
        <v>0</v>
      </c>
      <c r="K814" s="19" t="str">
        <f>[1]!s_info_Nature(B814)</f>
        <v>中央国有企业</v>
      </c>
      <c r="L814" s="19" t="str">
        <f>[1]!b_info_windl1type(B814)</f>
        <v>短期融资券</v>
      </c>
      <c r="M814" s="13">
        <f>[1]!b_info_couponrate(B814)</f>
        <v>4.21</v>
      </c>
      <c r="N814" s="14" t="str">
        <f>[1]!B_Info_ListedDate(B814)</f>
        <v>2017-04-28</v>
      </c>
      <c r="O814" s="14" t="str">
        <f>[1]!b_issue_firstissue(B814)</f>
        <v>2017-04-26</v>
      </c>
      <c r="P814" s="4">
        <f t="shared" ca="1" si="44"/>
        <v>42989</v>
      </c>
    </row>
    <row r="815" spans="2:16">
      <c r="B815" s="7">
        <v>11698422</v>
      </c>
      <c r="C815" s="7">
        <v>4.2</v>
      </c>
      <c r="D815" s="18" t="str">
        <f>[1]!b_info_name(B815)</f>
        <v>16国际港务SCP002</v>
      </c>
      <c r="E815" s="19" t="str">
        <f>[1]!b_info_latestissurercreditrating(B815)</f>
        <v>AAA</v>
      </c>
      <c r="F815" s="20">
        <f ca="1">[1]!b_anal_day(B815,$A$5)/365</f>
        <v>0</v>
      </c>
      <c r="G815" s="21">
        <f ca="1">[1]!b_anal_yield_cnbd(B815,$A$5)</f>
        <v>0</v>
      </c>
      <c r="H815" s="21">
        <f t="shared" ca="1" si="42"/>
        <v>420</v>
      </c>
      <c r="I815" s="21">
        <f ca="1">[1]!b_anal_yield_cnbd(B815,$A$7)</f>
        <v>0</v>
      </c>
      <c r="J815" s="21">
        <f t="shared" ca="1" si="43"/>
        <v>0</v>
      </c>
      <c r="K815" s="19" t="str">
        <f>[1]!s_info_Nature(B815)</f>
        <v>地方国有企业</v>
      </c>
      <c r="L815" s="19" t="str">
        <f>[1]!b_info_windl1type(B815)</f>
        <v>短期融资券</v>
      </c>
      <c r="M815" s="13">
        <f>[1]!b_info_couponrate(B815)</f>
        <v>2.88</v>
      </c>
      <c r="N815" s="14" t="str">
        <f>[1]!B_Info_ListedDate(B815)</f>
        <v>2016-09-09</v>
      </c>
      <c r="O815" s="14" t="str">
        <f>[1]!b_issue_firstissue(B815)</f>
        <v>2016-09-07</v>
      </c>
      <c r="P815" s="4">
        <f t="shared" ca="1" si="44"/>
        <v>42989</v>
      </c>
    </row>
    <row r="816" spans="2:16">
      <c r="B816" s="7">
        <v>11698969</v>
      </c>
      <c r="C816" s="7">
        <v>4.2</v>
      </c>
      <c r="D816" s="18" t="str">
        <f>[1]!b_info_name(B816)</f>
        <v>16浙能源SCP009</v>
      </c>
      <c r="E816" s="19" t="str">
        <f>[1]!b_info_latestissurercreditrating(B816)</f>
        <v>AAA</v>
      </c>
      <c r="F816" s="20">
        <f ca="1">[1]!b_anal_day(B816,$A$5)/365</f>
        <v>0</v>
      </c>
      <c r="G816" s="21">
        <f ca="1">[1]!b_anal_yield_cnbd(B816,$A$5)</f>
        <v>0</v>
      </c>
      <c r="H816" s="21">
        <f t="shared" ca="1" si="42"/>
        <v>420</v>
      </c>
      <c r="I816" s="21">
        <f ca="1">[1]!b_anal_yield_cnbd(B816,$A$7)</f>
        <v>0</v>
      </c>
      <c r="J816" s="21">
        <f t="shared" ca="1" si="43"/>
        <v>0</v>
      </c>
      <c r="K816" s="19" t="str">
        <f>[1]!s_info_Nature(B816)</f>
        <v>地方国有企业</v>
      </c>
      <c r="L816" s="19" t="str">
        <f>[1]!b_info_windl1type(B816)</f>
        <v>短期融资券</v>
      </c>
      <c r="M816" s="13">
        <f>[1]!b_info_couponrate(B816)</f>
        <v>3.71</v>
      </c>
      <c r="N816" s="14" t="str">
        <f>[1]!B_Info_ListedDate(B816)</f>
        <v>2016-12-05</v>
      </c>
      <c r="O816" s="14" t="str">
        <f>[1]!b_issue_firstissue(B816)</f>
        <v>2016-12-01</v>
      </c>
      <c r="P816" s="4">
        <f t="shared" ca="1" si="44"/>
        <v>42989</v>
      </c>
    </row>
    <row r="817" spans="2:16">
      <c r="B817" s="7">
        <v>11753026</v>
      </c>
      <c r="C817" s="7">
        <v>4.2</v>
      </c>
      <c r="D817" s="18" t="str">
        <f>[1]!b_info_name(B817)</f>
        <v>17联通SCP001</v>
      </c>
      <c r="E817" s="19" t="str">
        <f>[1]!b_info_latestissurercreditrating(B817)</f>
        <v>AAA</v>
      </c>
      <c r="F817" s="20">
        <f ca="1">[1]!b_anal_day(B817,$A$5)/365</f>
        <v>0</v>
      </c>
      <c r="G817" s="21">
        <f ca="1">[1]!b_anal_yield_cnbd(B817,$A$5)</f>
        <v>0</v>
      </c>
      <c r="H817" s="21">
        <f t="shared" ca="1" si="42"/>
        <v>420</v>
      </c>
      <c r="I817" s="21">
        <f ca="1">[1]!b_anal_yield_cnbd(B817,$A$7)</f>
        <v>0</v>
      </c>
      <c r="J817" s="21">
        <f t="shared" ca="1" si="43"/>
        <v>0</v>
      </c>
      <c r="K817" s="19" t="str">
        <f>[1]!s_info_Nature(B817)</f>
        <v>中央国有企业</v>
      </c>
      <c r="L817" s="19" t="str">
        <f>[1]!b_info_windl1type(B817)</f>
        <v>短期融资券</v>
      </c>
      <c r="M817" s="13">
        <f>[1]!b_info_couponrate(B817)</f>
        <v>3.9</v>
      </c>
      <c r="N817" s="14" t="str">
        <f>[1]!B_Info_ListedDate(B817)</f>
        <v>2017-04-25</v>
      </c>
      <c r="O817" s="14" t="str">
        <f>[1]!b_issue_firstissue(B817)</f>
        <v>2017-04-20</v>
      </c>
      <c r="P817" s="4">
        <f t="shared" ca="1" si="44"/>
        <v>42989</v>
      </c>
    </row>
    <row r="818" spans="2:16">
      <c r="B818" s="7">
        <v>11698364</v>
      </c>
      <c r="C818" s="7">
        <v>4.2</v>
      </c>
      <c r="D818" s="18" t="str">
        <f>[1]!b_info_name(B818)</f>
        <v>16鲁信SCP003</v>
      </c>
      <c r="E818" s="19" t="str">
        <f>[1]!b_info_latestissurercreditrating(B818)</f>
        <v>AAA</v>
      </c>
      <c r="F818" s="20">
        <f ca="1">[1]!b_anal_day(B818,$A$5)/365</f>
        <v>0</v>
      </c>
      <c r="G818" s="21">
        <f ca="1">[1]!b_anal_yield_cnbd(B818,$A$5)</f>
        <v>0</v>
      </c>
      <c r="H818" s="21">
        <f t="shared" ca="1" si="42"/>
        <v>420</v>
      </c>
      <c r="I818" s="21">
        <f ca="1">[1]!b_anal_yield_cnbd(B818,$A$7)</f>
        <v>0</v>
      </c>
      <c r="J818" s="21">
        <f t="shared" ca="1" si="43"/>
        <v>0</v>
      </c>
      <c r="K818" s="19" t="str">
        <f>[1]!s_info_Nature(B818)</f>
        <v>地方国有企业</v>
      </c>
      <c r="L818" s="19" t="str">
        <f>[1]!b_info_windl1type(B818)</f>
        <v>短期融资券</v>
      </c>
      <c r="M818" s="13">
        <f>[1]!b_info_couponrate(B818)</f>
        <v>2.88</v>
      </c>
      <c r="N818" s="14" t="str">
        <f>[1]!B_Info_ListedDate(B818)</f>
        <v>2016-08-30</v>
      </c>
      <c r="O818" s="14" t="str">
        <f>[1]!b_issue_firstissue(B818)</f>
        <v>2016-08-25</v>
      </c>
      <c r="P818" s="4">
        <f t="shared" ca="1" si="44"/>
        <v>42989</v>
      </c>
    </row>
    <row r="819" spans="2:16">
      <c r="B819" s="7">
        <v>1282189</v>
      </c>
      <c r="C819" s="7">
        <v>4.2</v>
      </c>
      <c r="D819" s="18" t="str">
        <f>[1]!b_info_name(B819)</f>
        <v>12中汽研MTN1</v>
      </c>
      <c r="E819" s="19" t="str">
        <f>[1]!b_info_latestissurercreditrating(B819)</f>
        <v>AA+</v>
      </c>
      <c r="F819" s="20">
        <f ca="1">[1]!b_anal_day(B819,$A$5)/365</f>
        <v>0</v>
      </c>
      <c r="G819" s="21">
        <f ca="1">[1]!b_anal_yield_cnbd(B819,$A$5)</f>
        <v>0</v>
      </c>
      <c r="H819" s="21">
        <f t="shared" ca="1" si="42"/>
        <v>420</v>
      </c>
      <c r="I819" s="21">
        <f ca="1">[1]!b_anal_yield_cnbd(B819,$A$7)</f>
        <v>0</v>
      </c>
      <c r="J819" s="21">
        <f t="shared" ca="1" si="43"/>
        <v>0</v>
      </c>
      <c r="K819" s="19" t="str">
        <f>[1]!s_info_Nature(B819)</f>
        <v>中央国有企业</v>
      </c>
      <c r="L819" s="19" t="str">
        <f>[1]!b_info_windl1type(B819)</f>
        <v>中期票据</v>
      </c>
      <c r="M819" s="13">
        <f>[1]!b_info_couponrate(B819)</f>
        <v>5.45</v>
      </c>
      <c r="N819" s="14" t="str">
        <f>[1]!B_Info_ListedDate(B819)</f>
        <v>2012-06-08</v>
      </c>
      <c r="O819" s="14" t="str">
        <f>[1]!b_issue_firstissue(B819)</f>
        <v>2012-06-06</v>
      </c>
      <c r="P819" s="4">
        <f t="shared" ca="1" si="44"/>
        <v>42989</v>
      </c>
    </row>
    <row r="820" spans="2:16">
      <c r="B820" s="7">
        <v>170205</v>
      </c>
      <c r="C820" s="7">
        <v>4.1900000000000004</v>
      </c>
      <c r="D820" s="18" t="str">
        <f>[1]!b_info_name(B820)</f>
        <v>17国开05</v>
      </c>
      <c r="E820" s="19">
        <f>[1]!b_info_latestissurercreditrating(B820)</f>
        <v>0</v>
      </c>
      <c r="F820" s="20">
        <f ca="1">[1]!b_anal_day(B820,$A$5)/365</f>
        <v>2.6082191780821917</v>
      </c>
      <c r="G820" s="21">
        <f ca="1">[1]!b_anal_yield_cnbd(B820,$A$5)</f>
        <v>0</v>
      </c>
      <c r="H820" s="21">
        <f t="shared" ca="1" si="42"/>
        <v>419.00000000000006</v>
      </c>
      <c r="I820" s="21">
        <f ca="1">[1]!b_anal_yield_cnbd(B820,$A$7)</f>
        <v>0</v>
      </c>
      <c r="J820" s="21">
        <f t="shared" ca="1" si="43"/>
        <v>0</v>
      </c>
      <c r="K820" s="19" t="str">
        <f>[1]!s_info_Nature(B820)</f>
        <v>中央国有企业</v>
      </c>
      <c r="L820" s="19" t="str">
        <f>[1]!b_info_windl1type(B820)</f>
        <v>金融债</v>
      </c>
      <c r="M820" s="13">
        <f>[1]!b_info_couponrate(B820)</f>
        <v>3.88</v>
      </c>
      <c r="N820" s="14" t="str">
        <f>[1]!B_Info_ListedDate(B820)</f>
        <v>2017-04-21</v>
      </c>
      <c r="O820" s="14" t="str">
        <f>[1]!b_issue_firstissue(B820)</f>
        <v>2017-04-11</v>
      </c>
      <c r="P820" s="4">
        <f t="shared" ca="1" si="44"/>
        <v>42989</v>
      </c>
    </row>
    <row r="821" spans="2:16">
      <c r="B821" s="7">
        <v>11753030</v>
      </c>
      <c r="C821" s="7">
        <v>4.16</v>
      </c>
      <c r="D821" s="18" t="str">
        <f>[1]!b_info_name(B821)</f>
        <v>17联通SCP002</v>
      </c>
      <c r="E821" s="19" t="str">
        <f>[1]!b_info_latestissurercreditrating(B821)</f>
        <v>AAA</v>
      </c>
      <c r="F821" s="20">
        <f ca="1">[1]!b_anal_day(B821,$A$5)/365</f>
        <v>0</v>
      </c>
      <c r="G821" s="21">
        <f ca="1">[1]!b_anal_yield_cnbd(B821,$A$5)</f>
        <v>0</v>
      </c>
      <c r="H821" s="21">
        <f t="shared" ca="1" si="42"/>
        <v>416</v>
      </c>
      <c r="I821" s="21">
        <f ca="1">[1]!b_anal_yield_cnbd(B821,$A$7)</f>
        <v>0</v>
      </c>
      <c r="J821" s="21">
        <f t="shared" ca="1" si="43"/>
        <v>0</v>
      </c>
      <c r="K821" s="19" t="str">
        <f>[1]!s_info_Nature(B821)</f>
        <v>中央国有企业</v>
      </c>
      <c r="L821" s="19" t="str">
        <f>[1]!b_info_windl1type(B821)</f>
        <v>短期融资券</v>
      </c>
      <c r="M821" s="13">
        <f>[1]!b_info_couponrate(B821)</f>
        <v>3.95</v>
      </c>
      <c r="N821" s="14" t="str">
        <f>[1]!B_Info_ListedDate(B821)</f>
        <v>2017-04-27</v>
      </c>
      <c r="O821" s="14" t="str">
        <f>[1]!b_issue_firstissue(B821)</f>
        <v>2017-04-24</v>
      </c>
      <c r="P821" s="4">
        <f t="shared" ca="1" si="44"/>
        <v>42989</v>
      </c>
    </row>
    <row r="822" spans="2:16">
      <c r="B822" s="7">
        <v>111609501</v>
      </c>
      <c r="C822" s="7">
        <v>4.1500000000000004</v>
      </c>
      <c r="D822" s="18" t="str">
        <f>[1]!b_info_name(B822)</f>
        <v>16浦发CD501</v>
      </c>
      <c r="E822" s="19" t="str">
        <f>[1]!b_info_latestissurercreditrating(B822)</f>
        <v>AAA</v>
      </c>
      <c r="F822" s="20">
        <f ca="1">[1]!b_anal_day(B822,$A$5)/365</f>
        <v>0</v>
      </c>
      <c r="G822" s="21">
        <f ca="1">[1]!b_anal_yield_cnbd(B822,$A$5)</f>
        <v>0</v>
      </c>
      <c r="H822" s="21">
        <f t="shared" ca="1" si="42"/>
        <v>415.00000000000006</v>
      </c>
      <c r="I822" s="21">
        <f ca="1">[1]!b_anal_yield_cnbd(B822,$A$7)</f>
        <v>0</v>
      </c>
      <c r="J822" s="21">
        <f t="shared" ca="1" si="43"/>
        <v>0</v>
      </c>
      <c r="K822" s="19" t="str">
        <f>[1]!s_info_Nature(B822)</f>
        <v>公众企业</v>
      </c>
      <c r="L822" s="19" t="str">
        <f>[1]!b_info_windl1type(B822)</f>
        <v>同业存单</v>
      </c>
      <c r="M822" s="13">
        <f>[1]!b_info_couponrate(B822)</f>
        <v>4.8</v>
      </c>
      <c r="N822" s="14" t="str">
        <f>[1]!B_Info_ListedDate(B822)</f>
        <v>2016-12-26</v>
      </c>
      <c r="O822" s="14" t="str">
        <f>[1]!b_issue_firstissue(B822)</f>
        <v>2016-12-23</v>
      </c>
      <c r="P822" s="4">
        <f t="shared" ca="1" si="44"/>
        <v>42989</v>
      </c>
    </row>
    <row r="823" spans="2:16">
      <c r="B823" s="7">
        <v>111618317</v>
      </c>
      <c r="C823" s="7">
        <v>4.1500000000000004</v>
      </c>
      <c r="D823" s="18" t="str">
        <f>[1]!b_info_name(B823)</f>
        <v>16华夏CD317</v>
      </c>
      <c r="E823" s="19" t="str">
        <f>[1]!b_info_latestissurercreditrating(B823)</f>
        <v>AAA</v>
      </c>
      <c r="F823" s="20">
        <f ca="1">[1]!b_anal_day(B823,$A$5)/365</f>
        <v>0</v>
      </c>
      <c r="G823" s="21">
        <f ca="1">[1]!b_anal_yield_cnbd(B823,$A$5)</f>
        <v>0</v>
      </c>
      <c r="H823" s="21">
        <f t="shared" ca="1" si="42"/>
        <v>415.00000000000006</v>
      </c>
      <c r="I823" s="21">
        <f ca="1">[1]!b_anal_yield_cnbd(B823,$A$7)</f>
        <v>0</v>
      </c>
      <c r="J823" s="21">
        <f t="shared" ca="1" si="43"/>
        <v>0</v>
      </c>
      <c r="K823" s="19" t="str">
        <f>[1]!s_info_Nature(B823)</f>
        <v>公众企业</v>
      </c>
      <c r="L823" s="19" t="str">
        <f>[1]!b_info_windl1type(B823)</f>
        <v>同业存单</v>
      </c>
      <c r="M823" s="13">
        <f>[1]!b_info_couponrate(B823)</f>
        <v>4.7</v>
      </c>
      <c r="N823" s="14" t="str">
        <f>[1]!B_Info_ListedDate(B823)</f>
        <v>2016-12-26</v>
      </c>
      <c r="O823" s="14" t="str">
        <f>[1]!b_issue_firstissue(B823)</f>
        <v>2016-12-23</v>
      </c>
      <c r="P823" s="4">
        <f t="shared" ca="1" si="44"/>
        <v>42989</v>
      </c>
    </row>
    <row r="824" spans="2:16">
      <c r="B824" s="7">
        <v>11698970</v>
      </c>
      <c r="C824" s="7">
        <v>4.1500000000000004</v>
      </c>
      <c r="D824" s="18" t="str">
        <f>[1]!b_info_name(B824)</f>
        <v>16国开投SCP001</v>
      </c>
      <c r="E824" s="19" t="str">
        <f>[1]!b_info_latestissurercreditrating(B824)</f>
        <v>AAA</v>
      </c>
      <c r="F824" s="20">
        <f ca="1">[1]!b_anal_day(B824,$A$5)/365</f>
        <v>0</v>
      </c>
      <c r="G824" s="21">
        <f ca="1">[1]!b_anal_yield_cnbd(B824,$A$5)</f>
        <v>0</v>
      </c>
      <c r="H824" s="21">
        <f t="shared" ca="1" si="42"/>
        <v>415.00000000000006</v>
      </c>
      <c r="I824" s="21">
        <f ca="1">[1]!b_anal_yield_cnbd(B824,$A$7)</f>
        <v>0</v>
      </c>
      <c r="J824" s="21">
        <f t="shared" ca="1" si="43"/>
        <v>0</v>
      </c>
      <c r="K824" s="19" t="str">
        <f>[1]!s_info_Nature(B824)</f>
        <v>中央国有企业</v>
      </c>
      <c r="L824" s="19" t="str">
        <f>[1]!b_info_windl1type(B824)</f>
        <v>短期融资券</v>
      </c>
      <c r="M824" s="13">
        <f>[1]!b_info_couponrate(B824)</f>
        <v>3.5</v>
      </c>
      <c r="N824" s="14" t="str">
        <f>[1]!B_Info_ListedDate(B824)</f>
        <v>2016-12-06</v>
      </c>
      <c r="O824" s="14" t="str">
        <f>[1]!b_issue_firstissue(B824)</f>
        <v>2016-12-02</v>
      </c>
      <c r="P824" s="4">
        <f t="shared" ca="1" si="44"/>
        <v>42989</v>
      </c>
    </row>
    <row r="825" spans="2:16">
      <c r="B825" s="7">
        <v>1282256</v>
      </c>
      <c r="C825" s="7">
        <v>4.1500000000000004</v>
      </c>
      <c r="D825" s="18" t="str">
        <f>[1]!b_info_name(B825)</f>
        <v>12中航工MTN1</v>
      </c>
      <c r="E825" s="19" t="str">
        <f>[1]!b_info_latestissurercreditrating(B825)</f>
        <v>AAA</v>
      </c>
      <c r="F825" s="20">
        <f ca="1">[1]!b_anal_day(B825,$A$5)/365</f>
        <v>0</v>
      </c>
      <c r="G825" s="21">
        <f ca="1">[1]!b_anal_yield_cnbd(B825,$A$5)</f>
        <v>0</v>
      </c>
      <c r="H825" s="21">
        <f t="shared" ca="1" si="42"/>
        <v>415.00000000000006</v>
      </c>
      <c r="I825" s="21">
        <f ca="1">[1]!b_anal_yield_cnbd(B825,$A$7)</f>
        <v>0</v>
      </c>
      <c r="J825" s="21">
        <f t="shared" ca="1" si="43"/>
        <v>0</v>
      </c>
      <c r="K825" s="19" t="str">
        <f>[1]!s_info_Nature(B825)</f>
        <v>中央国有企业</v>
      </c>
      <c r="L825" s="19" t="str">
        <f>[1]!b_info_windl1type(B825)</f>
        <v>中期票据</v>
      </c>
      <c r="M825" s="13">
        <f>[1]!b_info_couponrate(B825)</f>
        <v>4.29</v>
      </c>
      <c r="N825" s="14" t="str">
        <f>[1]!B_Info_ListedDate(B825)</f>
        <v>2012-07-20</v>
      </c>
      <c r="O825" s="14" t="str">
        <f>[1]!b_issue_firstissue(B825)</f>
        <v>2012-07-18</v>
      </c>
      <c r="P825" s="4">
        <f t="shared" ca="1" si="44"/>
        <v>42989</v>
      </c>
    </row>
    <row r="826" spans="2:16">
      <c r="B826" s="7">
        <v>11698494</v>
      </c>
      <c r="C826" s="7">
        <v>4.1100000000000003</v>
      </c>
      <c r="D826" s="18" t="str">
        <f>[1]!b_info_name(B826)</f>
        <v>16华能新能SCP004</v>
      </c>
      <c r="E826" s="19" t="str">
        <f>[1]!b_info_latestissurercreditrating(B826)</f>
        <v>AAA</v>
      </c>
      <c r="F826" s="20">
        <f ca="1">[1]!b_anal_day(B826,$A$5)/365</f>
        <v>0</v>
      </c>
      <c r="G826" s="21">
        <f ca="1">[1]!b_anal_yield_cnbd(B826,$A$5)</f>
        <v>0</v>
      </c>
      <c r="H826" s="21">
        <f t="shared" ca="1" si="42"/>
        <v>411.00000000000006</v>
      </c>
      <c r="I826" s="21">
        <f ca="1">[1]!b_anal_yield_cnbd(B826,$A$7)</f>
        <v>0</v>
      </c>
      <c r="J826" s="21">
        <f t="shared" ca="1" si="43"/>
        <v>0</v>
      </c>
      <c r="K826" s="19" t="str">
        <f>[1]!s_info_Nature(B826)</f>
        <v>中央国有企业</v>
      </c>
      <c r="L826" s="19" t="str">
        <f>[1]!b_info_windl1type(B826)</f>
        <v>短期融资券</v>
      </c>
      <c r="M826" s="13">
        <f>[1]!b_info_couponrate(B826)</f>
        <v>2.79</v>
      </c>
      <c r="N826" s="14" t="str">
        <f>[1]!B_Info_ListedDate(B826)</f>
        <v>2016-09-27</v>
      </c>
      <c r="O826" s="14" t="str">
        <f>[1]!b_issue_firstissue(B826)</f>
        <v>2016-09-22</v>
      </c>
      <c r="P826" s="4">
        <f t="shared" ca="1" si="44"/>
        <v>42989</v>
      </c>
    </row>
    <row r="827" spans="2:16">
      <c r="B827" s="7">
        <v>111708063</v>
      </c>
      <c r="C827" s="7">
        <v>4.07</v>
      </c>
      <c r="D827" s="18" t="str">
        <f>[1]!b_info_name(B827)</f>
        <v>17中信银行CD063</v>
      </c>
      <c r="E827" s="19" t="str">
        <f>[1]!b_info_latestissurercreditrating(B827)</f>
        <v>AAA</v>
      </c>
      <c r="F827" s="20">
        <f ca="1">[1]!b_anal_day(B827,$A$5)/365</f>
        <v>0</v>
      </c>
      <c r="G827" s="21">
        <f ca="1">[1]!b_anal_yield_cnbd(B827,$A$5)</f>
        <v>0</v>
      </c>
      <c r="H827" s="21">
        <f t="shared" ca="1" si="42"/>
        <v>407</v>
      </c>
      <c r="I827" s="21">
        <f ca="1">[1]!b_anal_yield_cnbd(B827,$A$7)</f>
        <v>0</v>
      </c>
      <c r="J827" s="21">
        <f t="shared" ca="1" si="43"/>
        <v>0</v>
      </c>
      <c r="K827" s="19" t="str">
        <f>[1]!s_info_Nature(B827)</f>
        <v>中央国有企业</v>
      </c>
      <c r="L827" s="19" t="str">
        <f>[1]!b_info_windl1type(B827)</f>
        <v>同业存单</v>
      </c>
      <c r="M827" s="13">
        <f>[1]!b_info_couponrate(B827)</f>
        <v>4.3</v>
      </c>
      <c r="N827" s="14" t="str">
        <f>[1]!B_Info_ListedDate(B827)</f>
        <v>2017-03-08</v>
      </c>
      <c r="O827" s="14" t="str">
        <f>[1]!b_issue_firstissue(B827)</f>
        <v>2017-03-07</v>
      </c>
      <c r="P827" s="4">
        <f t="shared" ca="1" si="44"/>
        <v>42989</v>
      </c>
    </row>
    <row r="828" spans="2:16">
      <c r="B828" s="7">
        <v>150317</v>
      </c>
      <c r="C828" s="7">
        <v>4.0599999999999996</v>
      </c>
      <c r="D828" s="18" t="str">
        <f>[1]!b_info_name(B828)</f>
        <v>15进出17</v>
      </c>
      <c r="E828" s="19">
        <f>[1]!b_info_latestissurercreditrating(B828)</f>
        <v>0</v>
      </c>
      <c r="F828" s="20">
        <f ca="1">[1]!b_anal_day(B828,$A$5)/365</f>
        <v>1.2219178082191782</v>
      </c>
      <c r="G828" s="21">
        <f ca="1">[1]!b_anal_yield_cnbd(B828,$A$5)</f>
        <v>0</v>
      </c>
      <c r="H828" s="21">
        <f t="shared" ca="1" si="42"/>
        <v>405.99999999999994</v>
      </c>
      <c r="I828" s="21">
        <f ca="1">[1]!b_anal_yield_cnbd(B828,$A$7)</f>
        <v>0</v>
      </c>
      <c r="J828" s="21">
        <f t="shared" ca="1" si="43"/>
        <v>0</v>
      </c>
      <c r="K828" s="19" t="str">
        <f>[1]!s_info_Nature(B828)</f>
        <v>中央国有企业</v>
      </c>
      <c r="L828" s="19" t="str">
        <f>[1]!b_info_windl1type(B828)</f>
        <v>金融债</v>
      </c>
      <c r="M828" s="13">
        <f>[1]!b_info_couponrate(B828)</f>
        <v>3.18</v>
      </c>
      <c r="N828" s="14" t="str">
        <f>[1]!B_Info_ListedDate(B828)</f>
        <v>2015-12-02</v>
      </c>
      <c r="O828" s="14" t="str">
        <f>[1]!b_issue_firstissue(B828)</f>
        <v>2015-11-26</v>
      </c>
      <c r="P828" s="4">
        <f t="shared" ca="1" si="44"/>
        <v>42989</v>
      </c>
    </row>
    <row r="829" spans="2:16">
      <c r="B829" s="7">
        <v>11754030</v>
      </c>
      <c r="C829" s="7">
        <v>4.0599999999999996</v>
      </c>
      <c r="D829" s="18" t="str">
        <f>[1]!b_info_name(B829)</f>
        <v>17浙能源SCP001</v>
      </c>
      <c r="E829" s="19" t="str">
        <f>[1]!b_info_latestissurercreditrating(B829)</f>
        <v>AAA</v>
      </c>
      <c r="F829" s="20">
        <f ca="1">[1]!b_anal_day(B829,$A$5)/365</f>
        <v>0</v>
      </c>
      <c r="G829" s="21">
        <f ca="1">[1]!b_anal_yield_cnbd(B829,$A$5)</f>
        <v>0</v>
      </c>
      <c r="H829" s="21">
        <f t="shared" ca="1" si="42"/>
        <v>405.99999999999994</v>
      </c>
      <c r="I829" s="21">
        <f ca="1">[1]!b_anal_yield_cnbd(B829,$A$7)</f>
        <v>0</v>
      </c>
      <c r="J829" s="21">
        <f t="shared" ca="1" si="43"/>
        <v>0</v>
      </c>
      <c r="K829" s="19" t="str">
        <f>[1]!s_info_Nature(B829)</f>
        <v>地方国有企业</v>
      </c>
      <c r="L829" s="19" t="str">
        <f>[1]!b_info_windl1type(B829)</f>
        <v>短期融资券</v>
      </c>
      <c r="M829" s="13">
        <f>[1]!b_info_couponrate(B829)</f>
        <v>3.98</v>
      </c>
      <c r="N829" s="14" t="str">
        <f>[1]!B_Info_ListedDate(B829)</f>
        <v>2017-03-10</v>
      </c>
      <c r="O829" s="14" t="str">
        <f>[1]!b_issue_firstissue(B829)</f>
        <v>2017-03-08</v>
      </c>
      <c r="P829" s="4">
        <f t="shared" ca="1" si="44"/>
        <v>42989</v>
      </c>
    </row>
    <row r="830" spans="2:16">
      <c r="B830" s="7">
        <v>11754030</v>
      </c>
      <c r="C830" s="7">
        <v>4.0599999999999996</v>
      </c>
      <c r="D830" s="18" t="str">
        <f>[1]!b_info_name(B830)</f>
        <v>17浙能源SCP001</v>
      </c>
      <c r="E830" s="19" t="str">
        <f>[1]!b_info_latestissurercreditrating(B830)</f>
        <v>AAA</v>
      </c>
      <c r="F830" s="20">
        <f ca="1">[1]!b_anal_day(B830,$A$5)/365</f>
        <v>0</v>
      </c>
      <c r="G830" s="21">
        <f ca="1">[1]!b_anal_yield_cnbd(B830,$A$5)</f>
        <v>0</v>
      </c>
      <c r="H830" s="21">
        <f t="shared" ca="1" si="42"/>
        <v>405.99999999999994</v>
      </c>
      <c r="I830" s="21">
        <f ca="1">[1]!b_anal_yield_cnbd(B830,$A$7)</f>
        <v>0</v>
      </c>
      <c r="J830" s="21">
        <f t="shared" ca="1" si="43"/>
        <v>0</v>
      </c>
      <c r="K830" s="19" t="str">
        <f>[1]!s_info_Nature(B830)</f>
        <v>地方国有企业</v>
      </c>
      <c r="L830" s="19" t="str">
        <f>[1]!b_info_windl1type(B830)</f>
        <v>短期融资券</v>
      </c>
      <c r="M830" s="13">
        <f>[1]!b_info_couponrate(B830)</f>
        <v>3.98</v>
      </c>
      <c r="N830" s="14" t="str">
        <f>[1]!B_Info_ListedDate(B830)</f>
        <v>2017-03-10</v>
      </c>
      <c r="O830" s="14" t="str">
        <f>[1]!b_issue_firstissue(B830)</f>
        <v>2017-03-08</v>
      </c>
      <c r="P830" s="4">
        <f t="shared" ca="1" si="44"/>
        <v>42989</v>
      </c>
    </row>
    <row r="831" spans="2:16">
      <c r="B831" s="7">
        <v>111707066</v>
      </c>
      <c r="C831" s="7">
        <v>4.05</v>
      </c>
      <c r="D831" s="18" t="str">
        <f>[1]!b_info_name(B831)</f>
        <v>17招商银行CD066</v>
      </c>
      <c r="E831" s="19" t="str">
        <f>[1]!b_info_latestissurercreditrating(B831)</f>
        <v>AAA</v>
      </c>
      <c r="F831" s="20">
        <f ca="1">[1]!b_anal_day(B831,$A$5)/365</f>
        <v>0</v>
      </c>
      <c r="G831" s="21">
        <f ca="1">[1]!b_anal_yield_cnbd(B831,$A$5)</f>
        <v>0</v>
      </c>
      <c r="H831" s="21">
        <f t="shared" ca="1" si="42"/>
        <v>405</v>
      </c>
      <c r="I831" s="21">
        <f ca="1">[1]!b_anal_yield_cnbd(B831,$A$7)</f>
        <v>0</v>
      </c>
      <c r="J831" s="21">
        <f t="shared" ca="1" si="43"/>
        <v>0</v>
      </c>
      <c r="K831" s="19" t="str">
        <f>[1]!s_info_Nature(B831)</f>
        <v>公众企业</v>
      </c>
      <c r="L831" s="19" t="str">
        <f>[1]!b_info_windl1type(B831)</f>
        <v>同业存单</v>
      </c>
      <c r="M831" s="13">
        <f>[1]!b_info_couponrate(B831)</f>
        <v>4.4000000000000004</v>
      </c>
      <c r="N831" s="14" t="str">
        <f>[1]!B_Info_ListedDate(B831)</f>
        <v>2017-02-22</v>
      </c>
      <c r="O831" s="14" t="str">
        <f>[1]!b_issue_firstissue(B831)</f>
        <v>2017-02-21</v>
      </c>
      <c r="P831" s="4">
        <f t="shared" ca="1" si="44"/>
        <v>42989</v>
      </c>
    </row>
    <row r="832" spans="2:16">
      <c r="B832" s="7">
        <v>111709059</v>
      </c>
      <c r="C832" s="7">
        <v>4.05</v>
      </c>
      <c r="D832" s="18" t="str">
        <f>[1]!b_info_name(B832)</f>
        <v>17浦发银行CD059</v>
      </c>
      <c r="E832" s="19" t="str">
        <f>[1]!b_info_latestissurercreditrating(B832)</f>
        <v>AAA</v>
      </c>
      <c r="F832" s="20">
        <f ca="1">[1]!b_anal_day(B832,$A$5)/365</f>
        <v>0</v>
      </c>
      <c r="G832" s="21">
        <f ca="1">[1]!b_anal_yield_cnbd(B832,$A$5)</f>
        <v>0</v>
      </c>
      <c r="H832" s="21">
        <f t="shared" ca="1" si="42"/>
        <v>405</v>
      </c>
      <c r="I832" s="21">
        <f ca="1">[1]!b_anal_yield_cnbd(B832,$A$7)</f>
        <v>0</v>
      </c>
      <c r="J832" s="21">
        <f t="shared" ca="1" si="43"/>
        <v>0</v>
      </c>
      <c r="K832" s="19" t="str">
        <f>[1]!s_info_Nature(B832)</f>
        <v>公众企业</v>
      </c>
      <c r="L832" s="19" t="str">
        <f>[1]!b_info_windl1type(B832)</f>
        <v>同业存单</v>
      </c>
      <c r="M832" s="13">
        <f>[1]!b_info_couponrate(B832)</f>
        <v>4.4000000000000004</v>
      </c>
      <c r="N832" s="14" t="str">
        <f>[1]!B_Info_ListedDate(B832)</f>
        <v>2017-02-22</v>
      </c>
      <c r="O832" s="14" t="str">
        <f>[1]!b_issue_firstissue(B832)</f>
        <v>2017-02-21</v>
      </c>
      <c r="P832" s="4">
        <f t="shared" ca="1" si="44"/>
        <v>42989</v>
      </c>
    </row>
    <row r="833" spans="2:16">
      <c r="B833" s="7">
        <v>111792459</v>
      </c>
      <c r="C833" s="7">
        <v>4.05</v>
      </c>
      <c r="D833" s="18" t="str">
        <f>[1]!b_info_name(B833)</f>
        <v>17威海商行CD007</v>
      </c>
      <c r="E833" s="19" t="str">
        <f>[1]!b_info_latestissurercreditrating(B833)</f>
        <v>AA+</v>
      </c>
      <c r="F833" s="20">
        <f ca="1">[1]!b_anal_day(B833,$A$5)/365</f>
        <v>0</v>
      </c>
      <c r="G833" s="21">
        <f ca="1">[1]!b_anal_yield_cnbd(B833,$A$5)</f>
        <v>0</v>
      </c>
      <c r="H833" s="21">
        <f t="shared" ca="1" si="42"/>
        <v>405</v>
      </c>
      <c r="I833" s="21">
        <f ca="1">[1]!b_anal_yield_cnbd(B833,$A$7)</f>
        <v>0</v>
      </c>
      <c r="J833" s="21">
        <f t="shared" ca="1" si="43"/>
        <v>0</v>
      </c>
      <c r="K833" s="19" t="str">
        <f>[1]!s_info_Nature(B833)</f>
        <v>地方国有企业</v>
      </c>
      <c r="L833" s="19" t="str">
        <f>[1]!b_info_windl1type(B833)</f>
        <v>同业存单</v>
      </c>
      <c r="M833" s="13">
        <f>[1]!b_info_couponrate(B833)</f>
        <v>4.55</v>
      </c>
      <c r="N833" s="14" t="str">
        <f>[1]!B_Info_ListedDate(B833)</f>
        <v>2017-02-24</v>
      </c>
      <c r="O833" s="14" t="str">
        <f>[1]!b_issue_firstissue(B833)</f>
        <v>2017-02-23</v>
      </c>
      <c r="P833" s="4">
        <f t="shared" ca="1" si="44"/>
        <v>42989</v>
      </c>
    </row>
    <row r="834" spans="2:16">
      <c r="B834" s="7">
        <v>160402</v>
      </c>
      <c r="C834" s="7">
        <v>4.05</v>
      </c>
      <c r="D834" s="18" t="str">
        <f>[1]!b_info_name(B834)</f>
        <v>16农发02</v>
      </c>
      <c r="E834" s="19">
        <f>[1]!b_info_latestissurercreditrating(B834)</f>
        <v>0</v>
      </c>
      <c r="F834" s="20">
        <f ca="1">[1]!b_anal_day(B834,$A$5)/365</f>
        <v>1.3232876712328767</v>
      </c>
      <c r="G834" s="21">
        <f ca="1">[1]!b_anal_yield_cnbd(B834,$A$5)</f>
        <v>0</v>
      </c>
      <c r="H834" s="21">
        <f t="shared" ca="1" si="42"/>
        <v>405</v>
      </c>
      <c r="I834" s="21">
        <f ca="1">[1]!b_anal_yield_cnbd(B834,$A$7)</f>
        <v>0</v>
      </c>
      <c r="J834" s="21">
        <f t="shared" ca="1" si="43"/>
        <v>0</v>
      </c>
      <c r="K834" s="19">
        <f>[1]!s_info_Nature(B834)</f>
        <v>0</v>
      </c>
      <c r="L834" s="19" t="str">
        <f>[1]!b_info_windl1type(B834)</f>
        <v>金融债</v>
      </c>
      <c r="M834" s="13">
        <f>[1]!b_info_couponrate(B834)</f>
        <v>2.77</v>
      </c>
      <c r="N834" s="14" t="str">
        <f>[1]!B_Info_ListedDate(B834)</f>
        <v>2016-01-08</v>
      </c>
      <c r="O834" s="14" t="str">
        <f>[1]!b_issue_firstissue(B834)</f>
        <v>2016-01-04</v>
      </c>
      <c r="P834" s="4">
        <f t="shared" ca="1" si="44"/>
        <v>42989</v>
      </c>
    </row>
    <row r="835" spans="2:16">
      <c r="B835" s="7">
        <v>160208</v>
      </c>
      <c r="C835" s="7">
        <v>4.05</v>
      </c>
      <c r="D835" s="18" t="str">
        <f>[1]!b_info_name(B835)</f>
        <v>16国开08</v>
      </c>
      <c r="E835" s="19">
        <f>[1]!b_info_latestissurercreditrating(B835)</f>
        <v>0</v>
      </c>
      <c r="F835" s="20">
        <f ca="1">[1]!b_anal_day(B835,$A$5)/365</f>
        <v>1.4767123287671233</v>
      </c>
      <c r="G835" s="21">
        <f ca="1">[1]!b_anal_yield_cnbd(B835,$A$5)</f>
        <v>0</v>
      </c>
      <c r="H835" s="21">
        <f t="shared" ca="1" si="42"/>
        <v>405</v>
      </c>
      <c r="I835" s="21">
        <f ca="1">[1]!b_anal_yield_cnbd(B835,$A$7)</f>
        <v>0</v>
      </c>
      <c r="J835" s="21">
        <f t="shared" ca="1" si="43"/>
        <v>0</v>
      </c>
      <c r="K835" s="19">
        <f>[1]!s_info_Nature(B835)</f>
        <v>0</v>
      </c>
      <c r="L835" s="19" t="str">
        <f>[1]!b_info_windl1type(B835)</f>
        <v>金融债</v>
      </c>
      <c r="M835" s="13">
        <f>[1]!b_info_couponrate(B835)</f>
        <v>2.72</v>
      </c>
      <c r="N835" s="14" t="str">
        <f>[1]!B_Info_ListedDate(B835)</f>
        <v>2016-03-07</v>
      </c>
      <c r="O835" s="14" t="str">
        <f>[1]!b_issue_firstissue(B835)</f>
        <v>2016-03-01</v>
      </c>
      <c r="P835" s="4">
        <f t="shared" ca="1" si="44"/>
        <v>42989</v>
      </c>
    </row>
    <row r="836" spans="2:16">
      <c r="B836" s="7">
        <v>11698479</v>
      </c>
      <c r="C836" s="7">
        <v>4.05</v>
      </c>
      <c r="D836" s="18" t="str">
        <f>[1]!b_info_name(B836)</f>
        <v>16东航股SCP013</v>
      </c>
      <c r="E836" s="19" t="str">
        <f>[1]!b_info_latestissurercreditrating(B836)</f>
        <v>AAA</v>
      </c>
      <c r="F836" s="20">
        <f ca="1">[1]!b_anal_day(B836,$A$5)/365</f>
        <v>0</v>
      </c>
      <c r="G836" s="21">
        <f ca="1">[1]!b_anal_yield_cnbd(B836,$A$5)</f>
        <v>0</v>
      </c>
      <c r="H836" s="21">
        <f t="shared" ca="1" si="42"/>
        <v>405</v>
      </c>
      <c r="I836" s="21">
        <f ca="1">[1]!b_anal_yield_cnbd(B836,$A$7)</f>
        <v>0</v>
      </c>
      <c r="J836" s="21">
        <f t="shared" ca="1" si="43"/>
        <v>0</v>
      </c>
      <c r="K836" s="19" t="str">
        <f>[1]!s_info_Nature(B836)</f>
        <v>中央国有企业</v>
      </c>
      <c r="L836" s="19" t="str">
        <f>[1]!b_info_windl1type(B836)</f>
        <v>短期融资券</v>
      </c>
      <c r="M836" s="13">
        <f>[1]!b_info_couponrate(B836)</f>
        <v>2.58</v>
      </c>
      <c r="N836" s="14" t="str">
        <f>[1]!B_Info_ListedDate(B836)</f>
        <v>2016-09-22</v>
      </c>
      <c r="O836" s="14" t="str">
        <f>[1]!b_issue_firstissue(B836)</f>
        <v>2016-09-20</v>
      </c>
      <c r="P836" s="4">
        <f t="shared" ca="1" si="44"/>
        <v>42989</v>
      </c>
    </row>
    <row r="837" spans="2:16">
      <c r="B837" s="7">
        <v>111693605</v>
      </c>
      <c r="C837" s="7">
        <v>4.05</v>
      </c>
      <c r="D837" s="18" t="str">
        <f>[1]!b_info_name(B837)</f>
        <v>16西安银行CD017</v>
      </c>
      <c r="E837" s="19" t="str">
        <f>[1]!b_info_latestissurercreditrating(B837)</f>
        <v>AA+</v>
      </c>
      <c r="F837" s="20">
        <f ca="1">[1]!b_anal_day(B837,$A$5)/365</f>
        <v>0</v>
      </c>
      <c r="G837" s="21">
        <f ca="1">[1]!b_anal_yield_cnbd(B837,$A$5)</f>
        <v>0</v>
      </c>
      <c r="H837" s="21">
        <f t="shared" ca="1" si="42"/>
        <v>405</v>
      </c>
      <c r="I837" s="21">
        <f ca="1">[1]!b_anal_yield_cnbd(B837,$A$7)</f>
        <v>0</v>
      </c>
      <c r="J837" s="21">
        <f t="shared" ca="1" si="43"/>
        <v>0</v>
      </c>
      <c r="K837" s="19" t="str">
        <f>[1]!s_info_Nature(B837)</f>
        <v>地方国有企业</v>
      </c>
      <c r="L837" s="19" t="str">
        <f>[1]!b_info_windl1type(B837)</f>
        <v>同业存单</v>
      </c>
      <c r="M837" s="13">
        <f>[1]!b_info_couponrate(B837)</f>
        <v>3.27</v>
      </c>
      <c r="N837" s="14" t="str">
        <f>[1]!B_Info_ListedDate(B837)</f>
        <v>2016-05-23</v>
      </c>
      <c r="O837" s="14" t="str">
        <f>[1]!b_issue_firstissue(B837)</f>
        <v>2016-05-20</v>
      </c>
      <c r="P837" s="4">
        <f t="shared" ca="1" si="44"/>
        <v>42989</v>
      </c>
    </row>
    <row r="838" spans="2:16">
      <c r="B838" s="7">
        <v>150317</v>
      </c>
      <c r="C838" s="7">
        <v>4.04</v>
      </c>
      <c r="D838" s="18" t="str">
        <f>[1]!b_info_name(B838)</f>
        <v>15进出17</v>
      </c>
      <c r="E838" s="19">
        <f>[1]!b_info_latestissurercreditrating(B838)</f>
        <v>0</v>
      </c>
      <c r="F838" s="20">
        <f ca="1">[1]!b_anal_day(B838,$A$5)/365</f>
        <v>1.2219178082191782</v>
      </c>
      <c r="G838" s="21">
        <f ca="1">[1]!b_anal_yield_cnbd(B838,$A$5)</f>
        <v>0</v>
      </c>
      <c r="H838" s="21">
        <f t="shared" ca="1" si="42"/>
        <v>404</v>
      </c>
      <c r="I838" s="21">
        <f ca="1">[1]!b_anal_yield_cnbd(B838,$A$7)</f>
        <v>0</v>
      </c>
      <c r="J838" s="21">
        <f t="shared" ca="1" si="43"/>
        <v>0</v>
      </c>
      <c r="K838" s="19" t="str">
        <f>[1]!s_info_Nature(B838)</f>
        <v>中央国有企业</v>
      </c>
      <c r="L838" s="19" t="str">
        <f>[1]!b_info_windl1type(B838)</f>
        <v>金融债</v>
      </c>
      <c r="M838" s="13">
        <f>[1]!b_info_couponrate(B838)</f>
        <v>3.18</v>
      </c>
      <c r="N838" s="14" t="str">
        <f>[1]!B_Info_ListedDate(B838)</f>
        <v>2015-12-02</v>
      </c>
      <c r="O838" s="14" t="str">
        <f>[1]!b_issue_firstissue(B838)</f>
        <v>2015-11-26</v>
      </c>
      <c r="P838" s="4">
        <f t="shared" ca="1" si="44"/>
        <v>42989</v>
      </c>
    </row>
    <row r="839" spans="2:16">
      <c r="B839" s="7">
        <v>160208</v>
      </c>
      <c r="C839" s="7">
        <v>4.04</v>
      </c>
      <c r="D839" s="18" t="str">
        <f>[1]!b_info_name(B839)</f>
        <v>16国开08</v>
      </c>
      <c r="E839" s="19">
        <f>[1]!b_info_latestissurercreditrating(B839)</f>
        <v>0</v>
      </c>
      <c r="F839" s="20">
        <f ca="1">[1]!b_anal_day(B839,$A$5)/365</f>
        <v>1.4767123287671233</v>
      </c>
      <c r="G839" s="21">
        <f ca="1">[1]!b_anal_yield_cnbd(B839,$A$5)</f>
        <v>0</v>
      </c>
      <c r="H839" s="21">
        <f t="shared" ca="1" si="42"/>
        <v>404</v>
      </c>
      <c r="I839" s="21">
        <f ca="1">[1]!b_anal_yield_cnbd(B839,$A$7)</f>
        <v>0</v>
      </c>
      <c r="J839" s="21">
        <f t="shared" ca="1" si="43"/>
        <v>0</v>
      </c>
      <c r="K839" s="19">
        <f>[1]!s_info_Nature(B839)</f>
        <v>0</v>
      </c>
      <c r="L839" s="19" t="str">
        <f>[1]!b_info_windl1type(B839)</f>
        <v>金融债</v>
      </c>
      <c r="M839" s="13">
        <f>[1]!b_info_couponrate(B839)</f>
        <v>2.72</v>
      </c>
      <c r="N839" s="14" t="str">
        <f>[1]!B_Info_ListedDate(B839)</f>
        <v>2016-03-07</v>
      </c>
      <c r="O839" s="14" t="str">
        <f>[1]!b_issue_firstissue(B839)</f>
        <v>2016-03-01</v>
      </c>
      <c r="P839" s="4">
        <f t="shared" ca="1" si="44"/>
        <v>42989</v>
      </c>
    </row>
    <row r="840" spans="2:16">
      <c r="B840" s="7">
        <v>150223</v>
      </c>
      <c r="C840" s="7">
        <v>4.0199999999999996</v>
      </c>
      <c r="D840" s="18" t="str">
        <f>[1]!b_info_name(B840)</f>
        <v>15国开23</v>
      </c>
      <c r="E840" s="19">
        <f>[1]!b_info_latestissurercreditrating(B840)</f>
        <v>0</v>
      </c>
      <c r="F840" s="20">
        <f ca="1">[1]!b_anal_day(B840,$A$5)/365</f>
        <v>1.1506849315068493</v>
      </c>
      <c r="G840" s="21">
        <f ca="1">[1]!b_anal_yield_cnbd(B840,$A$5)</f>
        <v>0</v>
      </c>
      <c r="H840" s="21">
        <f t="shared" ca="1" si="42"/>
        <v>401.99999999999994</v>
      </c>
      <c r="I840" s="21">
        <f ca="1">[1]!b_anal_yield_cnbd(B840,$A$7)</f>
        <v>0</v>
      </c>
      <c r="J840" s="21">
        <f t="shared" ca="1" si="43"/>
        <v>0</v>
      </c>
      <c r="K840" s="19" t="str">
        <f>[1]!s_info_Nature(B840)</f>
        <v>中央国有企业</v>
      </c>
      <c r="L840" s="19" t="str">
        <f>[1]!b_info_windl1type(B840)</f>
        <v>金融债</v>
      </c>
      <c r="M840" s="13">
        <f>[1]!b_info_couponrate(B840)</f>
        <v>2.98</v>
      </c>
      <c r="N840" s="14" t="str">
        <f>[1]!B_Info_ListedDate(B840)</f>
        <v>2015-11-06</v>
      </c>
      <c r="O840" s="14" t="str">
        <f>[1]!b_issue_firstissue(B840)</f>
        <v>2015-10-27</v>
      </c>
      <c r="P840" s="4">
        <f t="shared" ca="1" si="44"/>
        <v>42989</v>
      </c>
    </row>
    <row r="841" spans="2:16">
      <c r="B841" s="7">
        <v>140202</v>
      </c>
      <c r="C841" s="7">
        <v>4.0199999999999996</v>
      </c>
      <c r="D841" s="18" t="str">
        <f>[1]!b_info_name(B841)</f>
        <v>14国开02</v>
      </c>
      <c r="E841" s="19">
        <f>[1]!b_info_latestissurercreditrating(B841)</f>
        <v>0</v>
      </c>
      <c r="F841" s="20">
        <f ca="1">[1]!b_anal_day(B841,$A$5)/365</f>
        <v>1.3452054794520547</v>
      </c>
      <c r="G841" s="21">
        <f ca="1">[1]!b_anal_yield_cnbd(B841,$A$5)</f>
        <v>0</v>
      </c>
      <c r="H841" s="21">
        <f t="shared" ca="1" si="42"/>
        <v>401.99999999999994</v>
      </c>
      <c r="I841" s="21">
        <f ca="1">[1]!b_anal_yield_cnbd(B841,$A$7)</f>
        <v>0</v>
      </c>
      <c r="J841" s="21">
        <f t="shared" ca="1" si="43"/>
        <v>0</v>
      </c>
      <c r="K841" s="19" t="str">
        <f>[1]!s_info_Nature(B841)</f>
        <v>中央国有企业</v>
      </c>
      <c r="L841" s="19" t="str">
        <f>[1]!b_info_windl1type(B841)</f>
        <v>金融债</v>
      </c>
      <c r="M841" s="13">
        <f>[1]!b_info_couponrate(B841)</f>
        <v>5.75</v>
      </c>
      <c r="N841" s="14" t="str">
        <f>[1]!B_Info_ListedDate(B841)</f>
        <v>2014-01-20</v>
      </c>
      <c r="O841" s="14" t="str">
        <f>[1]!b_issue_firstissue(B841)</f>
        <v>2014-01-09</v>
      </c>
      <c r="P841" s="4">
        <f t="shared" ca="1" si="44"/>
        <v>42989</v>
      </c>
    </row>
    <row r="842" spans="2:16">
      <c r="B842" s="7">
        <v>111795469</v>
      </c>
      <c r="C842" s="7">
        <v>4</v>
      </c>
      <c r="D842" s="18" t="str">
        <f>[1]!b_info_name(B842)</f>
        <v>17雅安商行CD005</v>
      </c>
      <c r="E842" s="19" t="str">
        <f>[1]!b_info_latestissurercreditrating(B842)</f>
        <v>AA-</v>
      </c>
      <c r="F842" s="20">
        <f ca="1">[1]!b_anal_day(B842,$A$5)/365</f>
        <v>0</v>
      </c>
      <c r="G842" s="21">
        <f ca="1">[1]!b_anal_yield_cnbd(B842,$A$5)</f>
        <v>0</v>
      </c>
      <c r="H842" s="21">
        <f t="shared" ca="1" si="42"/>
        <v>400</v>
      </c>
      <c r="I842" s="21">
        <f ca="1">[1]!b_anal_yield_cnbd(B842,$A$7)</f>
        <v>0</v>
      </c>
      <c r="J842" s="21">
        <f t="shared" ca="1" si="43"/>
        <v>0</v>
      </c>
      <c r="K842" s="19" t="str">
        <f>[1]!s_info_Nature(B842)</f>
        <v>地方国有企业</v>
      </c>
      <c r="L842" s="19" t="str">
        <f>[1]!b_info_windl1type(B842)</f>
        <v>同业存单</v>
      </c>
      <c r="M842" s="13">
        <f>[1]!b_info_couponrate(B842)</f>
        <v>4.4000000000000004</v>
      </c>
      <c r="N842" s="14" t="str">
        <f>[1]!B_Info_ListedDate(B842)</f>
        <v>2017-04-12</v>
      </c>
      <c r="O842" s="14" t="str">
        <f>[1]!b_issue_firstissue(B842)</f>
        <v>2017-04-11</v>
      </c>
      <c r="P842" s="4">
        <f t="shared" ca="1" si="44"/>
        <v>42989</v>
      </c>
    </row>
    <row r="843" spans="2:16">
      <c r="B843" s="7">
        <v>130010</v>
      </c>
      <c r="C843" s="7">
        <v>4</v>
      </c>
      <c r="D843" s="18" t="str">
        <f>[1]!b_info_name(B843)</f>
        <v>13附息国债10</v>
      </c>
      <c r="E843" s="19">
        <f>[1]!b_info_latestissurercreditrating(B843)</f>
        <v>0</v>
      </c>
      <c r="F843" s="20">
        <f ca="1">[1]!b_anal_day(B843,$A$5)/365</f>
        <v>45.720547945205482</v>
      </c>
      <c r="G843" s="21">
        <f ca="1">[1]!b_anal_yield_cnbd(B843,$A$5)</f>
        <v>0</v>
      </c>
      <c r="H843" s="21">
        <f t="shared" ca="1" si="42"/>
        <v>400</v>
      </c>
      <c r="I843" s="21">
        <f ca="1">[1]!b_anal_yield_cnbd(B843,$A$7)</f>
        <v>0</v>
      </c>
      <c r="J843" s="21">
        <f t="shared" ca="1" si="43"/>
        <v>0</v>
      </c>
      <c r="K843" s="19">
        <f>[1]!s_info_Nature(B843)</f>
        <v>0</v>
      </c>
      <c r="L843" s="19" t="str">
        <f>[1]!b_info_windl1type(B843)</f>
        <v>国债</v>
      </c>
      <c r="M843" s="13">
        <f>[1]!b_info_couponrate(B843)</f>
        <v>4.24</v>
      </c>
      <c r="N843" s="14" t="str">
        <f>[1]!B_Info_ListedDate(B843)</f>
        <v>2013-05-24</v>
      </c>
      <c r="O843" s="14" t="str">
        <f>[1]!b_issue_firstissue(B843)</f>
        <v>2013-05-17</v>
      </c>
      <c r="P843" s="4">
        <f t="shared" ca="1" si="44"/>
        <v>42989</v>
      </c>
    </row>
    <row r="844" spans="2:16">
      <c r="B844" s="7">
        <v>130334</v>
      </c>
      <c r="C844" s="7">
        <v>4</v>
      </c>
      <c r="D844" s="18" t="str">
        <f>[1]!b_info_name(B844)</f>
        <v>13进出34</v>
      </c>
      <c r="E844" s="19">
        <f>[1]!b_info_latestissurercreditrating(B844)</f>
        <v>0</v>
      </c>
      <c r="F844" s="20">
        <f ca="1">[1]!b_anal_day(B844,$A$5)/365</f>
        <v>1.1315068493150684</v>
      </c>
      <c r="G844" s="21">
        <f ca="1">[1]!b_anal_yield_cnbd(B844,$A$5)</f>
        <v>0</v>
      </c>
      <c r="H844" s="21">
        <f t="shared" ca="1" si="42"/>
        <v>400</v>
      </c>
      <c r="I844" s="21">
        <f ca="1">[1]!b_anal_yield_cnbd(B844,$A$7)</f>
        <v>0</v>
      </c>
      <c r="J844" s="21">
        <f t="shared" ca="1" si="43"/>
        <v>0</v>
      </c>
      <c r="K844" s="19" t="str">
        <f>[1]!s_info_Nature(B844)</f>
        <v>中央国有企业</v>
      </c>
      <c r="L844" s="19" t="str">
        <f>[1]!b_info_windl1type(B844)</f>
        <v>金融债</v>
      </c>
      <c r="M844" s="13">
        <f>[1]!b_info_couponrate(B844)</f>
        <v>4.9400000000000004</v>
      </c>
      <c r="N844" s="14" t="str">
        <f>[1]!B_Info_ListedDate(B844)</f>
        <v>2013-11-01</v>
      </c>
      <c r="O844" s="14" t="str">
        <f>[1]!b_issue_firstissue(B844)</f>
        <v>2013-10-21</v>
      </c>
      <c r="P844" s="4">
        <f t="shared" ca="1" si="44"/>
        <v>42989</v>
      </c>
    </row>
    <row r="845" spans="2:16">
      <c r="B845" s="7">
        <v>150317</v>
      </c>
      <c r="C845" s="7">
        <v>4</v>
      </c>
      <c r="D845" s="18" t="str">
        <f>[1]!b_info_name(B845)</f>
        <v>15进出17</v>
      </c>
      <c r="E845" s="19">
        <f>[1]!b_info_latestissurercreditrating(B845)</f>
        <v>0</v>
      </c>
      <c r="F845" s="20">
        <f ca="1">[1]!b_anal_day(B845,$A$5)/365</f>
        <v>1.2219178082191782</v>
      </c>
      <c r="G845" s="21">
        <f ca="1">[1]!b_anal_yield_cnbd(B845,$A$5)</f>
        <v>0</v>
      </c>
      <c r="H845" s="21">
        <f t="shared" ca="1" si="42"/>
        <v>400</v>
      </c>
      <c r="I845" s="21">
        <f ca="1">[1]!b_anal_yield_cnbd(B845,$A$7)</f>
        <v>0</v>
      </c>
      <c r="J845" s="21">
        <f t="shared" ca="1" si="43"/>
        <v>0</v>
      </c>
      <c r="K845" s="19" t="str">
        <f>[1]!s_info_Nature(B845)</f>
        <v>中央国有企业</v>
      </c>
      <c r="L845" s="19" t="str">
        <f>[1]!b_info_windl1type(B845)</f>
        <v>金融债</v>
      </c>
      <c r="M845" s="13">
        <f>[1]!b_info_couponrate(B845)</f>
        <v>3.18</v>
      </c>
      <c r="N845" s="14" t="str">
        <f>[1]!B_Info_ListedDate(B845)</f>
        <v>2015-12-02</v>
      </c>
      <c r="O845" s="14" t="str">
        <f>[1]!b_issue_firstissue(B845)</f>
        <v>2015-11-26</v>
      </c>
      <c r="P845" s="4">
        <f t="shared" ca="1" si="44"/>
        <v>42989</v>
      </c>
    </row>
    <row r="846" spans="2:16">
      <c r="B846" s="7">
        <v>1282164</v>
      </c>
      <c r="C846" s="7">
        <v>4</v>
      </c>
      <c r="D846" s="18" t="str">
        <f>[1]!b_info_name(B846)</f>
        <v>12华电股MTN1</v>
      </c>
      <c r="E846" s="19" t="str">
        <f>[1]!b_info_latestissurercreditrating(B846)</f>
        <v>AAA</v>
      </c>
      <c r="F846" s="20">
        <f ca="1">[1]!b_anal_day(B846,$A$5)/365</f>
        <v>0</v>
      </c>
      <c r="G846" s="21">
        <f ca="1">[1]!b_anal_yield_cnbd(B846,$A$5)</f>
        <v>0</v>
      </c>
      <c r="H846" s="21">
        <f t="shared" ca="1" si="42"/>
        <v>400</v>
      </c>
      <c r="I846" s="21">
        <f ca="1">[1]!b_anal_yield_cnbd(B846,$A$7)</f>
        <v>0</v>
      </c>
      <c r="J846" s="21">
        <f t="shared" ca="1" si="43"/>
        <v>0</v>
      </c>
      <c r="K846" s="19" t="str">
        <f>[1]!s_info_Nature(B846)</f>
        <v>中央国有企业</v>
      </c>
      <c r="L846" s="19" t="str">
        <f>[1]!b_info_windl1type(B846)</f>
        <v>中期票据</v>
      </c>
      <c r="M846" s="13">
        <f>[1]!b_info_couponrate(B846)</f>
        <v>4.72</v>
      </c>
      <c r="N846" s="14" t="str">
        <f>[1]!B_Info_ListedDate(B846)</f>
        <v>2012-05-24</v>
      </c>
      <c r="O846" s="14" t="str">
        <f>[1]!b_issue_firstissue(B846)</f>
        <v>2012-05-22</v>
      </c>
      <c r="P846" s="4">
        <f t="shared" ca="1" si="44"/>
        <v>42989</v>
      </c>
    </row>
    <row r="847" spans="2:16">
      <c r="B847" s="7">
        <v>111617209</v>
      </c>
      <c r="C847" s="7">
        <v>4</v>
      </c>
      <c r="D847" s="18" t="str">
        <f>[1]!b_info_name(B847)</f>
        <v>16光大CD209</v>
      </c>
      <c r="E847" s="19" t="str">
        <f>[1]!b_info_latestissurercreditrating(B847)</f>
        <v>AAA</v>
      </c>
      <c r="F847" s="20">
        <f ca="1">[1]!b_anal_day(B847,$A$5)/365</f>
        <v>0</v>
      </c>
      <c r="G847" s="21">
        <f ca="1">[1]!b_anal_yield_cnbd(B847,$A$5)</f>
        <v>0</v>
      </c>
      <c r="H847" s="21">
        <f t="shared" ca="1" si="42"/>
        <v>400</v>
      </c>
      <c r="I847" s="21">
        <f ca="1">[1]!b_anal_yield_cnbd(B847,$A$7)</f>
        <v>0</v>
      </c>
      <c r="J847" s="21">
        <f t="shared" ca="1" si="43"/>
        <v>0</v>
      </c>
      <c r="K847" s="19" t="str">
        <f>[1]!s_info_Nature(B847)</f>
        <v>中央国有企业</v>
      </c>
      <c r="L847" s="19" t="str">
        <f>[1]!b_info_windl1type(B847)</f>
        <v>同业存单</v>
      </c>
      <c r="M847" s="13">
        <f>[1]!b_info_couponrate(B847)</f>
        <v>2.8100999999999998</v>
      </c>
      <c r="N847" s="14" t="str">
        <f>[1]!B_Info_ListedDate(B847)</f>
        <v>2016-08-22</v>
      </c>
      <c r="O847" s="14" t="str">
        <f>[1]!b_issue_firstissue(B847)</f>
        <v>2016-08-19</v>
      </c>
      <c r="P847" s="4">
        <f t="shared" ca="1" si="44"/>
        <v>42989</v>
      </c>
    </row>
    <row r="848" spans="2:16">
      <c r="B848" s="7">
        <v>110411</v>
      </c>
      <c r="C848" s="7">
        <v>3.99</v>
      </c>
      <c r="D848" s="18" t="str">
        <f>[1]!b_info_name(B848)</f>
        <v>11农发11</v>
      </c>
      <c r="E848" s="19">
        <f>[1]!b_info_latestissurercreditrating(B848)</f>
        <v>0</v>
      </c>
      <c r="F848" s="20">
        <f ca="1">[1]!b_anal_day(B848,$A$5)/365</f>
        <v>0.80547945205479454</v>
      </c>
      <c r="G848" s="21">
        <f ca="1">[1]!b_anal_yield_cnbd(B848,$A$5)</f>
        <v>0</v>
      </c>
      <c r="H848" s="21">
        <f t="shared" ca="1" si="42"/>
        <v>399</v>
      </c>
      <c r="I848" s="21">
        <f ca="1">[1]!b_anal_yield_cnbd(B848,$A$7)</f>
        <v>0</v>
      </c>
      <c r="J848" s="21">
        <f t="shared" ca="1" si="43"/>
        <v>0</v>
      </c>
      <c r="K848" s="19" t="str">
        <f>[1]!s_info_Nature(B848)</f>
        <v>中央国有企业</v>
      </c>
      <c r="L848" s="19" t="str">
        <f>[1]!b_info_windl1type(B848)</f>
        <v>金融债</v>
      </c>
      <c r="M848" s="13">
        <f>[1]!b_info_couponrate(B848)</f>
        <v>4.59</v>
      </c>
      <c r="N848" s="14" t="str">
        <f>[1]!B_Info_ListedDate(B848)</f>
        <v>2011-07-07</v>
      </c>
      <c r="O848" s="14" t="str">
        <f>[1]!b_issue_firstissue(B848)</f>
        <v>2011-06-23</v>
      </c>
      <c r="P848" s="4">
        <f t="shared" ca="1" si="44"/>
        <v>42989</v>
      </c>
    </row>
    <row r="849" spans="2:16">
      <c r="B849" s="7">
        <v>11698421</v>
      </c>
      <c r="C849" s="7">
        <v>3.96</v>
      </c>
      <c r="D849" s="18" t="str">
        <f>[1]!b_info_name(B849)</f>
        <v>16宁沪高SCP007</v>
      </c>
      <c r="E849" s="19" t="str">
        <f>[1]!b_info_latestissurercreditrating(B849)</f>
        <v>AAA</v>
      </c>
      <c r="F849" s="20">
        <f ca="1">[1]!b_anal_day(B849,$A$5)/365</f>
        <v>0</v>
      </c>
      <c r="G849" s="21">
        <f ca="1">[1]!b_anal_yield_cnbd(B849,$A$5)</f>
        <v>0</v>
      </c>
      <c r="H849" s="21">
        <f t="shared" ca="1" si="42"/>
        <v>396</v>
      </c>
      <c r="I849" s="21">
        <f ca="1">[1]!b_anal_yield_cnbd(B849,$A$7)</f>
        <v>0</v>
      </c>
      <c r="J849" s="21">
        <f t="shared" ca="1" si="43"/>
        <v>0</v>
      </c>
      <c r="K849" s="19" t="str">
        <f>[1]!s_info_Nature(B849)</f>
        <v>地方国有企业</v>
      </c>
      <c r="L849" s="19" t="str">
        <f>[1]!b_info_windl1type(B849)</f>
        <v>短期融资券</v>
      </c>
      <c r="M849" s="13">
        <f>[1]!b_info_couponrate(B849)</f>
        <v>2.7</v>
      </c>
      <c r="N849" s="14" t="str">
        <f>[1]!B_Info_ListedDate(B849)</f>
        <v>2016-09-08</v>
      </c>
      <c r="O849" s="14" t="str">
        <f>[1]!b_issue_firstissue(B849)</f>
        <v>2016-09-06</v>
      </c>
      <c r="P849" s="4">
        <f t="shared" ca="1" si="44"/>
        <v>42989</v>
      </c>
    </row>
    <row r="850" spans="2:16">
      <c r="B850" s="7">
        <v>111707058</v>
      </c>
      <c r="C850" s="7">
        <v>3.95</v>
      </c>
      <c r="D850" s="18" t="str">
        <f>[1]!b_info_name(B850)</f>
        <v>17招商银行CD058</v>
      </c>
      <c r="E850" s="19" t="str">
        <f>[1]!b_info_latestissurercreditrating(B850)</f>
        <v>AAA</v>
      </c>
      <c r="F850" s="20">
        <f ca="1">[1]!b_anal_day(B850,$A$5)/365</f>
        <v>0</v>
      </c>
      <c r="G850" s="21">
        <f ca="1">[1]!b_anal_yield_cnbd(B850,$A$5)</f>
        <v>0</v>
      </c>
      <c r="H850" s="21">
        <f t="shared" ca="1" si="42"/>
        <v>395</v>
      </c>
      <c r="I850" s="21">
        <f ca="1">[1]!b_anal_yield_cnbd(B850,$A$7)</f>
        <v>0</v>
      </c>
      <c r="J850" s="21">
        <f t="shared" ca="1" si="43"/>
        <v>0</v>
      </c>
      <c r="K850" s="19" t="str">
        <f>[1]!s_info_Nature(B850)</f>
        <v>公众企业</v>
      </c>
      <c r="L850" s="19" t="str">
        <f>[1]!b_info_windl1type(B850)</f>
        <v>同业存单</v>
      </c>
      <c r="M850" s="13">
        <f>[1]!b_info_couponrate(B850)</f>
        <v>4.45</v>
      </c>
      <c r="N850" s="14" t="str">
        <f>[1]!B_Info_ListedDate(B850)</f>
        <v>2017-02-16</v>
      </c>
      <c r="O850" s="14" t="str">
        <f>[1]!b_issue_firstissue(B850)</f>
        <v>2017-02-15</v>
      </c>
      <c r="P850" s="4">
        <f t="shared" ca="1" si="44"/>
        <v>42989</v>
      </c>
    </row>
    <row r="851" spans="2:16">
      <c r="B851" s="7">
        <v>111791846</v>
      </c>
      <c r="C851" s="7">
        <v>3.95</v>
      </c>
      <c r="D851" s="18" t="str">
        <f>[1]!b_info_name(B851)</f>
        <v>17广州农村商业银行CD013</v>
      </c>
      <c r="E851" s="19" t="str">
        <f>[1]!b_info_latestissurercreditrating(B851)</f>
        <v>AAA</v>
      </c>
      <c r="F851" s="20">
        <f ca="1">[1]!b_anal_day(B851,$A$5)/365</f>
        <v>0</v>
      </c>
      <c r="G851" s="21">
        <f ca="1">[1]!b_anal_yield_cnbd(B851,$A$5)</f>
        <v>0</v>
      </c>
      <c r="H851" s="21">
        <f t="shared" ca="1" si="42"/>
        <v>395</v>
      </c>
      <c r="I851" s="21">
        <f ca="1">[1]!b_anal_yield_cnbd(B851,$A$7)</f>
        <v>0</v>
      </c>
      <c r="J851" s="21">
        <f t="shared" ca="1" si="43"/>
        <v>0</v>
      </c>
      <c r="K851" s="19" t="str">
        <f>[1]!s_info_Nature(B851)</f>
        <v>公众企业</v>
      </c>
      <c r="L851" s="19" t="str">
        <f>[1]!b_info_windl1type(B851)</f>
        <v>同业存单</v>
      </c>
      <c r="M851" s="13">
        <f>[1]!b_info_couponrate(B851)</f>
        <v>4.5500999999999996</v>
      </c>
      <c r="N851" s="14" t="str">
        <f>[1]!B_Info_ListedDate(B851)</f>
        <v>2017-02-16</v>
      </c>
      <c r="O851" s="14" t="str">
        <f>[1]!b_issue_firstissue(B851)</f>
        <v>2017-02-15</v>
      </c>
      <c r="P851" s="4">
        <f t="shared" ca="1" si="44"/>
        <v>42989</v>
      </c>
    </row>
    <row r="852" spans="2:16">
      <c r="B852" s="7">
        <v>111714050</v>
      </c>
      <c r="C852" s="7">
        <v>3.95</v>
      </c>
      <c r="D852" s="18" t="str">
        <f>[1]!b_info_name(B852)</f>
        <v>17江苏银行CD050</v>
      </c>
      <c r="E852" s="19" t="str">
        <f>[1]!b_info_latestissurercreditrating(B852)</f>
        <v>AAA</v>
      </c>
      <c r="F852" s="20">
        <f ca="1">[1]!b_anal_day(B852,$A$5)/365</f>
        <v>0</v>
      </c>
      <c r="G852" s="21">
        <f ca="1">[1]!b_anal_yield_cnbd(B852,$A$5)</f>
        <v>0</v>
      </c>
      <c r="H852" s="21">
        <f t="shared" ca="1" si="42"/>
        <v>395</v>
      </c>
      <c r="I852" s="21">
        <f ca="1">[1]!b_anal_yield_cnbd(B852,$A$7)</f>
        <v>0</v>
      </c>
      <c r="J852" s="21">
        <f t="shared" ca="1" si="43"/>
        <v>0</v>
      </c>
      <c r="K852" s="19" t="str">
        <f>[1]!s_info_Nature(B852)</f>
        <v>公众企业</v>
      </c>
      <c r="L852" s="19" t="str">
        <f>[1]!b_info_windl1type(B852)</f>
        <v>同业存单</v>
      </c>
      <c r="M852" s="13">
        <f>[1]!b_info_couponrate(B852)</f>
        <v>4.4499000000000004</v>
      </c>
      <c r="N852" s="14" t="str">
        <f>[1]!B_Info_ListedDate(B852)</f>
        <v>2017-02-16</v>
      </c>
      <c r="O852" s="14" t="str">
        <f>[1]!b_issue_firstissue(B852)</f>
        <v>2017-02-15</v>
      </c>
      <c r="P852" s="4">
        <f t="shared" ca="1" si="44"/>
        <v>42989</v>
      </c>
    </row>
    <row r="853" spans="2:16">
      <c r="B853" s="7">
        <v>111714050</v>
      </c>
      <c r="C853" s="7">
        <v>3.95</v>
      </c>
      <c r="D853" s="18" t="str">
        <f>[1]!b_info_name(B853)</f>
        <v>17江苏银行CD050</v>
      </c>
      <c r="E853" s="19" t="str">
        <f>[1]!b_info_latestissurercreditrating(B853)</f>
        <v>AAA</v>
      </c>
      <c r="F853" s="20">
        <f ca="1">[1]!b_anal_day(B853,$A$5)/365</f>
        <v>0</v>
      </c>
      <c r="G853" s="21">
        <f ca="1">[1]!b_anal_yield_cnbd(B853,$A$5)</f>
        <v>0</v>
      </c>
      <c r="H853" s="21">
        <f t="shared" ca="1" si="42"/>
        <v>395</v>
      </c>
      <c r="I853" s="21">
        <f ca="1">[1]!b_anal_yield_cnbd(B853,$A$7)</f>
        <v>0</v>
      </c>
      <c r="J853" s="21">
        <f t="shared" ca="1" si="43"/>
        <v>0</v>
      </c>
      <c r="K853" s="19" t="str">
        <f>[1]!s_info_Nature(B853)</f>
        <v>公众企业</v>
      </c>
      <c r="L853" s="19" t="str">
        <f>[1]!b_info_windl1type(B853)</f>
        <v>同业存单</v>
      </c>
      <c r="M853" s="13">
        <f>[1]!b_info_couponrate(B853)</f>
        <v>4.4499000000000004</v>
      </c>
      <c r="N853" s="14" t="str">
        <f>[1]!B_Info_ListedDate(B853)</f>
        <v>2017-02-16</v>
      </c>
      <c r="O853" s="14" t="str">
        <f>[1]!b_issue_firstissue(B853)</f>
        <v>2017-02-15</v>
      </c>
      <c r="P853" s="4">
        <f t="shared" ca="1" si="44"/>
        <v>42989</v>
      </c>
    </row>
    <row r="854" spans="2:16">
      <c r="B854" s="7">
        <v>111711173</v>
      </c>
      <c r="C854" s="7">
        <v>3.95</v>
      </c>
      <c r="D854" s="18" t="str">
        <f>[1]!b_info_name(B854)</f>
        <v>17平安银行CD173</v>
      </c>
      <c r="E854" s="19" t="str">
        <f>[1]!b_info_latestissurercreditrating(B854)</f>
        <v>AAA</v>
      </c>
      <c r="F854" s="20">
        <f ca="1">[1]!b_anal_day(B854,$A$5)/365</f>
        <v>0</v>
      </c>
      <c r="G854" s="21">
        <f ca="1">[1]!b_anal_yield_cnbd(B854,$A$5)</f>
        <v>0</v>
      </c>
      <c r="H854" s="21">
        <f t="shared" ca="1" si="42"/>
        <v>395</v>
      </c>
      <c r="I854" s="21">
        <f ca="1">[1]!b_anal_yield_cnbd(B854,$A$7)</f>
        <v>0</v>
      </c>
      <c r="J854" s="21">
        <f t="shared" ca="1" si="43"/>
        <v>0</v>
      </c>
      <c r="K854" s="19" t="str">
        <f>[1]!s_info_Nature(B854)</f>
        <v>公众企业</v>
      </c>
      <c r="L854" s="19" t="str">
        <f>[1]!b_info_windl1type(B854)</f>
        <v>同业存单</v>
      </c>
      <c r="M854" s="13">
        <f>[1]!b_info_couponrate(B854)</f>
        <v>4.0000999999999998</v>
      </c>
      <c r="N854" s="14" t="str">
        <f>[1]!B_Info_ListedDate(B854)</f>
        <v>2017-04-24</v>
      </c>
      <c r="O854" s="14" t="str">
        <f>[1]!b_issue_firstissue(B854)</f>
        <v>2017-04-21</v>
      </c>
      <c r="P854" s="4">
        <f t="shared" ca="1" si="44"/>
        <v>42989</v>
      </c>
    </row>
    <row r="855" spans="2:16">
      <c r="B855" s="7">
        <v>111711173</v>
      </c>
      <c r="C855" s="7">
        <v>3.95</v>
      </c>
      <c r="D855" s="18" t="str">
        <f>[1]!b_info_name(B855)</f>
        <v>17平安银行CD173</v>
      </c>
      <c r="E855" s="19" t="str">
        <f>[1]!b_info_latestissurercreditrating(B855)</f>
        <v>AAA</v>
      </c>
      <c r="F855" s="20">
        <f ca="1">[1]!b_anal_day(B855,$A$5)/365</f>
        <v>0</v>
      </c>
      <c r="G855" s="21">
        <f ca="1">[1]!b_anal_yield_cnbd(B855,$A$5)</f>
        <v>0</v>
      </c>
      <c r="H855" s="21">
        <f t="shared" ca="1" si="42"/>
        <v>395</v>
      </c>
      <c r="I855" s="21">
        <f ca="1">[1]!b_anal_yield_cnbd(B855,$A$7)</f>
        <v>0</v>
      </c>
      <c r="J855" s="21">
        <f t="shared" ca="1" si="43"/>
        <v>0</v>
      </c>
      <c r="K855" s="19" t="str">
        <f>[1]!s_info_Nature(B855)</f>
        <v>公众企业</v>
      </c>
      <c r="L855" s="19" t="str">
        <f>[1]!b_info_windl1type(B855)</f>
        <v>同业存单</v>
      </c>
      <c r="M855" s="13">
        <f>[1]!b_info_couponrate(B855)</f>
        <v>4.0000999999999998</v>
      </c>
      <c r="N855" s="14" t="str">
        <f>[1]!B_Info_ListedDate(B855)</f>
        <v>2017-04-24</v>
      </c>
      <c r="O855" s="14" t="str">
        <f>[1]!b_issue_firstissue(B855)</f>
        <v>2017-04-21</v>
      </c>
      <c r="P855" s="4">
        <f t="shared" ca="1" si="44"/>
        <v>42989</v>
      </c>
    </row>
    <row r="856" spans="2:16">
      <c r="B856" s="7">
        <v>111711173</v>
      </c>
      <c r="C856" s="7">
        <v>3.95</v>
      </c>
      <c r="D856" s="18" t="str">
        <f>[1]!b_info_name(B856)</f>
        <v>17平安银行CD173</v>
      </c>
      <c r="E856" s="19" t="str">
        <f>[1]!b_info_latestissurercreditrating(B856)</f>
        <v>AAA</v>
      </c>
      <c r="F856" s="20">
        <f ca="1">[1]!b_anal_day(B856,$A$5)/365</f>
        <v>0</v>
      </c>
      <c r="G856" s="21">
        <f ca="1">[1]!b_anal_yield_cnbd(B856,$A$5)</f>
        <v>0</v>
      </c>
      <c r="H856" s="21">
        <f t="shared" ca="1" si="42"/>
        <v>395</v>
      </c>
      <c r="I856" s="21">
        <f ca="1">[1]!b_anal_yield_cnbd(B856,$A$7)</f>
        <v>0</v>
      </c>
      <c r="J856" s="21">
        <f t="shared" ca="1" si="43"/>
        <v>0</v>
      </c>
      <c r="K856" s="19" t="str">
        <f>[1]!s_info_Nature(B856)</f>
        <v>公众企业</v>
      </c>
      <c r="L856" s="19" t="str">
        <f>[1]!b_info_windl1type(B856)</f>
        <v>同业存单</v>
      </c>
      <c r="M856" s="13">
        <f>[1]!b_info_couponrate(B856)</f>
        <v>4.0000999999999998</v>
      </c>
      <c r="N856" s="14" t="str">
        <f>[1]!B_Info_ListedDate(B856)</f>
        <v>2017-04-24</v>
      </c>
      <c r="O856" s="14" t="str">
        <f>[1]!b_issue_firstissue(B856)</f>
        <v>2017-04-21</v>
      </c>
      <c r="P856" s="4">
        <f t="shared" ca="1" si="44"/>
        <v>42989</v>
      </c>
    </row>
    <row r="857" spans="2:16">
      <c r="B857" s="7">
        <v>150418</v>
      </c>
      <c r="C857" s="7">
        <v>3.95</v>
      </c>
      <c r="D857" s="18" t="str">
        <f>[1]!b_info_name(B857)</f>
        <v>15农发18</v>
      </c>
      <c r="E857" s="19">
        <f>[1]!b_info_latestissurercreditrating(B857)</f>
        <v>0</v>
      </c>
      <c r="F857" s="20">
        <f ca="1">[1]!b_anal_day(B857,$A$5)/365</f>
        <v>0.84931506849315064</v>
      </c>
      <c r="G857" s="21">
        <f ca="1">[1]!b_anal_yield_cnbd(B857,$A$5)</f>
        <v>0</v>
      </c>
      <c r="H857" s="21">
        <f t="shared" ca="1" si="42"/>
        <v>395</v>
      </c>
      <c r="I857" s="21">
        <f ca="1">[1]!b_anal_yield_cnbd(B857,$A$7)</f>
        <v>0</v>
      </c>
      <c r="J857" s="21">
        <f t="shared" ca="1" si="43"/>
        <v>0</v>
      </c>
      <c r="K857" s="19" t="str">
        <f>[1]!s_info_Nature(B857)</f>
        <v>中央国有企业</v>
      </c>
      <c r="L857" s="19" t="str">
        <f>[1]!b_info_windl1type(B857)</f>
        <v>金融债</v>
      </c>
      <c r="M857" s="13">
        <f>[1]!b_info_couponrate(B857)</f>
        <v>3.59</v>
      </c>
      <c r="N857" s="14" t="str">
        <f>[1]!B_Info_ListedDate(B857)</f>
        <v>2015-07-21</v>
      </c>
      <c r="O857" s="14" t="str">
        <f>[1]!b_issue_firstissue(B857)</f>
        <v>2015-07-15</v>
      </c>
      <c r="P857" s="4">
        <f t="shared" ca="1" si="44"/>
        <v>42989</v>
      </c>
    </row>
    <row r="858" spans="2:16">
      <c r="B858" s="7">
        <v>111791846</v>
      </c>
      <c r="C858" s="7">
        <v>3.95</v>
      </c>
      <c r="D858" s="18" t="str">
        <f>[1]!b_info_name(B858)</f>
        <v>17广州农村商业银行CD013</v>
      </c>
      <c r="E858" s="19" t="str">
        <f>[1]!b_info_latestissurercreditrating(B858)</f>
        <v>AAA</v>
      </c>
      <c r="F858" s="20">
        <f ca="1">[1]!b_anal_day(B858,$A$5)/365</f>
        <v>0</v>
      </c>
      <c r="G858" s="21">
        <f ca="1">[1]!b_anal_yield_cnbd(B858,$A$5)</f>
        <v>0</v>
      </c>
      <c r="H858" s="21">
        <f t="shared" ca="1" si="42"/>
        <v>395</v>
      </c>
      <c r="I858" s="21">
        <f ca="1">[1]!b_anal_yield_cnbd(B858,$A$7)</f>
        <v>0</v>
      </c>
      <c r="J858" s="21">
        <f t="shared" ca="1" si="43"/>
        <v>0</v>
      </c>
      <c r="K858" s="19" t="str">
        <f>[1]!s_info_Nature(B858)</f>
        <v>公众企业</v>
      </c>
      <c r="L858" s="19" t="str">
        <f>[1]!b_info_windl1type(B858)</f>
        <v>同业存单</v>
      </c>
      <c r="M858" s="13">
        <f>[1]!b_info_couponrate(B858)</f>
        <v>4.5500999999999996</v>
      </c>
      <c r="N858" s="14" t="str">
        <f>[1]!B_Info_ListedDate(B858)</f>
        <v>2017-02-16</v>
      </c>
      <c r="O858" s="14" t="str">
        <f>[1]!b_issue_firstissue(B858)</f>
        <v>2017-02-15</v>
      </c>
      <c r="P858" s="4">
        <f t="shared" ca="1" si="44"/>
        <v>42989</v>
      </c>
    </row>
    <row r="859" spans="2:16">
      <c r="B859" s="7">
        <v>150212</v>
      </c>
      <c r="C859" s="7">
        <v>3.94</v>
      </c>
      <c r="D859" s="18" t="str">
        <f>[1]!b_info_name(B859)</f>
        <v>15国开12</v>
      </c>
      <c r="E859" s="19">
        <f>[1]!b_info_latestissurercreditrating(B859)</f>
        <v>0</v>
      </c>
      <c r="F859" s="20">
        <f ca="1">[1]!b_anal_day(B859,$A$5)/365</f>
        <v>0.76986301369863008</v>
      </c>
      <c r="G859" s="21">
        <f ca="1">[1]!b_anal_yield_cnbd(B859,$A$5)</f>
        <v>0</v>
      </c>
      <c r="H859" s="21">
        <f t="shared" ca="1" si="42"/>
        <v>394</v>
      </c>
      <c r="I859" s="21">
        <f ca="1">[1]!b_anal_yield_cnbd(B859,$A$7)</f>
        <v>0</v>
      </c>
      <c r="J859" s="21">
        <f t="shared" ca="1" si="43"/>
        <v>0</v>
      </c>
      <c r="K859" s="19" t="str">
        <f>[1]!s_info_Nature(B859)</f>
        <v>中央国有企业</v>
      </c>
      <c r="L859" s="19" t="str">
        <f>[1]!b_info_windl1type(B859)</f>
        <v>金融债</v>
      </c>
      <c r="M859" s="13">
        <f>[1]!b_info_couponrate(B859)</f>
        <v>3.54</v>
      </c>
      <c r="N859" s="14" t="str">
        <f>[1]!B_Info_ListedDate(B859)</f>
        <v>2015-06-23</v>
      </c>
      <c r="O859" s="14" t="str">
        <f>[1]!b_issue_firstissue(B859)</f>
        <v>2015-06-16</v>
      </c>
      <c r="P859" s="4">
        <f t="shared" ca="1" si="44"/>
        <v>42989</v>
      </c>
    </row>
    <row r="860" spans="2:16">
      <c r="B860" s="7">
        <v>150212</v>
      </c>
      <c r="C860" s="7">
        <v>3.94</v>
      </c>
      <c r="D860" s="18" t="str">
        <f>[1]!b_info_name(B860)</f>
        <v>15国开12</v>
      </c>
      <c r="E860" s="19">
        <f>[1]!b_info_latestissurercreditrating(B860)</f>
        <v>0</v>
      </c>
      <c r="F860" s="20">
        <f ca="1">[1]!b_anal_day(B860,$A$5)/365</f>
        <v>0.76986301369863008</v>
      </c>
      <c r="G860" s="21">
        <f ca="1">[1]!b_anal_yield_cnbd(B860,$A$5)</f>
        <v>0</v>
      </c>
      <c r="H860" s="21">
        <f t="shared" ca="1" si="42"/>
        <v>394</v>
      </c>
      <c r="I860" s="21">
        <f ca="1">[1]!b_anal_yield_cnbd(B860,$A$7)</f>
        <v>0</v>
      </c>
      <c r="J860" s="21">
        <f t="shared" ca="1" si="43"/>
        <v>0</v>
      </c>
      <c r="K860" s="19" t="str">
        <f>[1]!s_info_Nature(B860)</f>
        <v>中央国有企业</v>
      </c>
      <c r="L860" s="19" t="str">
        <f>[1]!b_info_windl1type(B860)</f>
        <v>金融债</v>
      </c>
      <c r="M860" s="13">
        <f>[1]!b_info_couponrate(B860)</f>
        <v>3.54</v>
      </c>
      <c r="N860" s="14" t="str">
        <f>[1]!B_Info_ListedDate(B860)</f>
        <v>2015-06-23</v>
      </c>
      <c r="O860" s="14" t="str">
        <f>[1]!b_issue_firstissue(B860)</f>
        <v>2015-06-16</v>
      </c>
      <c r="P860" s="4">
        <f t="shared" ca="1" si="44"/>
        <v>42989</v>
      </c>
    </row>
    <row r="861" spans="2:16">
      <c r="B861" s="7">
        <v>150212</v>
      </c>
      <c r="C861" s="7">
        <v>3.94</v>
      </c>
      <c r="D861" s="18" t="str">
        <f>[1]!b_info_name(B861)</f>
        <v>15国开12</v>
      </c>
      <c r="E861" s="19">
        <f>[1]!b_info_latestissurercreditrating(B861)</f>
        <v>0</v>
      </c>
      <c r="F861" s="20">
        <f ca="1">[1]!b_anal_day(B861,$A$5)/365</f>
        <v>0.76986301369863008</v>
      </c>
      <c r="G861" s="21">
        <f ca="1">[1]!b_anal_yield_cnbd(B861,$A$5)</f>
        <v>0</v>
      </c>
      <c r="H861" s="21">
        <f t="shared" ca="1" si="42"/>
        <v>394</v>
      </c>
      <c r="I861" s="21">
        <f ca="1">[1]!b_anal_yield_cnbd(B861,$A$7)</f>
        <v>0</v>
      </c>
      <c r="J861" s="21">
        <f t="shared" ca="1" si="43"/>
        <v>0</v>
      </c>
      <c r="K861" s="19" t="str">
        <f>[1]!s_info_Nature(B861)</f>
        <v>中央国有企业</v>
      </c>
      <c r="L861" s="19" t="str">
        <f>[1]!b_info_windl1type(B861)</f>
        <v>金融债</v>
      </c>
      <c r="M861" s="13">
        <f>[1]!b_info_couponrate(B861)</f>
        <v>3.54</v>
      </c>
      <c r="N861" s="14" t="str">
        <f>[1]!B_Info_ListedDate(B861)</f>
        <v>2015-06-23</v>
      </c>
      <c r="O861" s="14" t="str">
        <f>[1]!b_issue_firstissue(B861)</f>
        <v>2015-06-16</v>
      </c>
      <c r="P861" s="4">
        <f t="shared" ca="1" si="44"/>
        <v>42989</v>
      </c>
    </row>
    <row r="862" spans="2:16">
      <c r="B862" s="7">
        <v>150212</v>
      </c>
      <c r="C862" s="7">
        <v>3.94</v>
      </c>
      <c r="D862" s="18" t="str">
        <f>[1]!b_info_name(B862)</f>
        <v>15国开12</v>
      </c>
      <c r="E862" s="19">
        <f>[1]!b_info_latestissurercreditrating(B862)</f>
        <v>0</v>
      </c>
      <c r="F862" s="20">
        <f ca="1">[1]!b_anal_day(B862,$A$5)/365</f>
        <v>0.76986301369863008</v>
      </c>
      <c r="G862" s="21">
        <f ca="1">[1]!b_anal_yield_cnbd(B862,$A$5)</f>
        <v>0</v>
      </c>
      <c r="H862" s="21">
        <f t="shared" ca="1" si="42"/>
        <v>394</v>
      </c>
      <c r="I862" s="21">
        <f ca="1">[1]!b_anal_yield_cnbd(B862,$A$7)</f>
        <v>0</v>
      </c>
      <c r="J862" s="21">
        <f t="shared" ca="1" si="43"/>
        <v>0</v>
      </c>
      <c r="K862" s="19" t="str">
        <f>[1]!s_info_Nature(B862)</f>
        <v>中央国有企业</v>
      </c>
      <c r="L862" s="19" t="str">
        <f>[1]!b_info_windl1type(B862)</f>
        <v>金融债</v>
      </c>
      <c r="M862" s="13">
        <f>[1]!b_info_couponrate(B862)</f>
        <v>3.54</v>
      </c>
      <c r="N862" s="14" t="str">
        <f>[1]!B_Info_ListedDate(B862)</f>
        <v>2015-06-23</v>
      </c>
      <c r="O862" s="14" t="str">
        <f>[1]!b_issue_firstissue(B862)</f>
        <v>2015-06-16</v>
      </c>
      <c r="P862" s="4">
        <f t="shared" ca="1" si="44"/>
        <v>42989</v>
      </c>
    </row>
    <row r="863" spans="2:16">
      <c r="B863" s="7">
        <v>150212</v>
      </c>
      <c r="C863" s="7">
        <v>3.94</v>
      </c>
      <c r="D863" s="18" t="str">
        <f>[1]!b_info_name(B863)</f>
        <v>15国开12</v>
      </c>
      <c r="E863" s="19">
        <f>[1]!b_info_latestissurercreditrating(B863)</f>
        <v>0</v>
      </c>
      <c r="F863" s="20">
        <f ca="1">[1]!b_anal_day(B863,$A$5)/365</f>
        <v>0.76986301369863008</v>
      </c>
      <c r="G863" s="21">
        <f ca="1">[1]!b_anal_yield_cnbd(B863,$A$5)</f>
        <v>0</v>
      </c>
      <c r="H863" s="21">
        <f t="shared" ca="1" si="42"/>
        <v>394</v>
      </c>
      <c r="I863" s="21">
        <f ca="1">[1]!b_anal_yield_cnbd(B863,$A$7)</f>
        <v>0</v>
      </c>
      <c r="J863" s="21">
        <f t="shared" ca="1" si="43"/>
        <v>0</v>
      </c>
      <c r="K863" s="19" t="str">
        <f>[1]!s_info_Nature(B863)</f>
        <v>中央国有企业</v>
      </c>
      <c r="L863" s="19" t="str">
        <f>[1]!b_info_windl1type(B863)</f>
        <v>金融债</v>
      </c>
      <c r="M863" s="13">
        <f>[1]!b_info_couponrate(B863)</f>
        <v>3.54</v>
      </c>
      <c r="N863" s="14" t="str">
        <f>[1]!B_Info_ListedDate(B863)</f>
        <v>2015-06-23</v>
      </c>
      <c r="O863" s="14" t="str">
        <f>[1]!b_issue_firstissue(B863)</f>
        <v>2015-06-16</v>
      </c>
      <c r="P863" s="4">
        <f t="shared" ca="1" si="44"/>
        <v>42989</v>
      </c>
    </row>
    <row r="864" spans="2:16">
      <c r="B864" s="7">
        <v>150212</v>
      </c>
      <c r="C864" s="7">
        <v>3.93</v>
      </c>
      <c r="D864" s="18" t="str">
        <f>[1]!b_info_name(B864)</f>
        <v>15国开12</v>
      </c>
      <c r="E864" s="19">
        <f>[1]!b_info_latestissurercreditrating(B864)</f>
        <v>0</v>
      </c>
      <c r="F864" s="20">
        <f ca="1">[1]!b_anal_day(B864,$A$5)/365</f>
        <v>0.76986301369863008</v>
      </c>
      <c r="G864" s="21">
        <f ca="1">[1]!b_anal_yield_cnbd(B864,$A$5)</f>
        <v>0</v>
      </c>
      <c r="H864" s="21">
        <f t="shared" ca="1" si="42"/>
        <v>393</v>
      </c>
      <c r="I864" s="21">
        <f ca="1">[1]!b_anal_yield_cnbd(B864,$A$7)</f>
        <v>0</v>
      </c>
      <c r="J864" s="21">
        <f t="shared" ca="1" si="43"/>
        <v>0</v>
      </c>
      <c r="K864" s="19" t="str">
        <f>[1]!s_info_Nature(B864)</f>
        <v>中央国有企业</v>
      </c>
      <c r="L864" s="19" t="str">
        <f>[1]!b_info_windl1type(B864)</f>
        <v>金融债</v>
      </c>
      <c r="M864" s="13">
        <f>[1]!b_info_couponrate(B864)</f>
        <v>3.54</v>
      </c>
      <c r="N864" s="14" t="str">
        <f>[1]!B_Info_ListedDate(B864)</f>
        <v>2015-06-23</v>
      </c>
      <c r="O864" s="14" t="str">
        <f>[1]!b_issue_firstissue(B864)</f>
        <v>2015-06-16</v>
      </c>
      <c r="P864" s="4">
        <f t="shared" ca="1" si="44"/>
        <v>42989</v>
      </c>
    </row>
    <row r="865" spans="2:16">
      <c r="B865" s="7">
        <v>150212</v>
      </c>
      <c r="C865" s="7">
        <v>3.92</v>
      </c>
      <c r="D865" s="18" t="str">
        <f>[1]!b_info_name(B865)</f>
        <v>15国开12</v>
      </c>
      <c r="E865" s="19">
        <f>[1]!b_info_latestissurercreditrating(B865)</f>
        <v>0</v>
      </c>
      <c r="F865" s="20">
        <f ca="1">[1]!b_anal_day(B865,$A$5)/365</f>
        <v>0.76986301369863008</v>
      </c>
      <c r="G865" s="21">
        <f ca="1">[1]!b_anal_yield_cnbd(B865,$A$5)</f>
        <v>0</v>
      </c>
      <c r="H865" s="21">
        <f t="shared" ca="1" si="42"/>
        <v>392</v>
      </c>
      <c r="I865" s="21">
        <f ca="1">[1]!b_anal_yield_cnbd(B865,$A$7)</f>
        <v>0</v>
      </c>
      <c r="J865" s="21">
        <f t="shared" ca="1" si="43"/>
        <v>0</v>
      </c>
      <c r="K865" s="19" t="str">
        <f>[1]!s_info_Nature(B865)</f>
        <v>中央国有企业</v>
      </c>
      <c r="L865" s="19" t="str">
        <f>[1]!b_info_windl1type(B865)</f>
        <v>金融债</v>
      </c>
      <c r="M865" s="13">
        <f>[1]!b_info_couponrate(B865)</f>
        <v>3.54</v>
      </c>
      <c r="N865" s="14" t="str">
        <f>[1]!B_Info_ListedDate(B865)</f>
        <v>2015-06-23</v>
      </c>
      <c r="O865" s="14" t="str">
        <f>[1]!b_issue_firstissue(B865)</f>
        <v>2015-06-16</v>
      </c>
      <c r="P865" s="4">
        <f t="shared" ca="1" si="44"/>
        <v>42989</v>
      </c>
    </row>
    <row r="866" spans="2:16">
      <c r="B866" s="7">
        <v>150212</v>
      </c>
      <c r="C866" s="7">
        <v>3.92</v>
      </c>
      <c r="D866" s="18" t="str">
        <f>[1]!b_info_name(B866)</f>
        <v>15国开12</v>
      </c>
      <c r="E866" s="19">
        <f>[1]!b_info_latestissurercreditrating(B866)</f>
        <v>0</v>
      </c>
      <c r="F866" s="20">
        <f ca="1">[1]!b_anal_day(B866,$A$5)/365</f>
        <v>0.76986301369863008</v>
      </c>
      <c r="G866" s="21">
        <f ca="1">[1]!b_anal_yield_cnbd(B866,$A$5)</f>
        <v>0</v>
      </c>
      <c r="H866" s="21">
        <f t="shared" ca="1" si="42"/>
        <v>392</v>
      </c>
      <c r="I866" s="21">
        <f ca="1">[1]!b_anal_yield_cnbd(B866,$A$7)</f>
        <v>0</v>
      </c>
      <c r="J866" s="21">
        <f t="shared" ca="1" si="43"/>
        <v>0</v>
      </c>
      <c r="K866" s="19" t="str">
        <f>[1]!s_info_Nature(B866)</f>
        <v>中央国有企业</v>
      </c>
      <c r="L866" s="19" t="str">
        <f>[1]!b_info_windl1type(B866)</f>
        <v>金融债</v>
      </c>
      <c r="M866" s="13">
        <f>[1]!b_info_couponrate(B866)</f>
        <v>3.54</v>
      </c>
      <c r="N866" s="14" t="str">
        <f>[1]!B_Info_ListedDate(B866)</f>
        <v>2015-06-23</v>
      </c>
      <c r="O866" s="14" t="str">
        <f>[1]!b_issue_firstissue(B866)</f>
        <v>2015-06-16</v>
      </c>
      <c r="P866" s="4">
        <f t="shared" ca="1" si="44"/>
        <v>42989</v>
      </c>
    </row>
    <row r="867" spans="2:16">
      <c r="B867" s="7">
        <v>1561029</v>
      </c>
      <c r="C867" s="7">
        <v>3.92</v>
      </c>
      <c r="D867" s="18" t="str">
        <f>[1]!b_info_name(B867)</f>
        <v>15湖北债29</v>
      </c>
      <c r="E867" s="19">
        <f>[1]!b_info_latestissurercreditrating(B867)</f>
        <v>0</v>
      </c>
      <c r="F867" s="20">
        <f ca="1">[1]!b_anal_day(B867,$A$5)/365</f>
        <v>1.0821917808219179</v>
      </c>
      <c r="G867" s="21">
        <f ca="1">[1]!b_anal_yield_cnbd(B867,$A$5)</f>
        <v>0</v>
      </c>
      <c r="H867" s="21">
        <f t="shared" ca="1" si="42"/>
        <v>392</v>
      </c>
      <c r="I867" s="21">
        <f ca="1">[1]!b_anal_yield_cnbd(B867,$A$7)</f>
        <v>0</v>
      </c>
      <c r="J867" s="21">
        <f t="shared" ca="1" si="43"/>
        <v>0</v>
      </c>
      <c r="K867" s="19">
        <f>[1]!s_info_Nature(B867)</f>
        <v>0</v>
      </c>
      <c r="L867" s="19" t="str">
        <f>[1]!b_info_windl1type(B867)</f>
        <v>地方政府债</v>
      </c>
      <c r="M867" s="13">
        <f>[1]!b_info_couponrate(B867)</f>
        <v>2.94</v>
      </c>
      <c r="N867" s="14" t="str">
        <f>[1]!B_Info_ListedDate(B867)</f>
        <v>2015-10-21</v>
      </c>
      <c r="O867" s="14" t="str">
        <f>[1]!b_issue_firstissue(B867)</f>
        <v>2015-10-09</v>
      </c>
      <c r="P867" s="4">
        <f t="shared" ca="1" si="44"/>
        <v>42989</v>
      </c>
    </row>
    <row r="868" spans="2:16">
      <c r="B868" s="7">
        <v>1562013</v>
      </c>
      <c r="C868" s="7">
        <v>3.92</v>
      </c>
      <c r="D868" s="18" t="str">
        <f>[1]!b_info_name(B868)</f>
        <v>15湖南债13</v>
      </c>
      <c r="E868" s="19">
        <f>[1]!b_info_latestissurercreditrating(B868)</f>
        <v>0</v>
      </c>
      <c r="F868" s="20">
        <f ca="1">[1]!b_anal_day(B868,$A$5)/365</f>
        <v>1.2027397260273973</v>
      </c>
      <c r="G868" s="21">
        <f ca="1">[1]!b_anal_yield_cnbd(B868,$A$5)</f>
        <v>0</v>
      </c>
      <c r="H868" s="21">
        <f t="shared" ref="H868:H931" ca="1" si="45">(IF(C868&lt;0.1,C868*100,C868)-G868)*100</f>
        <v>392</v>
      </c>
      <c r="I868" s="21">
        <f ca="1">[1]!b_anal_yield_cnbd(B868,$A$7)</f>
        <v>0</v>
      </c>
      <c r="J868" s="21">
        <f t="shared" ref="J868:J931" ca="1" si="46">(G868-I868)*100</f>
        <v>0</v>
      </c>
      <c r="K868" s="19">
        <f>[1]!s_info_Nature(B868)</f>
        <v>0</v>
      </c>
      <c r="L868" s="19" t="str">
        <f>[1]!b_info_windl1type(B868)</f>
        <v>地方政府债</v>
      </c>
      <c r="M868" s="13">
        <f>[1]!b_info_couponrate(B868)</f>
        <v>3.04</v>
      </c>
      <c r="N868" s="14" t="str">
        <f>[1]!B_Info_ListedDate(B868)</f>
        <v>2015-12-03</v>
      </c>
      <c r="O868" s="14" t="str">
        <f>[1]!b_issue_firstissue(B868)</f>
        <v>2015-11-20</v>
      </c>
      <c r="P868" s="4">
        <f t="shared" ref="P868:P931" ca="1" si="47">$A$2</f>
        <v>42989</v>
      </c>
    </row>
    <row r="869" spans="2:16">
      <c r="B869" s="7">
        <v>170005</v>
      </c>
      <c r="C869" s="7">
        <v>3.91</v>
      </c>
      <c r="D869" s="18" t="str">
        <f>[1]!b_info_name(B869)</f>
        <v>17附息国债05</v>
      </c>
      <c r="E869" s="19">
        <f>[1]!b_info_latestissurercreditrating(B869)</f>
        <v>0</v>
      </c>
      <c r="F869" s="20">
        <f ca="1">[1]!b_anal_day(B869,$A$5)/365</f>
        <v>29.465753424657535</v>
      </c>
      <c r="G869" s="21">
        <f ca="1">[1]!b_anal_yield_cnbd(B869,$A$5)</f>
        <v>0</v>
      </c>
      <c r="H869" s="21">
        <f t="shared" ca="1" si="45"/>
        <v>391</v>
      </c>
      <c r="I869" s="21">
        <f ca="1">[1]!b_anal_yield_cnbd(B869,$A$7)</f>
        <v>0</v>
      </c>
      <c r="J869" s="21">
        <f t="shared" ca="1" si="46"/>
        <v>0</v>
      </c>
      <c r="K869" s="19">
        <f>[1]!s_info_Nature(B869)</f>
        <v>0</v>
      </c>
      <c r="L869" s="19" t="str">
        <f>[1]!b_info_windl1type(B869)</f>
        <v>国债</v>
      </c>
      <c r="M869" s="13">
        <f>[1]!b_info_couponrate(B869)</f>
        <v>3.77</v>
      </c>
      <c r="N869" s="14" t="str">
        <f>[1]!B_Info_ListedDate(B869)</f>
        <v>2017-02-22</v>
      </c>
      <c r="O869" s="14" t="str">
        <f>[1]!b_issue_firstissue(B869)</f>
        <v>2017-02-17</v>
      </c>
      <c r="P869" s="4">
        <f t="shared" ca="1" si="47"/>
        <v>42989</v>
      </c>
    </row>
    <row r="870" spans="2:16">
      <c r="B870" s="7">
        <v>130016</v>
      </c>
      <c r="C870" s="7">
        <v>3.9</v>
      </c>
      <c r="D870" s="18" t="str">
        <f>[1]!b_info_name(B870)</f>
        <v>13附息国债16</v>
      </c>
      <c r="E870" s="19">
        <f>[1]!b_info_latestissurercreditrating(B870)</f>
        <v>0</v>
      </c>
      <c r="F870" s="20">
        <f ca="1">[1]!b_anal_day(B870,$A$5)/365</f>
        <v>15.931506849315069</v>
      </c>
      <c r="G870" s="21">
        <f ca="1">[1]!b_anal_yield_cnbd(B870,$A$5)</f>
        <v>0</v>
      </c>
      <c r="H870" s="21">
        <f t="shared" ca="1" si="45"/>
        <v>390</v>
      </c>
      <c r="I870" s="21">
        <f ca="1">[1]!b_anal_yield_cnbd(B870,$A$7)</f>
        <v>0</v>
      </c>
      <c r="J870" s="21">
        <f t="shared" ca="1" si="46"/>
        <v>0</v>
      </c>
      <c r="K870" s="19">
        <f>[1]!s_info_Nature(B870)</f>
        <v>0</v>
      </c>
      <c r="L870" s="19" t="str">
        <f>[1]!b_info_windl1type(B870)</f>
        <v>国债</v>
      </c>
      <c r="M870" s="13">
        <f>[1]!b_info_couponrate(B870)</f>
        <v>4.32</v>
      </c>
      <c r="N870" s="14" t="str">
        <f>[1]!B_Info_ListedDate(B870)</f>
        <v>2013-08-16</v>
      </c>
      <c r="O870" s="14" t="str">
        <f>[1]!b_issue_firstissue(B870)</f>
        <v>2013-08-09</v>
      </c>
      <c r="P870" s="4">
        <f t="shared" ca="1" si="47"/>
        <v>42989</v>
      </c>
    </row>
    <row r="871" spans="2:16">
      <c r="B871" s="7">
        <v>170408</v>
      </c>
      <c r="C871" s="7">
        <v>3.9</v>
      </c>
      <c r="D871" s="18" t="str">
        <f>[1]!b_info_name(B871)</f>
        <v>17农发08</v>
      </c>
      <c r="E871" s="19">
        <f>[1]!b_info_latestissurercreditrating(B871)</f>
        <v>0</v>
      </c>
      <c r="F871" s="20">
        <f ca="1">[1]!b_anal_day(B871,$A$5)/365</f>
        <v>0.61095890410958908</v>
      </c>
      <c r="G871" s="21">
        <f ca="1">[1]!b_anal_yield_cnbd(B871,$A$5)</f>
        <v>0</v>
      </c>
      <c r="H871" s="21">
        <f t="shared" ca="1" si="45"/>
        <v>390</v>
      </c>
      <c r="I871" s="21">
        <f ca="1">[1]!b_anal_yield_cnbd(B871,$A$7)</f>
        <v>0</v>
      </c>
      <c r="J871" s="21">
        <f t="shared" ca="1" si="46"/>
        <v>0</v>
      </c>
      <c r="K871" s="19" t="str">
        <f>[1]!s_info_Nature(B871)</f>
        <v>中央国有企业</v>
      </c>
      <c r="L871" s="19" t="str">
        <f>[1]!b_info_windl1type(B871)</f>
        <v>金融债</v>
      </c>
      <c r="M871" s="13">
        <f>[1]!b_info_couponrate(B871)</f>
        <v>3.61</v>
      </c>
      <c r="N871" s="14" t="str">
        <f>[1]!B_Info_ListedDate(B871)</f>
        <v>2017-04-25</v>
      </c>
      <c r="O871" s="14" t="str">
        <f>[1]!b_issue_firstissue(B871)</f>
        <v>2017-04-19</v>
      </c>
      <c r="P871" s="4">
        <f t="shared" ca="1" si="47"/>
        <v>42989</v>
      </c>
    </row>
    <row r="872" spans="2:16">
      <c r="B872" s="7">
        <v>170408</v>
      </c>
      <c r="C872" s="7">
        <v>3.9</v>
      </c>
      <c r="D872" s="18" t="str">
        <f>[1]!b_info_name(B872)</f>
        <v>17农发08</v>
      </c>
      <c r="E872" s="19">
        <f>[1]!b_info_latestissurercreditrating(B872)</f>
        <v>0</v>
      </c>
      <c r="F872" s="20">
        <f ca="1">[1]!b_anal_day(B872,$A$5)/365</f>
        <v>0.61095890410958908</v>
      </c>
      <c r="G872" s="21">
        <f ca="1">[1]!b_anal_yield_cnbd(B872,$A$5)</f>
        <v>0</v>
      </c>
      <c r="H872" s="21">
        <f t="shared" ca="1" si="45"/>
        <v>390</v>
      </c>
      <c r="I872" s="21">
        <f ca="1">[1]!b_anal_yield_cnbd(B872,$A$7)</f>
        <v>0</v>
      </c>
      <c r="J872" s="21">
        <f t="shared" ca="1" si="46"/>
        <v>0</v>
      </c>
      <c r="K872" s="19" t="str">
        <f>[1]!s_info_Nature(B872)</f>
        <v>中央国有企业</v>
      </c>
      <c r="L872" s="19" t="str">
        <f>[1]!b_info_windl1type(B872)</f>
        <v>金融债</v>
      </c>
      <c r="M872" s="13">
        <f>[1]!b_info_couponrate(B872)</f>
        <v>3.61</v>
      </c>
      <c r="N872" s="14" t="str">
        <f>[1]!B_Info_ListedDate(B872)</f>
        <v>2017-04-25</v>
      </c>
      <c r="O872" s="14" t="str">
        <f>[1]!b_issue_firstissue(B872)</f>
        <v>2017-04-19</v>
      </c>
      <c r="P872" s="4">
        <f t="shared" ca="1" si="47"/>
        <v>42989</v>
      </c>
    </row>
    <row r="873" spans="2:16">
      <c r="B873" s="7">
        <v>170408</v>
      </c>
      <c r="C873" s="7">
        <v>3.9</v>
      </c>
      <c r="D873" s="18" t="str">
        <f>[1]!b_info_name(B873)</f>
        <v>17农发08</v>
      </c>
      <c r="E873" s="19">
        <f>[1]!b_info_latestissurercreditrating(B873)</f>
        <v>0</v>
      </c>
      <c r="F873" s="20">
        <f ca="1">[1]!b_anal_day(B873,$A$5)/365</f>
        <v>0.61095890410958908</v>
      </c>
      <c r="G873" s="21">
        <f ca="1">[1]!b_anal_yield_cnbd(B873,$A$5)</f>
        <v>0</v>
      </c>
      <c r="H873" s="21">
        <f t="shared" ca="1" si="45"/>
        <v>390</v>
      </c>
      <c r="I873" s="21">
        <f ca="1">[1]!b_anal_yield_cnbd(B873,$A$7)</f>
        <v>0</v>
      </c>
      <c r="J873" s="21">
        <f t="shared" ca="1" si="46"/>
        <v>0</v>
      </c>
      <c r="K873" s="19" t="str">
        <f>[1]!s_info_Nature(B873)</f>
        <v>中央国有企业</v>
      </c>
      <c r="L873" s="19" t="str">
        <f>[1]!b_info_windl1type(B873)</f>
        <v>金融债</v>
      </c>
      <c r="M873" s="13">
        <f>[1]!b_info_couponrate(B873)</f>
        <v>3.61</v>
      </c>
      <c r="N873" s="14" t="str">
        <f>[1]!B_Info_ListedDate(B873)</f>
        <v>2017-04-25</v>
      </c>
      <c r="O873" s="14" t="str">
        <f>[1]!b_issue_firstissue(B873)</f>
        <v>2017-04-19</v>
      </c>
      <c r="P873" s="4">
        <f t="shared" ca="1" si="47"/>
        <v>42989</v>
      </c>
    </row>
    <row r="874" spans="2:16">
      <c r="B874" s="7">
        <v>170408</v>
      </c>
      <c r="C874" s="7">
        <v>3.9</v>
      </c>
      <c r="D874" s="18" t="str">
        <f>[1]!b_info_name(B874)</f>
        <v>17农发08</v>
      </c>
      <c r="E874" s="19">
        <f>[1]!b_info_latestissurercreditrating(B874)</f>
        <v>0</v>
      </c>
      <c r="F874" s="20">
        <f ca="1">[1]!b_anal_day(B874,$A$5)/365</f>
        <v>0.61095890410958908</v>
      </c>
      <c r="G874" s="21">
        <f ca="1">[1]!b_anal_yield_cnbd(B874,$A$5)</f>
        <v>0</v>
      </c>
      <c r="H874" s="21">
        <f t="shared" ca="1" si="45"/>
        <v>390</v>
      </c>
      <c r="I874" s="21">
        <f ca="1">[1]!b_anal_yield_cnbd(B874,$A$7)</f>
        <v>0</v>
      </c>
      <c r="J874" s="21">
        <f t="shared" ca="1" si="46"/>
        <v>0</v>
      </c>
      <c r="K874" s="19" t="str">
        <f>[1]!s_info_Nature(B874)</f>
        <v>中央国有企业</v>
      </c>
      <c r="L874" s="19" t="str">
        <f>[1]!b_info_windl1type(B874)</f>
        <v>金融债</v>
      </c>
      <c r="M874" s="13">
        <f>[1]!b_info_couponrate(B874)</f>
        <v>3.61</v>
      </c>
      <c r="N874" s="14" t="str">
        <f>[1]!B_Info_ListedDate(B874)</f>
        <v>2017-04-25</v>
      </c>
      <c r="O874" s="14" t="str">
        <f>[1]!b_issue_firstissue(B874)</f>
        <v>2017-04-19</v>
      </c>
      <c r="P874" s="4">
        <f t="shared" ca="1" si="47"/>
        <v>42989</v>
      </c>
    </row>
    <row r="875" spans="2:16">
      <c r="B875" s="7">
        <v>111795264</v>
      </c>
      <c r="C875" s="7">
        <v>3.9</v>
      </c>
      <c r="D875" s="18" t="str">
        <f>[1]!b_info_name(B875)</f>
        <v>17宁波银行CD068</v>
      </c>
      <c r="E875" s="19" t="str">
        <f>[1]!b_info_latestissurercreditrating(B875)</f>
        <v>AAA</v>
      </c>
      <c r="F875" s="20">
        <f ca="1">[1]!b_anal_day(B875,$A$5)/365</f>
        <v>0</v>
      </c>
      <c r="G875" s="21">
        <f ca="1">[1]!b_anal_yield_cnbd(B875,$A$5)</f>
        <v>0</v>
      </c>
      <c r="H875" s="21">
        <f t="shared" ca="1" si="45"/>
        <v>390</v>
      </c>
      <c r="I875" s="21">
        <f ca="1">[1]!b_anal_yield_cnbd(B875,$A$7)</f>
        <v>0</v>
      </c>
      <c r="J875" s="21">
        <f t="shared" ca="1" si="46"/>
        <v>0</v>
      </c>
      <c r="K875" s="19" t="str">
        <f>[1]!s_info_Nature(B875)</f>
        <v>公众企业</v>
      </c>
      <c r="L875" s="19" t="str">
        <f>[1]!b_info_windl1type(B875)</f>
        <v>同业存单</v>
      </c>
      <c r="M875" s="13">
        <f>[1]!b_info_couponrate(B875)</f>
        <v>3.95</v>
      </c>
      <c r="N875" s="14" t="str">
        <f>[1]!B_Info_ListedDate(B875)</f>
        <v>2017-04-10</v>
      </c>
      <c r="O875" s="14" t="str">
        <f>[1]!b_issue_firstissue(B875)</f>
        <v>2017-04-07</v>
      </c>
      <c r="P875" s="4">
        <f t="shared" ca="1" si="47"/>
        <v>42989</v>
      </c>
    </row>
    <row r="876" spans="2:16">
      <c r="B876" s="7">
        <v>111711079</v>
      </c>
      <c r="C876" s="7">
        <v>3.9</v>
      </c>
      <c r="D876" s="18" t="str">
        <f>[1]!b_info_name(B876)</f>
        <v>17平安银行CD079</v>
      </c>
      <c r="E876" s="19" t="str">
        <f>[1]!b_info_latestissurercreditrating(B876)</f>
        <v>AAA</v>
      </c>
      <c r="F876" s="20">
        <f ca="1">[1]!b_anal_day(B876,$A$5)/365</f>
        <v>0</v>
      </c>
      <c r="G876" s="21">
        <f ca="1">[1]!b_anal_yield_cnbd(B876,$A$5)</f>
        <v>0</v>
      </c>
      <c r="H876" s="21">
        <f t="shared" ca="1" si="45"/>
        <v>390</v>
      </c>
      <c r="I876" s="21">
        <f ca="1">[1]!b_anal_yield_cnbd(B876,$A$7)</f>
        <v>0</v>
      </c>
      <c r="J876" s="21">
        <f t="shared" ca="1" si="46"/>
        <v>0</v>
      </c>
      <c r="K876" s="19" t="str">
        <f>[1]!s_info_Nature(B876)</f>
        <v>公众企业</v>
      </c>
      <c r="L876" s="19" t="str">
        <f>[1]!b_info_windl1type(B876)</f>
        <v>同业存单</v>
      </c>
      <c r="M876" s="13">
        <f>[1]!b_info_couponrate(B876)</f>
        <v>4.4000000000000004</v>
      </c>
      <c r="N876" s="14" t="str">
        <f>[1]!B_Info_ListedDate(B876)</f>
        <v>2017-02-24</v>
      </c>
      <c r="O876" s="14" t="str">
        <f>[1]!b_issue_firstissue(B876)</f>
        <v>2017-02-23</v>
      </c>
      <c r="P876" s="4">
        <f t="shared" ca="1" si="47"/>
        <v>42989</v>
      </c>
    </row>
    <row r="877" spans="2:16">
      <c r="B877" s="7">
        <v>170408</v>
      </c>
      <c r="C877" s="7">
        <v>3.9</v>
      </c>
      <c r="D877" s="18" t="str">
        <f>[1]!b_info_name(B877)</f>
        <v>17农发08</v>
      </c>
      <c r="E877" s="19">
        <f>[1]!b_info_latestissurercreditrating(B877)</f>
        <v>0</v>
      </c>
      <c r="F877" s="20">
        <f ca="1">[1]!b_anal_day(B877,$A$5)/365</f>
        <v>0.61095890410958908</v>
      </c>
      <c r="G877" s="21">
        <f ca="1">[1]!b_anal_yield_cnbd(B877,$A$5)</f>
        <v>0</v>
      </c>
      <c r="H877" s="21">
        <f t="shared" ca="1" si="45"/>
        <v>390</v>
      </c>
      <c r="I877" s="21">
        <f ca="1">[1]!b_anal_yield_cnbd(B877,$A$7)</f>
        <v>0</v>
      </c>
      <c r="J877" s="21">
        <f t="shared" ca="1" si="46"/>
        <v>0</v>
      </c>
      <c r="K877" s="19" t="str">
        <f>[1]!s_info_Nature(B877)</f>
        <v>中央国有企业</v>
      </c>
      <c r="L877" s="19" t="str">
        <f>[1]!b_info_windl1type(B877)</f>
        <v>金融债</v>
      </c>
      <c r="M877" s="13">
        <f>[1]!b_info_couponrate(B877)</f>
        <v>3.61</v>
      </c>
      <c r="N877" s="14" t="str">
        <f>[1]!B_Info_ListedDate(B877)</f>
        <v>2017-04-25</v>
      </c>
      <c r="O877" s="14" t="str">
        <f>[1]!b_issue_firstissue(B877)</f>
        <v>2017-04-19</v>
      </c>
      <c r="P877" s="4">
        <f t="shared" ca="1" si="47"/>
        <v>42989</v>
      </c>
    </row>
    <row r="878" spans="2:16">
      <c r="B878" s="7">
        <v>150309</v>
      </c>
      <c r="C878" s="7">
        <v>3.89</v>
      </c>
      <c r="D878" s="18" t="str">
        <f>[1]!b_info_name(B878)</f>
        <v>15进出09</v>
      </c>
      <c r="E878" s="19">
        <f>[1]!b_info_latestissurercreditrating(B878)</f>
        <v>0</v>
      </c>
      <c r="F878" s="20">
        <f ca="1">[1]!b_anal_day(B878,$A$5)/365</f>
        <v>0.60821917808219184</v>
      </c>
      <c r="G878" s="21">
        <f ca="1">[1]!b_anal_yield_cnbd(B878,$A$5)</f>
        <v>0</v>
      </c>
      <c r="H878" s="21">
        <f t="shared" ca="1" si="45"/>
        <v>389</v>
      </c>
      <c r="I878" s="21">
        <f ca="1">[1]!b_anal_yield_cnbd(B878,$A$7)</f>
        <v>0</v>
      </c>
      <c r="J878" s="21">
        <f t="shared" ca="1" si="46"/>
        <v>0</v>
      </c>
      <c r="K878" s="19" t="str">
        <f>[1]!s_info_Nature(B878)</f>
        <v>中央国有企业</v>
      </c>
      <c r="L878" s="19" t="str">
        <f>[1]!b_info_windl1type(B878)</f>
        <v>金融债</v>
      </c>
      <c r="M878" s="13">
        <f>[1]!b_info_couponrate(B878)</f>
        <v>4.0199999999999996</v>
      </c>
      <c r="N878" s="14" t="str">
        <f>[1]!B_Info_ListedDate(B878)</f>
        <v>2015-04-24</v>
      </c>
      <c r="O878" s="14" t="str">
        <f>[1]!b_issue_firstissue(B878)</f>
        <v>2015-04-15</v>
      </c>
      <c r="P878" s="4">
        <f t="shared" ca="1" si="47"/>
        <v>42989</v>
      </c>
    </row>
    <row r="879" spans="2:16">
      <c r="B879" s="7">
        <v>170204</v>
      </c>
      <c r="C879" s="7">
        <v>3.89</v>
      </c>
      <c r="D879" s="18" t="str">
        <f>[1]!b_info_name(B879)</f>
        <v>17国开04</v>
      </c>
      <c r="E879" s="19">
        <f>[1]!b_info_latestissurercreditrating(B879)</f>
        <v>0</v>
      </c>
      <c r="F879" s="20">
        <f ca="1">[1]!b_anal_day(B879,$A$5)/365</f>
        <v>0.50410958904109593</v>
      </c>
      <c r="G879" s="21">
        <f ca="1">[1]!b_anal_yield_cnbd(B879,$A$5)</f>
        <v>0</v>
      </c>
      <c r="H879" s="21">
        <f t="shared" ca="1" si="45"/>
        <v>389</v>
      </c>
      <c r="I879" s="21">
        <f ca="1">[1]!b_anal_yield_cnbd(B879,$A$7)</f>
        <v>0</v>
      </c>
      <c r="J879" s="21">
        <f t="shared" ca="1" si="46"/>
        <v>0</v>
      </c>
      <c r="K879" s="19" t="str">
        <f>[1]!s_info_Nature(B879)</f>
        <v>中央国有企业</v>
      </c>
      <c r="L879" s="19" t="str">
        <f>[1]!b_info_windl1type(B879)</f>
        <v>金融债</v>
      </c>
      <c r="M879" s="13">
        <f>[1]!b_info_couponrate(B879)</f>
        <v>3.2</v>
      </c>
      <c r="N879" s="14" t="str">
        <f>[1]!B_Info_ListedDate(B879)</f>
        <v>2017-03-15</v>
      </c>
      <c r="O879" s="14" t="str">
        <f>[1]!b_issue_firstissue(B879)</f>
        <v>2017-03-07</v>
      </c>
      <c r="P879" s="4">
        <f t="shared" ca="1" si="47"/>
        <v>42989</v>
      </c>
    </row>
    <row r="880" spans="2:16">
      <c r="B880" s="7">
        <v>170204</v>
      </c>
      <c r="C880" s="7">
        <v>3.89</v>
      </c>
      <c r="D880" s="18" t="str">
        <f>[1]!b_info_name(B880)</f>
        <v>17国开04</v>
      </c>
      <c r="E880" s="19">
        <f>[1]!b_info_latestissurercreditrating(B880)</f>
        <v>0</v>
      </c>
      <c r="F880" s="20">
        <f ca="1">[1]!b_anal_day(B880,$A$5)/365</f>
        <v>0.50410958904109593</v>
      </c>
      <c r="G880" s="21">
        <f ca="1">[1]!b_anal_yield_cnbd(B880,$A$5)</f>
        <v>0</v>
      </c>
      <c r="H880" s="21">
        <f t="shared" ca="1" si="45"/>
        <v>389</v>
      </c>
      <c r="I880" s="21">
        <f ca="1">[1]!b_anal_yield_cnbd(B880,$A$7)</f>
        <v>0</v>
      </c>
      <c r="J880" s="21">
        <f t="shared" ca="1" si="46"/>
        <v>0</v>
      </c>
      <c r="K880" s="19" t="str">
        <f>[1]!s_info_Nature(B880)</f>
        <v>中央国有企业</v>
      </c>
      <c r="L880" s="19" t="str">
        <f>[1]!b_info_windl1type(B880)</f>
        <v>金融债</v>
      </c>
      <c r="M880" s="13">
        <f>[1]!b_info_couponrate(B880)</f>
        <v>3.2</v>
      </c>
      <c r="N880" s="14" t="str">
        <f>[1]!B_Info_ListedDate(B880)</f>
        <v>2017-03-15</v>
      </c>
      <c r="O880" s="14" t="str">
        <f>[1]!b_issue_firstissue(B880)</f>
        <v>2017-03-07</v>
      </c>
      <c r="P880" s="4">
        <f t="shared" ca="1" si="47"/>
        <v>42989</v>
      </c>
    </row>
    <row r="881" spans="2:16">
      <c r="B881" s="7">
        <v>170204</v>
      </c>
      <c r="C881" s="7">
        <v>3.89</v>
      </c>
      <c r="D881" s="18" t="str">
        <f>[1]!b_info_name(B881)</f>
        <v>17国开04</v>
      </c>
      <c r="E881" s="19">
        <f>[1]!b_info_latestissurercreditrating(B881)</f>
        <v>0</v>
      </c>
      <c r="F881" s="20">
        <f ca="1">[1]!b_anal_day(B881,$A$5)/365</f>
        <v>0.50410958904109593</v>
      </c>
      <c r="G881" s="21">
        <f ca="1">[1]!b_anal_yield_cnbd(B881,$A$5)</f>
        <v>0</v>
      </c>
      <c r="H881" s="21">
        <f t="shared" ca="1" si="45"/>
        <v>389</v>
      </c>
      <c r="I881" s="21">
        <f ca="1">[1]!b_anal_yield_cnbd(B881,$A$7)</f>
        <v>0</v>
      </c>
      <c r="J881" s="21">
        <f t="shared" ca="1" si="46"/>
        <v>0</v>
      </c>
      <c r="K881" s="19" t="str">
        <f>[1]!s_info_Nature(B881)</f>
        <v>中央国有企业</v>
      </c>
      <c r="L881" s="19" t="str">
        <f>[1]!b_info_windl1type(B881)</f>
        <v>金融债</v>
      </c>
      <c r="M881" s="13">
        <f>[1]!b_info_couponrate(B881)</f>
        <v>3.2</v>
      </c>
      <c r="N881" s="14" t="str">
        <f>[1]!B_Info_ListedDate(B881)</f>
        <v>2017-03-15</v>
      </c>
      <c r="O881" s="14" t="str">
        <f>[1]!b_issue_firstissue(B881)</f>
        <v>2017-03-07</v>
      </c>
      <c r="P881" s="4">
        <f t="shared" ca="1" si="47"/>
        <v>42989</v>
      </c>
    </row>
    <row r="882" spans="2:16">
      <c r="B882" s="7">
        <v>170204</v>
      </c>
      <c r="C882" s="7">
        <v>3.89</v>
      </c>
      <c r="D882" s="18" t="str">
        <f>[1]!b_info_name(B882)</f>
        <v>17国开04</v>
      </c>
      <c r="E882" s="19">
        <f>[1]!b_info_latestissurercreditrating(B882)</f>
        <v>0</v>
      </c>
      <c r="F882" s="20">
        <f ca="1">[1]!b_anal_day(B882,$A$5)/365</f>
        <v>0.50410958904109593</v>
      </c>
      <c r="G882" s="21">
        <f ca="1">[1]!b_anal_yield_cnbd(B882,$A$5)</f>
        <v>0</v>
      </c>
      <c r="H882" s="21">
        <f t="shared" ca="1" si="45"/>
        <v>389</v>
      </c>
      <c r="I882" s="21">
        <f ca="1">[1]!b_anal_yield_cnbd(B882,$A$7)</f>
        <v>0</v>
      </c>
      <c r="J882" s="21">
        <f t="shared" ca="1" si="46"/>
        <v>0</v>
      </c>
      <c r="K882" s="19" t="str">
        <f>[1]!s_info_Nature(B882)</f>
        <v>中央国有企业</v>
      </c>
      <c r="L882" s="19" t="str">
        <f>[1]!b_info_windl1type(B882)</f>
        <v>金融债</v>
      </c>
      <c r="M882" s="13">
        <f>[1]!b_info_couponrate(B882)</f>
        <v>3.2</v>
      </c>
      <c r="N882" s="14" t="str">
        <f>[1]!B_Info_ListedDate(B882)</f>
        <v>2017-03-15</v>
      </c>
      <c r="O882" s="14" t="str">
        <f>[1]!b_issue_firstissue(B882)</f>
        <v>2017-03-07</v>
      </c>
      <c r="P882" s="4">
        <f t="shared" ca="1" si="47"/>
        <v>42989</v>
      </c>
    </row>
    <row r="883" spans="2:16">
      <c r="B883" s="7">
        <v>170204</v>
      </c>
      <c r="C883" s="7">
        <v>3.89</v>
      </c>
      <c r="D883" s="18" t="str">
        <f>[1]!b_info_name(B883)</f>
        <v>17国开04</v>
      </c>
      <c r="E883" s="19">
        <f>[1]!b_info_latestissurercreditrating(B883)</f>
        <v>0</v>
      </c>
      <c r="F883" s="20">
        <f ca="1">[1]!b_anal_day(B883,$A$5)/365</f>
        <v>0.50410958904109593</v>
      </c>
      <c r="G883" s="21">
        <f ca="1">[1]!b_anal_yield_cnbd(B883,$A$5)</f>
        <v>0</v>
      </c>
      <c r="H883" s="21">
        <f t="shared" ca="1" si="45"/>
        <v>389</v>
      </c>
      <c r="I883" s="21">
        <f ca="1">[1]!b_anal_yield_cnbd(B883,$A$7)</f>
        <v>0</v>
      </c>
      <c r="J883" s="21">
        <f t="shared" ca="1" si="46"/>
        <v>0</v>
      </c>
      <c r="K883" s="19" t="str">
        <f>[1]!s_info_Nature(B883)</f>
        <v>中央国有企业</v>
      </c>
      <c r="L883" s="19" t="str">
        <f>[1]!b_info_windl1type(B883)</f>
        <v>金融债</v>
      </c>
      <c r="M883" s="13">
        <f>[1]!b_info_couponrate(B883)</f>
        <v>3.2</v>
      </c>
      <c r="N883" s="14" t="str">
        <f>[1]!B_Info_ListedDate(B883)</f>
        <v>2017-03-15</v>
      </c>
      <c r="O883" s="14" t="str">
        <f>[1]!b_issue_firstissue(B883)</f>
        <v>2017-03-07</v>
      </c>
      <c r="P883" s="4">
        <f t="shared" ca="1" si="47"/>
        <v>42989</v>
      </c>
    </row>
    <row r="884" spans="2:16">
      <c r="B884" s="7">
        <v>170204</v>
      </c>
      <c r="C884" s="7">
        <v>3.88</v>
      </c>
      <c r="D884" s="18" t="str">
        <f>[1]!b_info_name(B884)</f>
        <v>17国开04</v>
      </c>
      <c r="E884" s="19">
        <f>[1]!b_info_latestissurercreditrating(B884)</f>
        <v>0</v>
      </c>
      <c r="F884" s="20">
        <f ca="1">[1]!b_anal_day(B884,$A$5)/365</f>
        <v>0.50410958904109593</v>
      </c>
      <c r="G884" s="21">
        <f ca="1">[1]!b_anal_yield_cnbd(B884,$A$5)</f>
        <v>0</v>
      </c>
      <c r="H884" s="21">
        <f t="shared" ca="1" si="45"/>
        <v>388</v>
      </c>
      <c r="I884" s="21">
        <f ca="1">[1]!b_anal_yield_cnbd(B884,$A$7)</f>
        <v>0</v>
      </c>
      <c r="J884" s="21">
        <f t="shared" ca="1" si="46"/>
        <v>0</v>
      </c>
      <c r="K884" s="19" t="str">
        <f>[1]!s_info_Nature(B884)</f>
        <v>中央国有企业</v>
      </c>
      <c r="L884" s="19" t="str">
        <f>[1]!b_info_windl1type(B884)</f>
        <v>金融债</v>
      </c>
      <c r="M884" s="13">
        <f>[1]!b_info_couponrate(B884)</f>
        <v>3.2</v>
      </c>
      <c r="N884" s="14" t="str">
        <f>[1]!B_Info_ListedDate(B884)</f>
        <v>2017-03-15</v>
      </c>
      <c r="O884" s="14" t="str">
        <f>[1]!b_issue_firstissue(B884)</f>
        <v>2017-03-07</v>
      </c>
      <c r="P884" s="4">
        <f t="shared" ca="1" si="47"/>
        <v>42989</v>
      </c>
    </row>
    <row r="885" spans="2:16">
      <c r="B885" s="7">
        <v>170204</v>
      </c>
      <c r="C885" s="7">
        <v>3.88</v>
      </c>
      <c r="D885" s="18" t="str">
        <f>[1]!b_info_name(B885)</f>
        <v>17国开04</v>
      </c>
      <c r="E885" s="19">
        <f>[1]!b_info_latestissurercreditrating(B885)</f>
        <v>0</v>
      </c>
      <c r="F885" s="20">
        <f ca="1">[1]!b_anal_day(B885,$A$5)/365</f>
        <v>0.50410958904109593</v>
      </c>
      <c r="G885" s="21">
        <f ca="1">[1]!b_anal_yield_cnbd(B885,$A$5)</f>
        <v>0</v>
      </c>
      <c r="H885" s="21">
        <f t="shared" ca="1" si="45"/>
        <v>388</v>
      </c>
      <c r="I885" s="21">
        <f ca="1">[1]!b_anal_yield_cnbd(B885,$A$7)</f>
        <v>0</v>
      </c>
      <c r="J885" s="21">
        <f t="shared" ca="1" si="46"/>
        <v>0</v>
      </c>
      <c r="K885" s="19" t="str">
        <f>[1]!s_info_Nature(B885)</f>
        <v>中央国有企业</v>
      </c>
      <c r="L885" s="19" t="str">
        <f>[1]!b_info_windl1type(B885)</f>
        <v>金融债</v>
      </c>
      <c r="M885" s="13">
        <f>[1]!b_info_couponrate(B885)</f>
        <v>3.2</v>
      </c>
      <c r="N885" s="14" t="str">
        <f>[1]!B_Info_ListedDate(B885)</f>
        <v>2017-03-15</v>
      </c>
      <c r="O885" s="14" t="str">
        <f>[1]!b_issue_firstissue(B885)</f>
        <v>2017-03-07</v>
      </c>
      <c r="P885" s="4">
        <f t="shared" ca="1" si="47"/>
        <v>42989</v>
      </c>
    </row>
    <row r="886" spans="2:16">
      <c r="B886" s="7">
        <v>170204</v>
      </c>
      <c r="C886" s="7">
        <v>3.88</v>
      </c>
      <c r="D886" s="18" t="str">
        <f>[1]!b_info_name(B886)</f>
        <v>17国开04</v>
      </c>
      <c r="E886" s="19">
        <f>[1]!b_info_latestissurercreditrating(B886)</f>
        <v>0</v>
      </c>
      <c r="F886" s="20">
        <f ca="1">[1]!b_anal_day(B886,$A$5)/365</f>
        <v>0.50410958904109593</v>
      </c>
      <c r="G886" s="21">
        <f ca="1">[1]!b_anal_yield_cnbd(B886,$A$5)</f>
        <v>0</v>
      </c>
      <c r="H886" s="21">
        <f t="shared" ca="1" si="45"/>
        <v>388</v>
      </c>
      <c r="I886" s="21">
        <f ca="1">[1]!b_anal_yield_cnbd(B886,$A$7)</f>
        <v>0</v>
      </c>
      <c r="J886" s="21">
        <f t="shared" ca="1" si="46"/>
        <v>0</v>
      </c>
      <c r="K886" s="19" t="str">
        <f>[1]!s_info_Nature(B886)</f>
        <v>中央国有企业</v>
      </c>
      <c r="L886" s="19" t="str">
        <f>[1]!b_info_windl1type(B886)</f>
        <v>金融债</v>
      </c>
      <c r="M886" s="13">
        <f>[1]!b_info_couponrate(B886)</f>
        <v>3.2</v>
      </c>
      <c r="N886" s="14" t="str">
        <f>[1]!B_Info_ListedDate(B886)</f>
        <v>2017-03-15</v>
      </c>
      <c r="O886" s="14" t="str">
        <f>[1]!b_issue_firstissue(B886)</f>
        <v>2017-03-07</v>
      </c>
      <c r="P886" s="4">
        <f t="shared" ca="1" si="47"/>
        <v>42989</v>
      </c>
    </row>
    <row r="887" spans="2:16">
      <c r="B887" s="7">
        <v>170204</v>
      </c>
      <c r="C887" s="7">
        <v>3.88</v>
      </c>
      <c r="D887" s="18" t="str">
        <f>[1]!b_info_name(B887)</f>
        <v>17国开04</v>
      </c>
      <c r="E887" s="19">
        <f>[1]!b_info_latestissurercreditrating(B887)</f>
        <v>0</v>
      </c>
      <c r="F887" s="20">
        <f ca="1">[1]!b_anal_day(B887,$A$5)/365</f>
        <v>0.50410958904109593</v>
      </c>
      <c r="G887" s="21">
        <f ca="1">[1]!b_anal_yield_cnbd(B887,$A$5)</f>
        <v>0</v>
      </c>
      <c r="H887" s="21">
        <f t="shared" ca="1" si="45"/>
        <v>388</v>
      </c>
      <c r="I887" s="21">
        <f ca="1">[1]!b_anal_yield_cnbd(B887,$A$7)</f>
        <v>0</v>
      </c>
      <c r="J887" s="21">
        <f t="shared" ca="1" si="46"/>
        <v>0</v>
      </c>
      <c r="K887" s="19" t="str">
        <f>[1]!s_info_Nature(B887)</f>
        <v>中央国有企业</v>
      </c>
      <c r="L887" s="19" t="str">
        <f>[1]!b_info_windl1type(B887)</f>
        <v>金融债</v>
      </c>
      <c r="M887" s="13">
        <f>[1]!b_info_couponrate(B887)</f>
        <v>3.2</v>
      </c>
      <c r="N887" s="14" t="str">
        <f>[1]!B_Info_ListedDate(B887)</f>
        <v>2017-03-15</v>
      </c>
      <c r="O887" s="14" t="str">
        <f>[1]!b_issue_firstissue(B887)</f>
        <v>2017-03-07</v>
      </c>
      <c r="P887" s="4">
        <f t="shared" ca="1" si="47"/>
        <v>42989</v>
      </c>
    </row>
    <row r="888" spans="2:16">
      <c r="B888" s="7">
        <v>170204</v>
      </c>
      <c r="C888" s="7">
        <v>3.88</v>
      </c>
      <c r="D888" s="18" t="str">
        <f>[1]!b_info_name(B888)</f>
        <v>17国开04</v>
      </c>
      <c r="E888" s="19">
        <f>[1]!b_info_latestissurercreditrating(B888)</f>
        <v>0</v>
      </c>
      <c r="F888" s="20">
        <f ca="1">[1]!b_anal_day(B888,$A$5)/365</f>
        <v>0.50410958904109593</v>
      </c>
      <c r="G888" s="21">
        <f ca="1">[1]!b_anal_yield_cnbd(B888,$A$5)</f>
        <v>0</v>
      </c>
      <c r="H888" s="21">
        <f t="shared" ca="1" si="45"/>
        <v>388</v>
      </c>
      <c r="I888" s="21">
        <f ca="1">[1]!b_anal_yield_cnbd(B888,$A$7)</f>
        <v>0</v>
      </c>
      <c r="J888" s="21">
        <f t="shared" ca="1" si="46"/>
        <v>0</v>
      </c>
      <c r="K888" s="19" t="str">
        <f>[1]!s_info_Nature(B888)</f>
        <v>中央国有企业</v>
      </c>
      <c r="L888" s="19" t="str">
        <f>[1]!b_info_windl1type(B888)</f>
        <v>金融债</v>
      </c>
      <c r="M888" s="13">
        <f>[1]!b_info_couponrate(B888)</f>
        <v>3.2</v>
      </c>
      <c r="N888" s="14" t="str">
        <f>[1]!B_Info_ListedDate(B888)</f>
        <v>2017-03-15</v>
      </c>
      <c r="O888" s="14" t="str">
        <f>[1]!b_issue_firstissue(B888)</f>
        <v>2017-03-07</v>
      </c>
      <c r="P888" s="4">
        <f t="shared" ca="1" si="47"/>
        <v>42989</v>
      </c>
    </row>
    <row r="889" spans="2:16">
      <c r="B889" s="7">
        <v>170204</v>
      </c>
      <c r="C889" s="7">
        <v>3.88</v>
      </c>
      <c r="D889" s="18" t="str">
        <f>[1]!b_info_name(B889)</f>
        <v>17国开04</v>
      </c>
      <c r="E889" s="19">
        <f>[1]!b_info_latestissurercreditrating(B889)</f>
        <v>0</v>
      </c>
      <c r="F889" s="20">
        <f ca="1">[1]!b_anal_day(B889,$A$5)/365</f>
        <v>0.50410958904109593</v>
      </c>
      <c r="G889" s="21">
        <f ca="1">[1]!b_anal_yield_cnbd(B889,$A$5)</f>
        <v>0</v>
      </c>
      <c r="H889" s="21">
        <f t="shared" ca="1" si="45"/>
        <v>388</v>
      </c>
      <c r="I889" s="21">
        <f ca="1">[1]!b_anal_yield_cnbd(B889,$A$7)</f>
        <v>0</v>
      </c>
      <c r="J889" s="21">
        <f t="shared" ca="1" si="46"/>
        <v>0</v>
      </c>
      <c r="K889" s="19" t="str">
        <f>[1]!s_info_Nature(B889)</f>
        <v>中央国有企业</v>
      </c>
      <c r="L889" s="19" t="str">
        <f>[1]!b_info_windl1type(B889)</f>
        <v>金融债</v>
      </c>
      <c r="M889" s="13">
        <f>[1]!b_info_couponrate(B889)</f>
        <v>3.2</v>
      </c>
      <c r="N889" s="14" t="str">
        <f>[1]!B_Info_ListedDate(B889)</f>
        <v>2017-03-15</v>
      </c>
      <c r="O889" s="14" t="str">
        <f>[1]!b_issue_firstissue(B889)</f>
        <v>2017-03-07</v>
      </c>
      <c r="P889" s="4">
        <f t="shared" ca="1" si="47"/>
        <v>42989</v>
      </c>
    </row>
    <row r="890" spans="2:16">
      <c r="B890" s="7">
        <v>170408</v>
      </c>
      <c r="C890" s="7">
        <v>3.88</v>
      </c>
      <c r="D890" s="18" t="str">
        <f>[1]!b_info_name(B890)</f>
        <v>17农发08</v>
      </c>
      <c r="E890" s="19">
        <f>[1]!b_info_latestissurercreditrating(B890)</f>
        <v>0</v>
      </c>
      <c r="F890" s="20">
        <f ca="1">[1]!b_anal_day(B890,$A$5)/365</f>
        <v>0.61095890410958908</v>
      </c>
      <c r="G890" s="21">
        <f ca="1">[1]!b_anal_yield_cnbd(B890,$A$5)</f>
        <v>0</v>
      </c>
      <c r="H890" s="21">
        <f t="shared" ca="1" si="45"/>
        <v>388</v>
      </c>
      <c r="I890" s="21">
        <f ca="1">[1]!b_anal_yield_cnbd(B890,$A$7)</f>
        <v>0</v>
      </c>
      <c r="J890" s="21">
        <f t="shared" ca="1" si="46"/>
        <v>0</v>
      </c>
      <c r="K890" s="19" t="str">
        <f>[1]!s_info_Nature(B890)</f>
        <v>中央国有企业</v>
      </c>
      <c r="L890" s="19" t="str">
        <f>[1]!b_info_windl1type(B890)</f>
        <v>金融债</v>
      </c>
      <c r="M890" s="13">
        <f>[1]!b_info_couponrate(B890)</f>
        <v>3.61</v>
      </c>
      <c r="N890" s="14" t="str">
        <f>[1]!B_Info_ListedDate(B890)</f>
        <v>2017-04-25</v>
      </c>
      <c r="O890" s="14" t="str">
        <f>[1]!b_issue_firstissue(B890)</f>
        <v>2017-04-19</v>
      </c>
      <c r="P890" s="4">
        <f t="shared" ca="1" si="47"/>
        <v>42989</v>
      </c>
    </row>
    <row r="891" spans="2:16">
      <c r="B891" s="7">
        <v>170204</v>
      </c>
      <c r="C891" s="7">
        <v>3.88</v>
      </c>
      <c r="D891" s="18" t="str">
        <f>[1]!b_info_name(B891)</f>
        <v>17国开04</v>
      </c>
      <c r="E891" s="19">
        <f>[1]!b_info_latestissurercreditrating(B891)</f>
        <v>0</v>
      </c>
      <c r="F891" s="20">
        <f ca="1">[1]!b_anal_day(B891,$A$5)/365</f>
        <v>0.50410958904109593</v>
      </c>
      <c r="G891" s="21">
        <f ca="1">[1]!b_anal_yield_cnbd(B891,$A$5)</f>
        <v>0</v>
      </c>
      <c r="H891" s="21">
        <f t="shared" ca="1" si="45"/>
        <v>388</v>
      </c>
      <c r="I891" s="21">
        <f ca="1">[1]!b_anal_yield_cnbd(B891,$A$7)</f>
        <v>0</v>
      </c>
      <c r="J891" s="21">
        <f t="shared" ca="1" si="46"/>
        <v>0</v>
      </c>
      <c r="K891" s="19" t="str">
        <f>[1]!s_info_Nature(B891)</f>
        <v>中央国有企业</v>
      </c>
      <c r="L891" s="19" t="str">
        <f>[1]!b_info_windl1type(B891)</f>
        <v>金融债</v>
      </c>
      <c r="M891" s="13">
        <f>[1]!b_info_couponrate(B891)</f>
        <v>3.2</v>
      </c>
      <c r="N891" s="14" t="str">
        <f>[1]!B_Info_ListedDate(B891)</f>
        <v>2017-03-15</v>
      </c>
      <c r="O891" s="14" t="str">
        <f>[1]!b_issue_firstissue(B891)</f>
        <v>2017-03-07</v>
      </c>
      <c r="P891" s="4">
        <f t="shared" ca="1" si="47"/>
        <v>42989</v>
      </c>
    </row>
    <row r="892" spans="2:16">
      <c r="B892" s="7">
        <v>170204</v>
      </c>
      <c r="C892" s="7">
        <v>3.88</v>
      </c>
      <c r="D892" s="18" t="str">
        <f>[1]!b_info_name(B892)</f>
        <v>17国开04</v>
      </c>
      <c r="E892" s="19">
        <f>[1]!b_info_latestissurercreditrating(B892)</f>
        <v>0</v>
      </c>
      <c r="F892" s="20">
        <f ca="1">[1]!b_anal_day(B892,$A$5)/365</f>
        <v>0.50410958904109593</v>
      </c>
      <c r="G892" s="21">
        <f ca="1">[1]!b_anal_yield_cnbd(B892,$A$5)</f>
        <v>0</v>
      </c>
      <c r="H892" s="21">
        <f t="shared" ca="1" si="45"/>
        <v>388</v>
      </c>
      <c r="I892" s="21">
        <f ca="1">[1]!b_anal_yield_cnbd(B892,$A$7)</f>
        <v>0</v>
      </c>
      <c r="J892" s="21">
        <f t="shared" ca="1" si="46"/>
        <v>0</v>
      </c>
      <c r="K892" s="19" t="str">
        <f>[1]!s_info_Nature(B892)</f>
        <v>中央国有企业</v>
      </c>
      <c r="L892" s="19" t="str">
        <f>[1]!b_info_windl1type(B892)</f>
        <v>金融债</v>
      </c>
      <c r="M892" s="13">
        <f>[1]!b_info_couponrate(B892)</f>
        <v>3.2</v>
      </c>
      <c r="N892" s="14" t="str">
        <f>[1]!B_Info_ListedDate(B892)</f>
        <v>2017-03-15</v>
      </c>
      <c r="O892" s="14" t="str">
        <f>[1]!b_issue_firstissue(B892)</f>
        <v>2017-03-07</v>
      </c>
      <c r="P892" s="4">
        <f t="shared" ca="1" si="47"/>
        <v>42989</v>
      </c>
    </row>
    <row r="893" spans="2:16">
      <c r="B893" s="7">
        <v>170204</v>
      </c>
      <c r="C893" s="7">
        <v>3.88</v>
      </c>
      <c r="D893" s="18" t="str">
        <f>[1]!b_info_name(B893)</f>
        <v>17国开04</v>
      </c>
      <c r="E893" s="19">
        <f>[1]!b_info_latestissurercreditrating(B893)</f>
        <v>0</v>
      </c>
      <c r="F893" s="20">
        <f ca="1">[1]!b_anal_day(B893,$A$5)/365</f>
        <v>0.50410958904109593</v>
      </c>
      <c r="G893" s="21">
        <f ca="1">[1]!b_anal_yield_cnbd(B893,$A$5)</f>
        <v>0</v>
      </c>
      <c r="H893" s="21">
        <f t="shared" ca="1" si="45"/>
        <v>388</v>
      </c>
      <c r="I893" s="21">
        <f ca="1">[1]!b_anal_yield_cnbd(B893,$A$7)</f>
        <v>0</v>
      </c>
      <c r="J893" s="21">
        <f t="shared" ca="1" si="46"/>
        <v>0</v>
      </c>
      <c r="K893" s="19" t="str">
        <f>[1]!s_info_Nature(B893)</f>
        <v>中央国有企业</v>
      </c>
      <c r="L893" s="19" t="str">
        <f>[1]!b_info_windl1type(B893)</f>
        <v>金融债</v>
      </c>
      <c r="M893" s="13">
        <f>[1]!b_info_couponrate(B893)</f>
        <v>3.2</v>
      </c>
      <c r="N893" s="14" t="str">
        <f>[1]!B_Info_ListedDate(B893)</f>
        <v>2017-03-15</v>
      </c>
      <c r="O893" s="14" t="str">
        <f>[1]!b_issue_firstissue(B893)</f>
        <v>2017-03-07</v>
      </c>
      <c r="P893" s="4">
        <f t="shared" ca="1" si="47"/>
        <v>42989</v>
      </c>
    </row>
    <row r="894" spans="2:16">
      <c r="B894" s="7">
        <v>150409</v>
      </c>
      <c r="C894" s="7">
        <v>3.88</v>
      </c>
      <c r="D894" s="18" t="str">
        <f>[1]!b_info_name(B894)</f>
        <v>15农发09</v>
      </c>
      <c r="E894" s="19">
        <f>[1]!b_info_latestissurercreditrating(B894)</f>
        <v>0</v>
      </c>
      <c r="F894" s="20">
        <f ca="1">[1]!b_anal_day(B894,$A$5)/365</f>
        <v>0.61369863013698633</v>
      </c>
      <c r="G894" s="21">
        <f ca="1">[1]!b_anal_yield_cnbd(B894,$A$5)</f>
        <v>0</v>
      </c>
      <c r="H894" s="21">
        <f t="shared" ca="1" si="45"/>
        <v>388</v>
      </c>
      <c r="I894" s="21">
        <f ca="1">[1]!b_anal_yield_cnbd(B894,$A$7)</f>
        <v>0</v>
      </c>
      <c r="J894" s="21">
        <f t="shared" ca="1" si="46"/>
        <v>0</v>
      </c>
      <c r="K894" s="19" t="str">
        <f>[1]!s_info_Nature(B894)</f>
        <v>中央国有企业</v>
      </c>
      <c r="L894" s="19" t="str">
        <f>[1]!b_info_windl1type(B894)</f>
        <v>金融债</v>
      </c>
      <c r="M894" s="13">
        <f>[1]!b_info_couponrate(B894)</f>
        <v>3.99</v>
      </c>
      <c r="N894" s="14" t="str">
        <f>[1]!B_Info_ListedDate(B894)</f>
        <v>2015-04-28</v>
      </c>
      <c r="O894" s="14" t="str">
        <f>[1]!b_issue_firstissue(B894)</f>
        <v>2015-04-16</v>
      </c>
      <c r="P894" s="4">
        <f t="shared" ca="1" si="47"/>
        <v>42989</v>
      </c>
    </row>
    <row r="895" spans="2:16">
      <c r="B895" s="7">
        <v>150406</v>
      </c>
      <c r="C895" s="7">
        <v>3.88</v>
      </c>
      <c r="D895" s="18" t="str">
        <f>[1]!b_info_name(B895)</f>
        <v>15农发06</v>
      </c>
      <c r="E895" s="19">
        <f>[1]!b_info_latestissurercreditrating(B895)</f>
        <v>0</v>
      </c>
      <c r="F895" s="20">
        <f ca="1">[1]!b_anal_day(B895,$A$5)/365</f>
        <v>0.49589041095890413</v>
      </c>
      <c r="G895" s="21">
        <f ca="1">[1]!b_anal_yield_cnbd(B895,$A$5)</f>
        <v>0</v>
      </c>
      <c r="H895" s="21">
        <f t="shared" ca="1" si="45"/>
        <v>388</v>
      </c>
      <c r="I895" s="21">
        <f ca="1">[1]!b_anal_yield_cnbd(B895,$A$7)</f>
        <v>0</v>
      </c>
      <c r="J895" s="21">
        <f t="shared" ca="1" si="46"/>
        <v>0</v>
      </c>
      <c r="K895" s="19" t="str">
        <f>[1]!s_info_Nature(B895)</f>
        <v>中央国有企业</v>
      </c>
      <c r="L895" s="19" t="str">
        <f>[1]!b_info_windl1type(B895)</f>
        <v>金融债</v>
      </c>
      <c r="M895" s="13">
        <f>[1]!b_info_couponrate(B895)</f>
        <v>3.83</v>
      </c>
      <c r="N895" s="14" t="str">
        <f>[1]!B_Info_ListedDate(B895)</f>
        <v>2015-03-16</v>
      </c>
      <c r="O895" s="14" t="str">
        <f>[1]!b_issue_firstissue(B895)</f>
        <v>2015-03-05</v>
      </c>
      <c r="P895" s="4">
        <f t="shared" ca="1" si="47"/>
        <v>42989</v>
      </c>
    </row>
    <row r="896" spans="2:16">
      <c r="B896" s="7">
        <v>170204</v>
      </c>
      <c r="C896" s="7">
        <v>3.88</v>
      </c>
      <c r="D896" s="18" t="str">
        <f>[1]!b_info_name(B896)</f>
        <v>17国开04</v>
      </c>
      <c r="E896" s="19">
        <f>[1]!b_info_latestissurercreditrating(B896)</f>
        <v>0</v>
      </c>
      <c r="F896" s="20">
        <f ca="1">[1]!b_anal_day(B896,$A$5)/365</f>
        <v>0.50410958904109593</v>
      </c>
      <c r="G896" s="21">
        <f ca="1">[1]!b_anal_yield_cnbd(B896,$A$5)</f>
        <v>0</v>
      </c>
      <c r="H896" s="21">
        <f t="shared" ca="1" si="45"/>
        <v>388</v>
      </c>
      <c r="I896" s="21">
        <f ca="1">[1]!b_anal_yield_cnbd(B896,$A$7)</f>
        <v>0</v>
      </c>
      <c r="J896" s="21">
        <f t="shared" ca="1" si="46"/>
        <v>0</v>
      </c>
      <c r="K896" s="19" t="str">
        <f>[1]!s_info_Nature(B896)</f>
        <v>中央国有企业</v>
      </c>
      <c r="L896" s="19" t="str">
        <f>[1]!b_info_windl1type(B896)</f>
        <v>金融债</v>
      </c>
      <c r="M896" s="13">
        <f>[1]!b_info_couponrate(B896)</f>
        <v>3.2</v>
      </c>
      <c r="N896" s="14" t="str">
        <f>[1]!B_Info_ListedDate(B896)</f>
        <v>2017-03-15</v>
      </c>
      <c r="O896" s="14" t="str">
        <f>[1]!b_issue_firstissue(B896)</f>
        <v>2017-03-07</v>
      </c>
      <c r="P896" s="4">
        <f t="shared" ca="1" si="47"/>
        <v>42989</v>
      </c>
    </row>
    <row r="897" spans="2:16">
      <c r="B897" s="7">
        <v>170204</v>
      </c>
      <c r="C897" s="7">
        <v>3.875</v>
      </c>
      <c r="D897" s="18" t="str">
        <f>[1]!b_info_name(B897)</f>
        <v>17国开04</v>
      </c>
      <c r="E897" s="19">
        <f>[1]!b_info_latestissurercreditrating(B897)</f>
        <v>0</v>
      </c>
      <c r="F897" s="20">
        <f ca="1">[1]!b_anal_day(B897,$A$5)/365</f>
        <v>0.50410958904109593</v>
      </c>
      <c r="G897" s="21">
        <f ca="1">[1]!b_anal_yield_cnbd(B897,$A$5)</f>
        <v>0</v>
      </c>
      <c r="H897" s="21">
        <f t="shared" ca="1" si="45"/>
        <v>387.5</v>
      </c>
      <c r="I897" s="21">
        <f ca="1">[1]!b_anal_yield_cnbd(B897,$A$7)</f>
        <v>0</v>
      </c>
      <c r="J897" s="21">
        <f t="shared" ca="1" si="46"/>
        <v>0</v>
      </c>
      <c r="K897" s="19" t="str">
        <f>[1]!s_info_Nature(B897)</f>
        <v>中央国有企业</v>
      </c>
      <c r="L897" s="19" t="str">
        <f>[1]!b_info_windl1type(B897)</f>
        <v>金融债</v>
      </c>
      <c r="M897" s="13">
        <f>[1]!b_info_couponrate(B897)</f>
        <v>3.2</v>
      </c>
      <c r="N897" s="14" t="str">
        <f>[1]!B_Info_ListedDate(B897)</f>
        <v>2017-03-15</v>
      </c>
      <c r="O897" s="14" t="str">
        <f>[1]!b_issue_firstissue(B897)</f>
        <v>2017-03-07</v>
      </c>
      <c r="P897" s="4">
        <f t="shared" ca="1" si="47"/>
        <v>42989</v>
      </c>
    </row>
    <row r="898" spans="2:16">
      <c r="B898" s="7">
        <v>170204</v>
      </c>
      <c r="C898" s="7">
        <v>3.875</v>
      </c>
      <c r="D898" s="18" t="str">
        <f>[1]!b_info_name(B898)</f>
        <v>17国开04</v>
      </c>
      <c r="E898" s="19">
        <f>[1]!b_info_latestissurercreditrating(B898)</f>
        <v>0</v>
      </c>
      <c r="F898" s="20">
        <f ca="1">[1]!b_anal_day(B898,$A$5)/365</f>
        <v>0.50410958904109593</v>
      </c>
      <c r="G898" s="21">
        <f ca="1">[1]!b_anal_yield_cnbd(B898,$A$5)</f>
        <v>0</v>
      </c>
      <c r="H898" s="21">
        <f t="shared" ca="1" si="45"/>
        <v>387.5</v>
      </c>
      <c r="I898" s="21">
        <f ca="1">[1]!b_anal_yield_cnbd(B898,$A$7)</f>
        <v>0</v>
      </c>
      <c r="J898" s="21">
        <f t="shared" ca="1" si="46"/>
        <v>0</v>
      </c>
      <c r="K898" s="19" t="str">
        <f>[1]!s_info_Nature(B898)</f>
        <v>中央国有企业</v>
      </c>
      <c r="L898" s="19" t="str">
        <f>[1]!b_info_windl1type(B898)</f>
        <v>金融债</v>
      </c>
      <c r="M898" s="13">
        <f>[1]!b_info_couponrate(B898)</f>
        <v>3.2</v>
      </c>
      <c r="N898" s="14" t="str">
        <f>[1]!B_Info_ListedDate(B898)</f>
        <v>2017-03-15</v>
      </c>
      <c r="O898" s="14" t="str">
        <f>[1]!b_issue_firstissue(B898)</f>
        <v>2017-03-07</v>
      </c>
      <c r="P898" s="4">
        <f t="shared" ca="1" si="47"/>
        <v>42989</v>
      </c>
    </row>
    <row r="899" spans="2:16">
      <c r="B899" s="7">
        <v>170204</v>
      </c>
      <c r="C899" s="7">
        <v>3.87</v>
      </c>
      <c r="D899" s="18" t="str">
        <f>[1]!b_info_name(B899)</f>
        <v>17国开04</v>
      </c>
      <c r="E899" s="19">
        <f>[1]!b_info_latestissurercreditrating(B899)</f>
        <v>0</v>
      </c>
      <c r="F899" s="20">
        <f ca="1">[1]!b_anal_day(B899,$A$5)/365</f>
        <v>0.50410958904109593</v>
      </c>
      <c r="G899" s="21">
        <f ca="1">[1]!b_anal_yield_cnbd(B899,$A$5)</f>
        <v>0</v>
      </c>
      <c r="H899" s="21">
        <f t="shared" ca="1" si="45"/>
        <v>387</v>
      </c>
      <c r="I899" s="21">
        <f ca="1">[1]!b_anal_yield_cnbd(B899,$A$7)</f>
        <v>0</v>
      </c>
      <c r="J899" s="21">
        <f t="shared" ca="1" si="46"/>
        <v>0</v>
      </c>
      <c r="K899" s="19" t="str">
        <f>[1]!s_info_Nature(B899)</f>
        <v>中央国有企业</v>
      </c>
      <c r="L899" s="19" t="str">
        <f>[1]!b_info_windl1type(B899)</f>
        <v>金融债</v>
      </c>
      <c r="M899" s="13">
        <f>[1]!b_info_couponrate(B899)</f>
        <v>3.2</v>
      </c>
      <c r="N899" s="14" t="str">
        <f>[1]!B_Info_ListedDate(B899)</f>
        <v>2017-03-15</v>
      </c>
      <c r="O899" s="14" t="str">
        <f>[1]!b_issue_firstissue(B899)</f>
        <v>2017-03-07</v>
      </c>
      <c r="P899" s="4">
        <f t="shared" ca="1" si="47"/>
        <v>42989</v>
      </c>
    </row>
    <row r="900" spans="2:16">
      <c r="B900" s="7">
        <v>170204</v>
      </c>
      <c r="C900" s="7">
        <v>3.87</v>
      </c>
      <c r="D900" s="18" t="str">
        <f>[1]!b_info_name(B900)</f>
        <v>17国开04</v>
      </c>
      <c r="E900" s="19">
        <f>[1]!b_info_latestissurercreditrating(B900)</f>
        <v>0</v>
      </c>
      <c r="F900" s="20">
        <f ca="1">[1]!b_anal_day(B900,$A$5)/365</f>
        <v>0.50410958904109593</v>
      </c>
      <c r="G900" s="21">
        <f ca="1">[1]!b_anal_yield_cnbd(B900,$A$5)</f>
        <v>0</v>
      </c>
      <c r="H900" s="21">
        <f t="shared" ca="1" si="45"/>
        <v>387</v>
      </c>
      <c r="I900" s="21">
        <f ca="1">[1]!b_anal_yield_cnbd(B900,$A$7)</f>
        <v>0</v>
      </c>
      <c r="J900" s="21">
        <f t="shared" ca="1" si="46"/>
        <v>0</v>
      </c>
      <c r="K900" s="19" t="str">
        <f>[1]!s_info_Nature(B900)</f>
        <v>中央国有企业</v>
      </c>
      <c r="L900" s="19" t="str">
        <f>[1]!b_info_windl1type(B900)</f>
        <v>金融债</v>
      </c>
      <c r="M900" s="13">
        <f>[1]!b_info_couponrate(B900)</f>
        <v>3.2</v>
      </c>
      <c r="N900" s="14" t="str">
        <f>[1]!B_Info_ListedDate(B900)</f>
        <v>2017-03-15</v>
      </c>
      <c r="O900" s="14" t="str">
        <f>[1]!b_issue_firstissue(B900)</f>
        <v>2017-03-07</v>
      </c>
      <c r="P900" s="4">
        <f t="shared" ca="1" si="47"/>
        <v>42989</v>
      </c>
    </row>
    <row r="901" spans="2:16">
      <c r="B901" s="7">
        <v>170204</v>
      </c>
      <c r="C901" s="7">
        <v>3.87</v>
      </c>
      <c r="D901" s="18" t="str">
        <f>[1]!b_info_name(B901)</f>
        <v>17国开04</v>
      </c>
      <c r="E901" s="19">
        <f>[1]!b_info_latestissurercreditrating(B901)</f>
        <v>0</v>
      </c>
      <c r="F901" s="20">
        <f ca="1">[1]!b_anal_day(B901,$A$5)/365</f>
        <v>0.50410958904109593</v>
      </c>
      <c r="G901" s="21">
        <f ca="1">[1]!b_anal_yield_cnbd(B901,$A$5)</f>
        <v>0</v>
      </c>
      <c r="H901" s="21">
        <f t="shared" ca="1" si="45"/>
        <v>387</v>
      </c>
      <c r="I901" s="21">
        <f ca="1">[1]!b_anal_yield_cnbd(B901,$A$7)</f>
        <v>0</v>
      </c>
      <c r="J901" s="21">
        <f t="shared" ca="1" si="46"/>
        <v>0</v>
      </c>
      <c r="K901" s="19" t="str">
        <f>[1]!s_info_Nature(B901)</f>
        <v>中央国有企业</v>
      </c>
      <c r="L901" s="19" t="str">
        <f>[1]!b_info_windl1type(B901)</f>
        <v>金融债</v>
      </c>
      <c r="M901" s="13">
        <f>[1]!b_info_couponrate(B901)</f>
        <v>3.2</v>
      </c>
      <c r="N901" s="14" t="str">
        <f>[1]!B_Info_ListedDate(B901)</f>
        <v>2017-03-15</v>
      </c>
      <c r="O901" s="14" t="str">
        <f>[1]!b_issue_firstissue(B901)</f>
        <v>2017-03-07</v>
      </c>
      <c r="P901" s="4">
        <f t="shared" ca="1" si="47"/>
        <v>42989</v>
      </c>
    </row>
    <row r="902" spans="2:16">
      <c r="B902" s="7">
        <v>150309</v>
      </c>
      <c r="C902" s="7">
        <v>3.87</v>
      </c>
      <c r="D902" s="18" t="str">
        <f>[1]!b_info_name(B902)</f>
        <v>15进出09</v>
      </c>
      <c r="E902" s="19">
        <f>[1]!b_info_latestissurercreditrating(B902)</f>
        <v>0</v>
      </c>
      <c r="F902" s="20">
        <f ca="1">[1]!b_anal_day(B902,$A$5)/365</f>
        <v>0.60821917808219184</v>
      </c>
      <c r="G902" s="21">
        <f ca="1">[1]!b_anal_yield_cnbd(B902,$A$5)</f>
        <v>0</v>
      </c>
      <c r="H902" s="21">
        <f t="shared" ca="1" si="45"/>
        <v>387</v>
      </c>
      <c r="I902" s="21">
        <f ca="1">[1]!b_anal_yield_cnbd(B902,$A$7)</f>
        <v>0</v>
      </c>
      <c r="J902" s="21">
        <f t="shared" ca="1" si="46"/>
        <v>0</v>
      </c>
      <c r="K902" s="19" t="str">
        <f>[1]!s_info_Nature(B902)</f>
        <v>中央国有企业</v>
      </c>
      <c r="L902" s="19" t="str">
        <f>[1]!b_info_windl1type(B902)</f>
        <v>金融债</v>
      </c>
      <c r="M902" s="13">
        <f>[1]!b_info_couponrate(B902)</f>
        <v>4.0199999999999996</v>
      </c>
      <c r="N902" s="14" t="str">
        <f>[1]!B_Info_ListedDate(B902)</f>
        <v>2015-04-24</v>
      </c>
      <c r="O902" s="14" t="str">
        <f>[1]!b_issue_firstissue(B902)</f>
        <v>2015-04-15</v>
      </c>
      <c r="P902" s="4">
        <f t="shared" ca="1" si="47"/>
        <v>42989</v>
      </c>
    </row>
    <row r="903" spans="2:16">
      <c r="B903" s="7">
        <v>170204</v>
      </c>
      <c r="C903" s="7">
        <v>3.8675000000000002</v>
      </c>
      <c r="D903" s="18" t="str">
        <f>[1]!b_info_name(B903)</f>
        <v>17国开04</v>
      </c>
      <c r="E903" s="19">
        <f>[1]!b_info_latestissurercreditrating(B903)</f>
        <v>0</v>
      </c>
      <c r="F903" s="20">
        <f ca="1">[1]!b_anal_day(B903,$A$5)/365</f>
        <v>0.50410958904109593</v>
      </c>
      <c r="G903" s="21">
        <f ca="1">[1]!b_anal_yield_cnbd(B903,$A$5)</f>
        <v>0</v>
      </c>
      <c r="H903" s="21">
        <f t="shared" ca="1" si="45"/>
        <v>386.75</v>
      </c>
      <c r="I903" s="21">
        <f ca="1">[1]!b_anal_yield_cnbd(B903,$A$7)</f>
        <v>0</v>
      </c>
      <c r="J903" s="21">
        <f t="shared" ca="1" si="46"/>
        <v>0</v>
      </c>
      <c r="K903" s="19" t="str">
        <f>[1]!s_info_Nature(B903)</f>
        <v>中央国有企业</v>
      </c>
      <c r="L903" s="19" t="str">
        <f>[1]!b_info_windl1type(B903)</f>
        <v>金融债</v>
      </c>
      <c r="M903" s="13">
        <f>[1]!b_info_couponrate(B903)</f>
        <v>3.2</v>
      </c>
      <c r="N903" s="14" t="str">
        <f>[1]!B_Info_ListedDate(B903)</f>
        <v>2017-03-15</v>
      </c>
      <c r="O903" s="14" t="str">
        <f>[1]!b_issue_firstissue(B903)</f>
        <v>2017-03-07</v>
      </c>
      <c r="P903" s="4">
        <f t="shared" ca="1" si="47"/>
        <v>42989</v>
      </c>
    </row>
    <row r="904" spans="2:16">
      <c r="B904" s="7">
        <v>170204</v>
      </c>
      <c r="C904" s="7">
        <v>3.8650000000000002</v>
      </c>
      <c r="D904" s="18" t="str">
        <f>[1]!b_info_name(B904)</f>
        <v>17国开04</v>
      </c>
      <c r="E904" s="19">
        <f>[1]!b_info_latestissurercreditrating(B904)</f>
        <v>0</v>
      </c>
      <c r="F904" s="20">
        <f ca="1">[1]!b_anal_day(B904,$A$5)/365</f>
        <v>0.50410958904109593</v>
      </c>
      <c r="G904" s="21">
        <f ca="1">[1]!b_anal_yield_cnbd(B904,$A$5)</f>
        <v>0</v>
      </c>
      <c r="H904" s="21">
        <f t="shared" ca="1" si="45"/>
        <v>386.5</v>
      </c>
      <c r="I904" s="21">
        <f ca="1">[1]!b_anal_yield_cnbd(B904,$A$7)</f>
        <v>0</v>
      </c>
      <c r="J904" s="21">
        <f t="shared" ca="1" si="46"/>
        <v>0</v>
      </c>
      <c r="K904" s="19" t="str">
        <f>[1]!s_info_Nature(B904)</f>
        <v>中央国有企业</v>
      </c>
      <c r="L904" s="19" t="str">
        <f>[1]!b_info_windl1type(B904)</f>
        <v>金融债</v>
      </c>
      <c r="M904" s="13">
        <f>[1]!b_info_couponrate(B904)</f>
        <v>3.2</v>
      </c>
      <c r="N904" s="14" t="str">
        <f>[1]!B_Info_ListedDate(B904)</f>
        <v>2017-03-15</v>
      </c>
      <c r="O904" s="14" t="str">
        <f>[1]!b_issue_firstissue(B904)</f>
        <v>2017-03-07</v>
      </c>
      <c r="P904" s="4">
        <f t="shared" ca="1" si="47"/>
        <v>42989</v>
      </c>
    </row>
    <row r="905" spans="2:16">
      <c r="B905" s="7">
        <v>170204</v>
      </c>
      <c r="C905" s="7">
        <v>3.85</v>
      </c>
      <c r="D905" s="18" t="str">
        <f>[1]!b_info_name(B905)</f>
        <v>17国开04</v>
      </c>
      <c r="E905" s="19">
        <f>[1]!b_info_latestissurercreditrating(B905)</f>
        <v>0</v>
      </c>
      <c r="F905" s="20">
        <f ca="1">[1]!b_anal_day(B905,$A$5)/365</f>
        <v>0.50410958904109593</v>
      </c>
      <c r="G905" s="21">
        <f ca="1">[1]!b_anal_yield_cnbd(B905,$A$5)</f>
        <v>0</v>
      </c>
      <c r="H905" s="21">
        <f t="shared" ca="1" si="45"/>
        <v>385</v>
      </c>
      <c r="I905" s="21">
        <f ca="1">[1]!b_anal_yield_cnbd(B905,$A$7)</f>
        <v>0</v>
      </c>
      <c r="J905" s="21">
        <f t="shared" ca="1" si="46"/>
        <v>0</v>
      </c>
      <c r="K905" s="19" t="str">
        <f>[1]!s_info_Nature(B905)</f>
        <v>中央国有企业</v>
      </c>
      <c r="L905" s="19" t="str">
        <f>[1]!b_info_windl1type(B905)</f>
        <v>金融债</v>
      </c>
      <c r="M905" s="13">
        <f>[1]!b_info_couponrate(B905)</f>
        <v>3.2</v>
      </c>
      <c r="N905" s="14" t="str">
        <f>[1]!B_Info_ListedDate(B905)</f>
        <v>2017-03-15</v>
      </c>
      <c r="O905" s="14" t="str">
        <f>[1]!b_issue_firstissue(B905)</f>
        <v>2017-03-07</v>
      </c>
      <c r="P905" s="4">
        <f t="shared" ca="1" si="47"/>
        <v>42989</v>
      </c>
    </row>
    <row r="906" spans="2:16">
      <c r="B906" s="7">
        <v>150207</v>
      </c>
      <c r="C906" s="7">
        <v>3.85</v>
      </c>
      <c r="D906" s="18" t="str">
        <f>[1]!b_info_name(B906)</f>
        <v>15国开07</v>
      </c>
      <c r="E906" s="19">
        <f>[1]!b_info_latestissurercreditrating(B906)</f>
        <v>0</v>
      </c>
      <c r="F906" s="20">
        <f ca="1">[1]!b_anal_day(B906,$A$5)/365</f>
        <v>0.56164383561643838</v>
      </c>
      <c r="G906" s="21">
        <f ca="1">[1]!b_anal_yield_cnbd(B906,$A$5)</f>
        <v>0</v>
      </c>
      <c r="H906" s="21">
        <f t="shared" ca="1" si="45"/>
        <v>385</v>
      </c>
      <c r="I906" s="21">
        <f ca="1">[1]!b_anal_yield_cnbd(B906,$A$7)</f>
        <v>0</v>
      </c>
      <c r="J906" s="21">
        <f t="shared" ca="1" si="46"/>
        <v>0</v>
      </c>
      <c r="K906" s="19" t="str">
        <f>[1]!s_info_Nature(B906)</f>
        <v>中央国有企业</v>
      </c>
      <c r="L906" s="19" t="str">
        <f>[1]!b_info_windl1type(B906)</f>
        <v>金融债</v>
      </c>
      <c r="M906" s="13">
        <f>[1]!b_info_couponrate(B906)</f>
        <v>4.18</v>
      </c>
      <c r="N906" s="14" t="str">
        <f>[1]!B_Info_ListedDate(B906)</f>
        <v>2015-04-10</v>
      </c>
      <c r="O906" s="14" t="str">
        <f>[1]!b_issue_firstissue(B906)</f>
        <v>2015-03-31</v>
      </c>
      <c r="P906" s="4">
        <f t="shared" ca="1" si="47"/>
        <v>42989</v>
      </c>
    </row>
    <row r="907" spans="2:16">
      <c r="B907" s="7">
        <v>170204</v>
      </c>
      <c r="C907" s="7">
        <v>3.83</v>
      </c>
      <c r="D907" s="18" t="str">
        <f>[1]!b_info_name(B907)</f>
        <v>17国开04</v>
      </c>
      <c r="E907" s="19">
        <f>[1]!b_info_latestissurercreditrating(B907)</f>
        <v>0</v>
      </c>
      <c r="F907" s="20">
        <f ca="1">[1]!b_anal_day(B907,$A$5)/365</f>
        <v>0.50410958904109593</v>
      </c>
      <c r="G907" s="21">
        <f ca="1">[1]!b_anal_yield_cnbd(B907,$A$5)</f>
        <v>0</v>
      </c>
      <c r="H907" s="21">
        <f t="shared" ca="1" si="45"/>
        <v>383</v>
      </c>
      <c r="I907" s="21">
        <f ca="1">[1]!b_anal_yield_cnbd(B907,$A$7)</f>
        <v>0</v>
      </c>
      <c r="J907" s="21">
        <f t="shared" ca="1" si="46"/>
        <v>0</v>
      </c>
      <c r="K907" s="19" t="str">
        <f>[1]!s_info_Nature(B907)</f>
        <v>中央国有企业</v>
      </c>
      <c r="L907" s="19" t="str">
        <f>[1]!b_info_windl1type(B907)</f>
        <v>金融债</v>
      </c>
      <c r="M907" s="13">
        <f>[1]!b_info_couponrate(B907)</f>
        <v>3.2</v>
      </c>
      <c r="N907" s="14" t="str">
        <f>[1]!B_Info_ListedDate(B907)</f>
        <v>2017-03-15</v>
      </c>
      <c r="O907" s="14" t="str">
        <f>[1]!b_issue_firstissue(B907)</f>
        <v>2017-03-07</v>
      </c>
      <c r="P907" s="4">
        <f t="shared" ca="1" si="47"/>
        <v>42989</v>
      </c>
    </row>
    <row r="908" spans="2:16">
      <c r="B908" s="7">
        <v>111699571</v>
      </c>
      <c r="C908" s="7">
        <v>3.8</v>
      </c>
      <c r="D908" s="18" t="str">
        <f>[1]!b_info_name(B908)</f>
        <v>16江西银行CD065</v>
      </c>
      <c r="E908" s="19" t="str">
        <f>[1]!b_info_latestissurercreditrating(B908)</f>
        <v>AA+</v>
      </c>
      <c r="F908" s="20">
        <f ca="1">[1]!b_anal_day(B908,$A$5)/365</f>
        <v>0</v>
      </c>
      <c r="G908" s="21">
        <f ca="1">[1]!b_anal_yield_cnbd(B908,$A$5)</f>
        <v>0</v>
      </c>
      <c r="H908" s="21">
        <f t="shared" ca="1" si="45"/>
        <v>380</v>
      </c>
      <c r="I908" s="21">
        <f ca="1">[1]!b_anal_yield_cnbd(B908,$A$7)</f>
        <v>0</v>
      </c>
      <c r="J908" s="21">
        <f t="shared" ca="1" si="46"/>
        <v>0</v>
      </c>
      <c r="K908" s="19" t="str">
        <f>[1]!s_info_Nature(B908)</f>
        <v>地方国有企业</v>
      </c>
      <c r="L908" s="19" t="str">
        <f>[1]!b_info_windl1type(B908)</f>
        <v>同业存单</v>
      </c>
      <c r="M908" s="13">
        <f>[1]!b_info_couponrate(B908)</f>
        <v>3.1800999999999999</v>
      </c>
      <c r="N908" s="14" t="str">
        <f>[1]!B_Info_ListedDate(B908)</f>
        <v>2016-11-08</v>
      </c>
      <c r="O908" s="14" t="str">
        <f>[1]!b_issue_firstissue(B908)</f>
        <v>2016-11-07</v>
      </c>
      <c r="P908" s="4">
        <f t="shared" ca="1" si="47"/>
        <v>42989</v>
      </c>
    </row>
    <row r="909" spans="2:16">
      <c r="B909" s="7">
        <v>111707048</v>
      </c>
      <c r="C909" s="7">
        <v>3.8</v>
      </c>
      <c r="D909" s="18" t="str">
        <f>[1]!b_info_name(B909)</f>
        <v>17招商银行CD048</v>
      </c>
      <c r="E909" s="19" t="str">
        <f>[1]!b_info_latestissurercreditrating(B909)</f>
        <v>AAA</v>
      </c>
      <c r="F909" s="20">
        <f ca="1">[1]!b_anal_day(B909,$A$5)/365</f>
        <v>0</v>
      </c>
      <c r="G909" s="21">
        <f ca="1">[1]!b_anal_yield_cnbd(B909,$A$5)</f>
        <v>0</v>
      </c>
      <c r="H909" s="21">
        <f t="shared" ca="1" si="45"/>
        <v>380</v>
      </c>
      <c r="I909" s="21">
        <f ca="1">[1]!b_anal_yield_cnbd(B909,$A$7)</f>
        <v>0</v>
      </c>
      <c r="J909" s="21">
        <f t="shared" ca="1" si="46"/>
        <v>0</v>
      </c>
      <c r="K909" s="19" t="str">
        <f>[1]!s_info_Nature(B909)</f>
        <v>公众企业</v>
      </c>
      <c r="L909" s="19" t="str">
        <f>[1]!b_info_windl1type(B909)</f>
        <v>同业存单</v>
      </c>
      <c r="M909" s="13">
        <f>[1]!b_info_couponrate(B909)</f>
        <v>4.4000000000000004</v>
      </c>
      <c r="N909" s="14" t="str">
        <f>[1]!B_Info_ListedDate(B909)</f>
        <v>2017-02-10</v>
      </c>
      <c r="O909" s="14" t="str">
        <f>[1]!b_issue_firstissue(B909)</f>
        <v>2017-02-09</v>
      </c>
      <c r="P909" s="4">
        <f t="shared" ca="1" si="47"/>
        <v>42989</v>
      </c>
    </row>
    <row r="910" spans="2:16">
      <c r="B910" s="7">
        <v>111719090</v>
      </c>
      <c r="C910" s="7">
        <v>3.8</v>
      </c>
      <c r="D910" s="18" t="str">
        <f>[1]!b_info_name(B910)</f>
        <v>17恒丰银行CD090</v>
      </c>
      <c r="E910" s="19" t="str">
        <f>[1]!b_info_latestissurercreditrating(B910)</f>
        <v>AAA</v>
      </c>
      <c r="F910" s="20">
        <f ca="1">[1]!b_anal_day(B910,$A$5)/365</f>
        <v>0</v>
      </c>
      <c r="G910" s="21">
        <f ca="1">[1]!b_anal_yield_cnbd(B910,$A$5)</f>
        <v>0</v>
      </c>
      <c r="H910" s="21">
        <f t="shared" ca="1" si="45"/>
        <v>380</v>
      </c>
      <c r="I910" s="21">
        <f ca="1">[1]!b_anal_yield_cnbd(B910,$A$7)</f>
        <v>0</v>
      </c>
      <c r="J910" s="21">
        <f t="shared" ca="1" si="46"/>
        <v>0</v>
      </c>
      <c r="K910" s="19" t="str">
        <f>[1]!s_info_Nature(B910)</f>
        <v>地方国有企业</v>
      </c>
      <c r="L910" s="19" t="str">
        <f>[1]!b_info_windl1type(B910)</f>
        <v>同业存单</v>
      </c>
      <c r="M910" s="13">
        <f>[1]!b_info_couponrate(B910)</f>
        <v>3.9499</v>
      </c>
      <c r="N910" s="14" t="str">
        <f>[1]!B_Info_ListedDate(B910)</f>
        <v>2017-04-10</v>
      </c>
      <c r="O910" s="14" t="str">
        <f>[1]!b_issue_firstissue(B910)</f>
        <v>2017-04-07</v>
      </c>
      <c r="P910" s="4">
        <f t="shared" ca="1" si="47"/>
        <v>42989</v>
      </c>
    </row>
    <row r="911" spans="2:16">
      <c r="B911" s="7">
        <v>111719090</v>
      </c>
      <c r="C911" s="7">
        <v>3.8</v>
      </c>
      <c r="D911" s="18" t="str">
        <f>[1]!b_info_name(B911)</f>
        <v>17恒丰银行CD090</v>
      </c>
      <c r="E911" s="19" t="str">
        <f>[1]!b_info_latestissurercreditrating(B911)</f>
        <v>AAA</v>
      </c>
      <c r="F911" s="20">
        <f ca="1">[1]!b_anal_day(B911,$A$5)/365</f>
        <v>0</v>
      </c>
      <c r="G911" s="21">
        <f ca="1">[1]!b_anal_yield_cnbd(B911,$A$5)</f>
        <v>0</v>
      </c>
      <c r="H911" s="21">
        <f t="shared" ca="1" si="45"/>
        <v>380</v>
      </c>
      <c r="I911" s="21">
        <f ca="1">[1]!b_anal_yield_cnbd(B911,$A$7)</f>
        <v>0</v>
      </c>
      <c r="J911" s="21">
        <f t="shared" ca="1" si="46"/>
        <v>0</v>
      </c>
      <c r="K911" s="19" t="str">
        <f>[1]!s_info_Nature(B911)</f>
        <v>地方国有企业</v>
      </c>
      <c r="L911" s="19" t="str">
        <f>[1]!b_info_windl1type(B911)</f>
        <v>同业存单</v>
      </c>
      <c r="M911" s="13">
        <f>[1]!b_info_couponrate(B911)</f>
        <v>3.9499</v>
      </c>
      <c r="N911" s="14" t="str">
        <f>[1]!B_Info_ListedDate(B911)</f>
        <v>2017-04-10</v>
      </c>
      <c r="O911" s="14" t="str">
        <f>[1]!b_issue_firstissue(B911)</f>
        <v>2017-04-07</v>
      </c>
      <c r="P911" s="4">
        <f t="shared" ca="1" si="47"/>
        <v>42989</v>
      </c>
    </row>
    <row r="912" spans="2:16">
      <c r="B912" s="7">
        <v>111617196</v>
      </c>
      <c r="C912" s="7">
        <v>3.8</v>
      </c>
      <c r="D912" s="18" t="str">
        <f>[1]!b_info_name(B912)</f>
        <v>16光大CD196</v>
      </c>
      <c r="E912" s="19" t="str">
        <f>[1]!b_info_latestissurercreditrating(B912)</f>
        <v>AAA</v>
      </c>
      <c r="F912" s="20">
        <f ca="1">[1]!b_anal_day(B912,$A$5)/365</f>
        <v>0</v>
      </c>
      <c r="G912" s="21">
        <f ca="1">[1]!b_anal_yield_cnbd(B912,$A$5)</f>
        <v>0</v>
      </c>
      <c r="H912" s="21">
        <f t="shared" ca="1" si="45"/>
        <v>380</v>
      </c>
      <c r="I912" s="21">
        <f ca="1">[1]!b_anal_yield_cnbd(B912,$A$7)</f>
        <v>0</v>
      </c>
      <c r="J912" s="21">
        <f t="shared" ca="1" si="46"/>
        <v>0</v>
      </c>
      <c r="K912" s="19" t="str">
        <f>[1]!s_info_Nature(B912)</f>
        <v>中央国有企业</v>
      </c>
      <c r="L912" s="19" t="str">
        <f>[1]!b_info_windl1type(B912)</f>
        <v>同业存单</v>
      </c>
      <c r="M912" s="13">
        <f>[1]!b_info_couponrate(B912)</f>
        <v>2.8100999999999998</v>
      </c>
      <c r="N912" s="14" t="str">
        <f>[1]!B_Info_ListedDate(B912)</f>
        <v>2016-08-11</v>
      </c>
      <c r="O912" s="14" t="str">
        <f>[1]!b_issue_firstissue(B912)</f>
        <v>2016-08-10</v>
      </c>
      <c r="P912" s="4">
        <f t="shared" ca="1" si="47"/>
        <v>42989</v>
      </c>
    </row>
    <row r="913" spans="2:16">
      <c r="B913" s="7">
        <v>111611338</v>
      </c>
      <c r="C913" s="7">
        <v>3.8</v>
      </c>
      <c r="D913" s="18" t="str">
        <f>[1]!b_info_name(B913)</f>
        <v>16平安CD338</v>
      </c>
      <c r="E913" s="19" t="str">
        <f>[1]!b_info_latestissurercreditrating(B913)</f>
        <v>AAA</v>
      </c>
      <c r="F913" s="20">
        <f ca="1">[1]!b_anal_day(B913,$A$5)/365</f>
        <v>0</v>
      </c>
      <c r="G913" s="21">
        <f ca="1">[1]!b_anal_yield_cnbd(B913,$A$5)</f>
        <v>0</v>
      </c>
      <c r="H913" s="21">
        <f t="shared" ca="1" si="45"/>
        <v>380</v>
      </c>
      <c r="I913" s="21">
        <f ca="1">[1]!b_anal_yield_cnbd(B913,$A$7)</f>
        <v>0</v>
      </c>
      <c r="J913" s="21">
        <f t="shared" ca="1" si="46"/>
        <v>0</v>
      </c>
      <c r="K913" s="19" t="str">
        <f>[1]!s_info_Nature(B913)</f>
        <v>公众企业</v>
      </c>
      <c r="L913" s="19" t="str">
        <f>[1]!b_info_windl1type(B913)</f>
        <v>同业存单</v>
      </c>
      <c r="M913" s="13">
        <f>[1]!b_info_couponrate(B913)</f>
        <v>2.8201000000000001</v>
      </c>
      <c r="N913" s="14" t="str">
        <f>[1]!B_Info_ListedDate(B913)</f>
        <v>2016-08-15</v>
      </c>
      <c r="O913" s="14" t="str">
        <f>[1]!b_issue_firstissue(B913)</f>
        <v>2016-08-12</v>
      </c>
      <c r="P913" s="4">
        <f t="shared" ca="1" si="47"/>
        <v>42989</v>
      </c>
    </row>
    <row r="914" spans="2:16">
      <c r="B914" s="7">
        <v>111710082</v>
      </c>
      <c r="C914" s="7">
        <v>3.8</v>
      </c>
      <c r="D914" s="18" t="str">
        <f>[1]!b_info_name(B914)</f>
        <v>17兴业银行CD082</v>
      </c>
      <c r="E914" s="19" t="str">
        <f>[1]!b_info_latestissurercreditrating(B914)</f>
        <v>AAA</v>
      </c>
      <c r="F914" s="20">
        <f ca="1">[1]!b_anal_day(B914,$A$5)/365</f>
        <v>0</v>
      </c>
      <c r="G914" s="21">
        <f ca="1">[1]!b_anal_yield_cnbd(B914,$A$5)</f>
        <v>0</v>
      </c>
      <c r="H914" s="21">
        <f t="shared" ca="1" si="45"/>
        <v>380</v>
      </c>
      <c r="I914" s="21">
        <f ca="1">[1]!b_anal_yield_cnbd(B914,$A$7)</f>
        <v>0</v>
      </c>
      <c r="J914" s="21">
        <f t="shared" ca="1" si="46"/>
        <v>0</v>
      </c>
      <c r="K914" s="19" t="str">
        <f>[1]!s_info_Nature(B914)</f>
        <v>公众企业</v>
      </c>
      <c r="L914" s="19" t="str">
        <f>[1]!b_info_windl1type(B914)</f>
        <v>同业存单</v>
      </c>
      <c r="M914" s="13">
        <f>[1]!b_info_couponrate(B914)</f>
        <v>4.4499000000000004</v>
      </c>
      <c r="N914" s="14" t="str">
        <f>[1]!B_Info_ListedDate(B914)</f>
        <v>2017-02-17</v>
      </c>
      <c r="O914" s="14" t="str">
        <f>[1]!b_issue_firstissue(B914)</f>
        <v>2017-02-16</v>
      </c>
      <c r="P914" s="4">
        <f t="shared" ca="1" si="47"/>
        <v>42989</v>
      </c>
    </row>
    <row r="915" spans="2:16">
      <c r="B915" s="7">
        <v>111699784</v>
      </c>
      <c r="C915" s="7">
        <v>3.7</v>
      </c>
      <c r="D915" s="18" t="str">
        <f>[1]!b_info_name(B915)</f>
        <v>16重庆银行CD056</v>
      </c>
      <c r="E915" s="19" t="str">
        <f>[1]!b_info_latestissurercreditrating(B915)</f>
        <v>AAA</v>
      </c>
      <c r="F915" s="20">
        <f ca="1">[1]!b_anal_day(B915,$A$5)/365</f>
        <v>0</v>
      </c>
      <c r="G915" s="21">
        <f ca="1">[1]!b_anal_yield_cnbd(B915,$A$5)</f>
        <v>0</v>
      </c>
      <c r="H915" s="21">
        <f t="shared" ca="1" si="45"/>
        <v>370</v>
      </c>
      <c r="I915" s="21">
        <f ca="1">[1]!b_anal_yield_cnbd(B915,$A$7)</f>
        <v>0</v>
      </c>
      <c r="J915" s="21">
        <f t="shared" ca="1" si="46"/>
        <v>0</v>
      </c>
      <c r="K915" s="19" t="str">
        <f>[1]!s_info_Nature(B915)</f>
        <v>公众企业</v>
      </c>
      <c r="L915" s="19" t="str">
        <f>[1]!b_info_windl1type(B915)</f>
        <v>同业存单</v>
      </c>
      <c r="M915" s="13">
        <f>[1]!b_info_couponrate(B915)</f>
        <v>3.2000999999999999</v>
      </c>
      <c r="N915" s="14" t="str">
        <f>[1]!B_Info_ListedDate(B915)</f>
        <v>2016-11-10</v>
      </c>
      <c r="O915" s="14" t="str">
        <f>[1]!b_issue_firstissue(B915)</f>
        <v>2016-11-09</v>
      </c>
      <c r="P915" s="4">
        <f t="shared" ca="1" si="47"/>
        <v>42989</v>
      </c>
    </row>
    <row r="916" spans="2:16">
      <c r="B916" s="7">
        <v>111699742</v>
      </c>
      <c r="C916" s="7">
        <v>3.7</v>
      </c>
      <c r="D916" s="18" t="str">
        <f>[1]!b_info_name(B916)</f>
        <v>16威海商行CD046</v>
      </c>
      <c r="E916" s="19" t="str">
        <f>[1]!b_info_latestissurercreditrating(B916)</f>
        <v>AA+</v>
      </c>
      <c r="F916" s="20">
        <f ca="1">[1]!b_anal_day(B916,$A$5)/365</f>
        <v>0</v>
      </c>
      <c r="G916" s="21">
        <f ca="1">[1]!b_anal_yield_cnbd(B916,$A$5)</f>
        <v>0</v>
      </c>
      <c r="H916" s="21">
        <f t="shared" ca="1" si="45"/>
        <v>370</v>
      </c>
      <c r="I916" s="21">
        <f ca="1">[1]!b_anal_yield_cnbd(B916,$A$7)</f>
        <v>0</v>
      </c>
      <c r="J916" s="21">
        <f t="shared" ca="1" si="46"/>
        <v>0</v>
      </c>
      <c r="K916" s="19" t="str">
        <f>[1]!s_info_Nature(B916)</f>
        <v>地方国有企业</v>
      </c>
      <c r="L916" s="19" t="str">
        <f>[1]!b_info_windl1type(B916)</f>
        <v>同业存单</v>
      </c>
      <c r="M916" s="13">
        <f>[1]!b_info_couponrate(B916)</f>
        <v>3.2199</v>
      </c>
      <c r="N916" s="14" t="str">
        <f>[1]!B_Info_ListedDate(B916)</f>
        <v>2016-11-10</v>
      </c>
      <c r="O916" s="14" t="str">
        <f>[1]!b_issue_firstissue(B916)</f>
        <v>2016-11-09</v>
      </c>
      <c r="P916" s="4">
        <f t="shared" ca="1" si="47"/>
        <v>42989</v>
      </c>
    </row>
    <row r="917" spans="2:16">
      <c r="B917" s="7">
        <v>111795497</v>
      </c>
      <c r="C917" s="7">
        <v>3.7</v>
      </c>
      <c r="D917" s="18" t="str">
        <f>[1]!b_info_name(B917)</f>
        <v>17河北银行CD035</v>
      </c>
      <c r="E917" s="19" t="str">
        <f>[1]!b_info_latestissurercreditrating(B917)</f>
        <v>AA+</v>
      </c>
      <c r="F917" s="20">
        <f ca="1">[1]!b_anal_day(B917,$A$5)/365</f>
        <v>0</v>
      </c>
      <c r="G917" s="21">
        <f ca="1">[1]!b_anal_yield_cnbd(B917,$A$5)</f>
        <v>0</v>
      </c>
      <c r="H917" s="21">
        <f t="shared" ca="1" si="45"/>
        <v>370</v>
      </c>
      <c r="I917" s="21">
        <f ca="1">[1]!b_anal_yield_cnbd(B917,$A$7)</f>
        <v>0</v>
      </c>
      <c r="J917" s="21">
        <f t="shared" ca="1" si="46"/>
        <v>0</v>
      </c>
      <c r="K917" s="19" t="str">
        <f>[1]!s_info_Nature(B917)</f>
        <v>地方国有企业</v>
      </c>
      <c r="L917" s="19" t="str">
        <f>[1]!b_info_windl1type(B917)</f>
        <v>同业存单</v>
      </c>
      <c r="M917" s="13">
        <f>[1]!b_info_couponrate(B917)</f>
        <v>4.1496000000000004</v>
      </c>
      <c r="N917" s="14" t="str">
        <f>[1]!B_Info_ListedDate(B917)</f>
        <v>2017-04-12</v>
      </c>
      <c r="O917" s="14" t="str">
        <f>[1]!b_issue_firstissue(B917)</f>
        <v>2017-04-11</v>
      </c>
      <c r="P917" s="4">
        <f t="shared" ca="1" si="47"/>
        <v>42989</v>
      </c>
    </row>
    <row r="918" spans="2:16">
      <c r="B918" s="7">
        <v>150201</v>
      </c>
      <c r="C918" s="7">
        <v>3.7</v>
      </c>
      <c r="D918" s="18" t="str">
        <f>[1]!b_info_name(B918)</f>
        <v>15国开01</v>
      </c>
      <c r="E918" s="19">
        <f>[1]!b_info_latestissurercreditrating(B918)</f>
        <v>0</v>
      </c>
      <c r="F918" s="20">
        <f ca="1">[1]!b_anal_day(B918,$A$5)/365</f>
        <v>0.32876712328767121</v>
      </c>
      <c r="G918" s="21">
        <f ca="1">[1]!b_anal_yield_cnbd(B918,$A$5)</f>
        <v>0</v>
      </c>
      <c r="H918" s="21">
        <f t="shared" ca="1" si="45"/>
        <v>370</v>
      </c>
      <c r="I918" s="21">
        <f ca="1">[1]!b_anal_yield_cnbd(B918,$A$7)</f>
        <v>0</v>
      </c>
      <c r="J918" s="21">
        <f t="shared" ca="1" si="46"/>
        <v>0</v>
      </c>
      <c r="K918" s="19" t="str">
        <f>[1]!s_info_Nature(B918)</f>
        <v>中央国有企业</v>
      </c>
      <c r="L918" s="19" t="str">
        <f>[1]!b_info_windl1type(B918)</f>
        <v>金融债</v>
      </c>
      <c r="M918" s="13">
        <f>[1]!b_info_couponrate(B918)</f>
        <v>3.85</v>
      </c>
      <c r="N918" s="14" t="str">
        <f>[1]!B_Info_ListedDate(B918)</f>
        <v>2015-01-14</v>
      </c>
      <c r="O918" s="14" t="str">
        <f>[1]!b_issue_firstissue(B918)</f>
        <v>2015-01-06</v>
      </c>
      <c r="P918" s="4">
        <f t="shared" ca="1" si="47"/>
        <v>42989</v>
      </c>
    </row>
    <row r="919" spans="2:16">
      <c r="B919" s="7">
        <v>170401</v>
      </c>
      <c r="C919" s="7">
        <v>3.68</v>
      </c>
      <c r="D919" s="18" t="str">
        <f>[1]!b_info_name(B919)</f>
        <v>17农发01</v>
      </c>
      <c r="E919" s="19">
        <f>[1]!b_info_latestissurercreditrating(B919)</f>
        <v>0</v>
      </c>
      <c r="F919" s="20">
        <f ca="1">[1]!b_anal_day(B919,$A$5)/365</f>
        <v>0.32328767123287672</v>
      </c>
      <c r="G919" s="21">
        <f ca="1">[1]!b_anal_yield_cnbd(B919,$A$5)</f>
        <v>0</v>
      </c>
      <c r="H919" s="21">
        <f t="shared" ca="1" si="45"/>
        <v>368</v>
      </c>
      <c r="I919" s="21">
        <f ca="1">[1]!b_anal_yield_cnbd(B919,$A$7)</f>
        <v>0</v>
      </c>
      <c r="J919" s="21">
        <f t="shared" ca="1" si="46"/>
        <v>0</v>
      </c>
      <c r="K919" s="19" t="str">
        <f>[1]!s_info_Nature(B919)</f>
        <v>中央国有企业</v>
      </c>
      <c r="L919" s="19" t="str">
        <f>[1]!b_info_windl1type(B919)</f>
        <v>金融债</v>
      </c>
      <c r="M919" s="13">
        <f>[1]!b_info_couponrate(B919)</f>
        <v>3.2</v>
      </c>
      <c r="N919" s="14" t="str">
        <f>[1]!B_Info_ListedDate(B919)</f>
        <v>2017-01-10</v>
      </c>
      <c r="O919" s="14" t="str">
        <f>[1]!b_issue_firstissue(B919)</f>
        <v>2017-01-04</v>
      </c>
      <c r="P919" s="4">
        <f t="shared" ca="1" si="47"/>
        <v>42989</v>
      </c>
    </row>
    <row r="920" spans="2:16">
      <c r="B920" s="7">
        <v>111795264</v>
      </c>
      <c r="C920" s="7">
        <v>3.6</v>
      </c>
      <c r="D920" s="18" t="str">
        <f>[1]!b_info_name(B920)</f>
        <v>17宁波银行CD068</v>
      </c>
      <c r="E920" s="19" t="str">
        <f>[1]!b_info_latestissurercreditrating(B920)</f>
        <v>AAA</v>
      </c>
      <c r="F920" s="20">
        <f ca="1">[1]!b_anal_day(B920,$A$5)/365</f>
        <v>0</v>
      </c>
      <c r="G920" s="21">
        <f ca="1">[1]!b_anal_yield_cnbd(B920,$A$5)</f>
        <v>0</v>
      </c>
      <c r="H920" s="21">
        <f t="shared" ca="1" si="45"/>
        <v>360</v>
      </c>
      <c r="I920" s="21">
        <f ca="1">[1]!b_anal_yield_cnbd(B920,$A$7)</f>
        <v>0</v>
      </c>
      <c r="J920" s="21">
        <f t="shared" ca="1" si="46"/>
        <v>0</v>
      </c>
      <c r="K920" s="19" t="str">
        <f>[1]!s_info_Nature(B920)</f>
        <v>公众企业</v>
      </c>
      <c r="L920" s="19" t="str">
        <f>[1]!b_info_windl1type(B920)</f>
        <v>同业存单</v>
      </c>
      <c r="M920" s="13">
        <f>[1]!b_info_couponrate(B920)</f>
        <v>3.95</v>
      </c>
      <c r="N920" s="14" t="str">
        <f>[1]!B_Info_ListedDate(B920)</f>
        <v>2017-04-10</v>
      </c>
      <c r="O920" s="14" t="str">
        <f>[1]!b_issue_firstissue(B920)</f>
        <v>2017-04-07</v>
      </c>
      <c r="P920" s="4">
        <f t="shared" ca="1" si="47"/>
        <v>42989</v>
      </c>
    </row>
    <row r="921" spans="2:16">
      <c r="B921" s="7">
        <v>150016</v>
      </c>
      <c r="C921" s="7">
        <v>3.59</v>
      </c>
      <c r="D921" s="18" t="str">
        <f>[1]!b_info_name(B921)</f>
        <v>15附息国债16</v>
      </c>
      <c r="E921" s="19">
        <f>[1]!b_info_latestissurercreditrating(B921)</f>
        <v>0</v>
      </c>
      <c r="F921" s="20">
        <f ca="1">[1]!b_anal_day(B921,$A$5)/365</f>
        <v>7.8520547945205479</v>
      </c>
      <c r="G921" s="21">
        <f ca="1">[1]!b_anal_yield_cnbd(B921,$A$5)</f>
        <v>0</v>
      </c>
      <c r="H921" s="21">
        <f t="shared" ca="1" si="45"/>
        <v>359</v>
      </c>
      <c r="I921" s="21">
        <f ca="1">[1]!b_anal_yield_cnbd(B921,$A$7)</f>
        <v>0</v>
      </c>
      <c r="J921" s="21">
        <f t="shared" ca="1" si="46"/>
        <v>0</v>
      </c>
      <c r="K921" s="19">
        <f>[1]!s_info_Nature(B921)</f>
        <v>0</v>
      </c>
      <c r="L921" s="19" t="str">
        <f>[1]!b_info_windl1type(B921)</f>
        <v>国债</v>
      </c>
      <c r="M921" s="13">
        <f>[1]!b_info_couponrate(B921)</f>
        <v>3.51</v>
      </c>
      <c r="N921" s="14" t="str">
        <f>[1]!B_Info_ListedDate(B921)</f>
        <v>2015-07-22</v>
      </c>
      <c r="O921" s="14" t="str">
        <f>[1]!b_issue_firstissue(B921)</f>
        <v>2015-07-15</v>
      </c>
      <c r="P921" s="4">
        <f t="shared" ca="1" si="47"/>
        <v>42989</v>
      </c>
    </row>
    <row r="922" spans="2:16">
      <c r="B922" s="7">
        <v>170004</v>
      </c>
      <c r="C922" s="7">
        <v>3.5649999999999999</v>
      </c>
      <c r="D922" s="18" t="str">
        <f>[1]!b_info_name(B922)</f>
        <v>17附息国债04</v>
      </c>
      <c r="E922" s="19">
        <f>[1]!b_info_latestissurercreditrating(B922)</f>
        <v>0</v>
      </c>
      <c r="F922" s="20">
        <f ca="1">[1]!b_anal_day(B922,$A$5)/365</f>
        <v>9.4219178082191775</v>
      </c>
      <c r="G922" s="21">
        <f ca="1">[1]!b_anal_yield_cnbd(B922,$A$5)</f>
        <v>0</v>
      </c>
      <c r="H922" s="21">
        <f t="shared" ca="1" si="45"/>
        <v>356.5</v>
      </c>
      <c r="I922" s="21">
        <f ca="1">[1]!b_anal_yield_cnbd(B922,$A$7)</f>
        <v>0</v>
      </c>
      <c r="J922" s="21">
        <f t="shared" ca="1" si="46"/>
        <v>0</v>
      </c>
      <c r="K922" s="19">
        <f>[1]!s_info_Nature(B922)</f>
        <v>0</v>
      </c>
      <c r="L922" s="19" t="str">
        <f>[1]!b_info_windl1type(B922)</f>
        <v>国债</v>
      </c>
      <c r="M922" s="13">
        <f>[1]!b_info_couponrate(B922)</f>
        <v>3.4</v>
      </c>
      <c r="N922" s="14" t="str">
        <f>[1]!B_Info_ListedDate(B922)</f>
        <v>2017-02-13</v>
      </c>
      <c r="O922" s="14" t="str">
        <f>[1]!b_issue_firstissue(B922)</f>
        <v>2017-02-08</v>
      </c>
      <c r="P922" s="4">
        <f t="shared" ca="1" si="47"/>
        <v>42989</v>
      </c>
    </row>
    <row r="923" spans="2:16">
      <c r="B923" s="7">
        <v>170004</v>
      </c>
      <c r="C923" s="7">
        <v>3.5649999999999999</v>
      </c>
      <c r="D923" s="18" t="str">
        <f>[1]!b_info_name(B923)</f>
        <v>17附息国债04</v>
      </c>
      <c r="E923" s="19">
        <f>[1]!b_info_latestissurercreditrating(B923)</f>
        <v>0</v>
      </c>
      <c r="F923" s="20">
        <f ca="1">[1]!b_anal_day(B923,$A$5)/365</f>
        <v>9.4219178082191775</v>
      </c>
      <c r="G923" s="21">
        <f ca="1">[1]!b_anal_yield_cnbd(B923,$A$5)</f>
        <v>0</v>
      </c>
      <c r="H923" s="21">
        <f t="shared" ca="1" si="45"/>
        <v>356.5</v>
      </c>
      <c r="I923" s="21">
        <f ca="1">[1]!b_anal_yield_cnbd(B923,$A$7)</f>
        <v>0</v>
      </c>
      <c r="J923" s="21">
        <f t="shared" ca="1" si="46"/>
        <v>0</v>
      </c>
      <c r="K923" s="19">
        <f>[1]!s_info_Nature(B923)</f>
        <v>0</v>
      </c>
      <c r="L923" s="19" t="str">
        <f>[1]!b_info_windl1type(B923)</f>
        <v>国债</v>
      </c>
      <c r="M923" s="13">
        <f>[1]!b_info_couponrate(B923)</f>
        <v>3.4</v>
      </c>
      <c r="N923" s="14" t="str">
        <f>[1]!B_Info_ListedDate(B923)</f>
        <v>2017-02-13</v>
      </c>
      <c r="O923" s="14" t="str">
        <f>[1]!b_issue_firstissue(B923)</f>
        <v>2017-02-08</v>
      </c>
      <c r="P923" s="4">
        <f t="shared" ca="1" si="47"/>
        <v>42989</v>
      </c>
    </row>
    <row r="924" spans="2:16">
      <c r="B924" s="7">
        <v>170004</v>
      </c>
      <c r="C924" s="7">
        <v>3.5649999999999999</v>
      </c>
      <c r="D924" s="18" t="str">
        <f>[1]!b_info_name(B924)</f>
        <v>17附息国债04</v>
      </c>
      <c r="E924" s="19">
        <f>[1]!b_info_latestissurercreditrating(B924)</f>
        <v>0</v>
      </c>
      <c r="F924" s="20">
        <f ca="1">[1]!b_anal_day(B924,$A$5)/365</f>
        <v>9.4219178082191775</v>
      </c>
      <c r="G924" s="21">
        <f ca="1">[1]!b_anal_yield_cnbd(B924,$A$5)</f>
        <v>0</v>
      </c>
      <c r="H924" s="21">
        <f t="shared" ca="1" si="45"/>
        <v>356.5</v>
      </c>
      <c r="I924" s="21">
        <f ca="1">[1]!b_anal_yield_cnbd(B924,$A$7)</f>
        <v>0</v>
      </c>
      <c r="J924" s="21">
        <f t="shared" ca="1" si="46"/>
        <v>0</v>
      </c>
      <c r="K924" s="19">
        <f>[1]!s_info_Nature(B924)</f>
        <v>0</v>
      </c>
      <c r="L924" s="19" t="str">
        <f>[1]!b_info_windl1type(B924)</f>
        <v>国债</v>
      </c>
      <c r="M924" s="13">
        <f>[1]!b_info_couponrate(B924)</f>
        <v>3.4</v>
      </c>
      <c r="N924" s="14" t="str">
        <f>[1]!B_Info_ListedDate(B924)</f>
        <v>2017-02-13</v>
      </c>
      <c r="O924" s="14" t="str">
        <f>[1]!b_issue_firstissue(B924)</f>
        <v>2017-02-08</v>
      </c>
      <c r="P924" s="4">
        <f t="shared" ca="1" si="47"/>
        <v>42989</v>
      </c>
    </row>
    <row r="925" spans="2:16">
      <c r="B925" s="7">
        <v>170004</v>
      </c>
      <c r="C925" s="7">
        <v>3.5649999999999999</v>
      </c>
      <c r="D925" s="18" t="str">
        <f>[1]!b_info_name(B925)</f>
        <v>17附息国债04</v>
      </c>
      <c r="E925" s="19">
        <f>[1]!b_info_latestissurercreditrating(B925)</f>
        <v>0</v>
      </c>
      <c r="F925" s="20">
        <f ca="1">[1]!b_anal_day(B925,$A$5)/365</f>
        <v>9.4219178082191775</v>
      </c>
      <c r="G925" s="21">
        <f ca="1">[1]!b_anal_yield_cnbd(B925,$A$5)</f>
        <v>0</v>
      </c>
      <c r="H925" s="21">
        <f t="shared" ca="1" si="45"/>
        <v>356.5</v>
      </c>
      <c r="I925" s="21">
        <f ca="1">[1]!b_anal_yield_cnbd(B925,$A$7)</f>
        <v>0</v>
      </c>
      <c r="J925" s="21">
        <f t="shared" ca="1" si="46"/>
        <v>0</v>
      </c>
      <c r="K925" s="19">
        <f>[1]!s_info_Nature(B925)</f>
        <v>0</v>
      </c>
      <c r="L925" s="19" t="str">
        <f>[1]!b_info_windl1type(B925)</f>
        <v>国债</v>
      </c>
      <c r="M925" s="13">
        <f>[1]!b_info_couponrate(B925)</f>
        <v>3.4</v>
      </c>
      <c r="N925" s="14" t="str">
        <f>[1]!B_Info_ListedDate(B925)</f>
        <v>2017-02-13</v>
      </c>
      <c r="O925" s="14" t="str">
        <f>[1]!b_issue_firstissue(B925)</f>
        <v>2017-02-08</v>
      </c>
      <c r="P925" s="4">
        <f t="shared" ca="1" si="47"/>
        <v>42989</v>
      </c>
    </row>
    <row r="926" spans="2:16">
      <c r="B926" s="7">
        <v>170004</v>
      </c>
      <c r="C926" s="7">
        <v>3.5625</v>
      </c>
      <c r="D926" s="18" t="str">
        <f>[1]!b_info_name(B926)</f>
        <v>17附息国债04</v>
      </c>
      <c r="E926" s="19">
        <f>[1]!b_info_latestissurercreditrating(B926)</f>
        <v>0</v>
      </c>
      <c r="F926" s="20">
        <f ca="1">[1]!b_anal_day(B926,$A$5)/365</f>
        <v>9.4219178082191775</v>
      </c>
      <c r="G926" s="21">
        <f ca="1">[1]!b_anal_yield_cnbd(B926,$A$5)</f>
        <v>0</v>
      </c>
      <c r="H926" s="21">
        <f t="shared" ca="1" si="45"/>
        <v>356.25</v>
      </c>
      <c r="I926" s="21">
        <f ca="1">[1]!b_anal_yield_cnbd(B926,$A$7)</f>
        <v>0</v>
      </c>
      <c r="J926" s="21">
        <f t="shared" ca="1" si="46"/>
        <v>0</v>
      </c>
      <c r="K926" s="19">
        <f>[1]!s_info_Nature(B926)</f>
        <v>0</v>
      </c>
      <c r="L926" s="19" t="str">
        <f>[1]!b_info_windl1type(B926)</f>
        <v>国债</v>
      </c>
      <c r="M926" s="13">
        <f>[1]!b_info_couponrate(B926)</f>
        <v>3.4</v>
      </c>
      <c r="N926" s="14" t="str">
        <f>[1]!B_Info_ListedDate(B926)</f>
        <v>2017-02-13</v>
      </c>
      <c r="O926" s="14" t="str">
        <f>[1]!b_issue_firstissue(B926)</f>
        <v>2017-02-08</v>
      </c>
      <c r="P926" s="4">
        <f t="shared" ca="1" si="47"/>
        <v>42989</v>
      </c>
    </row>
    <row r="927" spans="2:16">
      <c r="B927" s="7">
        <v>170004</v>
      </c>
      <c r="C927" s="7">
        <v>3.56</v>
      </c>
      <c r="D927" s="18" t="str">
        <f>[1]!b_info_name(B927)</f>
        <v>17附息国债04</v>
      </c>
      <c r="E927" s="19">
        <f>[1]!b_info_latestissurercreditrating(B927)</f>
        <v>0</v>
      </c>
      <c r="F927" s="20">
        <f ca="1">[1]!b_anal_day(B927,$A$5)/365</f>
        <v>9.4219178082191775</v>
      </c>
      <c r="G927" s="21">
        <f ca="1">[1]!b_anal_yield_cnbd(B927,$A$5)</f>
        <v>0</v>
      </c>
      <c r="H927" s="21">
        <f t="shared" ca="1" si="45"/>
        <v>356</v>
      </c>
      <c r="I927" s="21">
        <f ca="1">[1]!b_anal_yield_cnbd(B927,$A$7)</f>
        <v>0</v>
      </c>
      <c r="J927" s="21">
        <f t="shared" ca="1" si="46"/>
        <v>0</v>
      </c>
      <c r="K927" s="19">
        <f>[1]!s_info_Nature(B927)</f>
        <v>0</v>
      </c>
      <c r="L927" s="19" t="str">
        <f>[1]!b_info_windl1type(B927)</f>
        <v>国债</v>
      </c>
      <c r="M927" s="13">
        <f>[1]!b_info_couponrate(B927)</f>
        <v>3.4</v>
      </c>
      <c r="N927" s="14" t="str">
        <f>[1]!B_Info_ListedDate(B927)</f>
        <v>2017-02-13</v>
      </c>
      <c r="O927" s="14" t="str">
        <f>[1]!b_issue_firstissue(B927)</f>
        <v>2017-02-08</v>
      </c>
      <c r="P927" s="4">
        <f t="shared" ca="1" si="47"/>
        <v>42989</v>
      </c>
    </row>
    <row r="928" spans="2:16">
      <c r="B928" s="7">
        <v>170004</v>
      </c>
      <c r="C928" s="7">
        <v>3.56</v>
      </c>
      <c r="D928" s="18" t="str">
        <f>[1]!b_info_name(B928)</f>
        <v>17附息国债04</v>
      </c>
      <c r="E928" s="19">
        <f>[1]!b_info_latestissurercreditrating(B928)</f>
        <v>0</v>
      </c>
      <c r="F928" s="20">
        <f ca="1">[1]!b_anal_day(B928,$A$5)/365</f>
        <v>9.4219178082191775</v>
      </c>
      <c r="G928" s="21">
        <f ca="1">[1]!b_anal_yield_cnbd(B928,$A$5)</f>
        <v>0</v>
      </c>
      <c r="H928" s="21">
        <f t="shared" ca="1" si="45"/>
        <v>356</v>
      </c>
      <c r="I928" s="21">
        <f ca="1">[1]!b_anal_yield_cnbd(B928,$A$7)</f>
        <v>0</v>
      </c>
      <c r="J928" s="21">
        <f t="shared" ca="1" si="46"/>
        <v>0</v>
      </c>
      <c r="K928" s="19">
        <f>[1]!s_info_Nature(B928)</f>
        <v>0</v>
      </c>
      <c r="L928" s="19" t="str">
        <f>[1]!b_info_windl1type(B928)</f>
        <v>国债</v>
      </c>
      <c r="M928" s="13">
        <f>[1]!b_info_couponrate(B928)</f>
        <v>3.4</v>
      </c>
      <c r="N928" s="14" t="str">
        <f>[1]!B_Info_ListedDate(B928)</f>
        <v>2017-02-13</v>
      </c>
      <c r="O928" s="14" t="str">
        <f>[1]!b_issue_firstissue(B928)</f>
        <v>2017-02-08</v>
      </c>
      <c r="P928" s="4">
        <f t="shared" ca="1" si="47"/>
        <v>42989</v>
      </c>
    </row>
    <row r="929" spans="2:16">
      <c r="B929" s="7">
        <v>170004</v>
      </c>
      <c r="C929" s="7">
        <v>3.56</v>
      </c>
      <c r="D929" s="18" t="str">
        <f>[1]!b_info_name(B929)</f>
        <v>17附息国债04</v>
      </c>
      <c r="E929" s="19">
        <f>[1]!b_info_latestissurercreditrating(B929)</f>
        <v>0</v>
      </c>
      <c r="F929" s="20">
        <f ca="1">[1]!b_anal_day(B929,$A$5)/365</f>
        <v>9.4219178082191775</v>
      </c>
      <c r="G929" s="21">
        <f ca="1">[1]!b_anal_yield_cnbd(B929,$A$5)</f>
        <v>0</v>
      </c>
      <c r="H929" s="21">
        <f t="shared" ca="1" si="45"/>
        <v>356</v>
      </c>
      <c r="I929" s="21">
        <f ca="1">[1]!b_anal_yield_cnbd(B929,$A$7)</f>
        <v>0</v>
      </c>
      <c r="J929" s="21">
        <f t="shared" ca="1" si="46"/>
        <v>0</v>
      </c>
      <c r="K929" s="19">
        <f>[1]!s_info_Nature(B929)</f>
        <v>0</v>
      </c>
      <c r="L929" s="19" t="str">
        <f>[1]!b_info_windl1type(B929)</f>
        <v>国债</v>
      </c>
      <c r="M929" s="13">
        <f>[1]!b_info_couponrate(B929)</f>
        <v>3.4</v>
      </c>
      <c r="N929" s="14" t="str">
        <f>[1]!B_Info_ListedDate(B929)</f>
        <v>2017-02-13</v>
      </c>
      <c r="O929" s="14" t="str">
        <f>[1]!b_issue_firstissue(B929)</f>
        <v>2017-02-08</v>
      </c>
      <c r="P929" s="4">
        <f t="shared" ca="1" si="47"/>
        <v>42989</v>
      </c>
    </row>
    <row r="930" spans="2:16">
      <c r="B930" s="7">
        <v>170004</v>
      </c>
      <c r="C930" s="7">
        <v>3.56</v>
      </c>
      <c r="D930" s="18" t="str">
        <f>[1]!b_info_name(B930)</f>
        <v>17附息国债04</v>
      </c>
      <c r="E930" s="19">
        <f>[1]!b_info_latestissurercreditrating(B930)</f>
        <v>0</v>
      </c>
      <c r="F930" s="20">
        <f ca="1">[1]!b_anal_day(B930,$A$5)/365</f>
        <v>9.4219178082191775</v>
      </c>
      <c r="G930" s="21">
        <f ca="1">[1]!b_anal_yield_cnbd(B930,$A$5)</f>
        <v>0</v>
      </c>
      <c r="H930" s="21">
        <f t="shared" ca="1" si="45"/>
        <v>356</v>
      </c>
      <c r="I930" s="21">
        <f ca="1">[1]!b_anal_yield_cnbd(B930,$A$7)</f>
        <v>0</v>
      </c>
      <c r="J930" s="21">
        <f t="shared" ca="1" si="46"/>
        <v>0</v>
      </c>
      <c r="K930" s="19">
        <f>[1]!s_info_Nature(B930)</f>
        <v>0</v>
      </c>
      <c r="L930" s="19" t="str">
        <f>[1]!b_info_windl1type(B930)</f>
        <v>国债</v>
      </c>
      <c r="M930" s="13">
        <f>[1]!b_info_couponrate(B930)</f>
        <v>3.4</v>
      </c>
      <c r="N930" s="14" t="str">
        <f>[1]!B_Info_ListedDate(B930)</f>
        <v>2017-02-13</v>
      </c>
      <c r="O930" s="14" t="str">
        <f>[1]!b_issue_firstissue(B930)</f>
        <v>2017-02-08</v>
      </c>
      <c r="P930" s="4">
        <f t="shared" ca="1" si="47"/>
        <v>42989</v>
      </c>
    </row>
    <row r="931" spans="2:16">
      <c r="B931" s="7">
        <v>170004</v>
      </c>
      <c r="C931" s="7">
        <v>3.56</v>
      </c>
      <c r="D931" s="18" t="str">
        <f>[1]!b_info_name(B931)</f>
        <v>17附息国债04</v>
      </c>
      <c r="E931" s="19">
        <f>[1]!b_info_latestissurercreditrating(B931)</f>
        <v>0</v>
      </c>
      <c r="F931" s="20">
        <f ca="1">[1]!b_anal_day(B931,$A$5)/365</f>
        <v>9.4219178082191775</v>
      </c>
      <c r="G931" s="21">
        <f ca="1">[1]!b_anal_yield_cnbd(B931,$A$5)</f>
        <v>0</v>
      </c>
      <c r="H931" s="21">
        <f t="shared" ca="1" si="45"/>
        <v>356</v>
      </c>
      <c r="I931" s="21">
        <f ca="1">[1]!b_anal_yield_cnbd(B931,$A$7)</f>
        <v>0</v>
      </c>
      <c r="J931" s="21">
        <f t="shared" ca="1" si="46"/>
        <v>0</v>
      </c>
      <c r="K931" s="19">
        <f>[1]!s_info_Nature(B931)</f>
        <v>0</v>
      </c>
      <c r="L931" s="19" t="str">
        <f>[1]!b_info_windl1type(B931)</f>
        <v>国债</v>
      </c>
      <c r="M931" s="13">
        <f>[1]!b_info_couponrate(B931)</f>
        <v>3.4</v>
      </c>
      <c r="N931" s="14" t="str">
        <f>[1]!B_Info_ListedDate(B931)</f>
        <v>2017-02-13</v>
      </c>
      <c r="O931" s="14" t="str">
        <f>[1]!b_issue_firstissue(B931)</f>
        <v>2017-02-08</v>
      </c>
      <c r="P931" s="4">
        <f t="shared" ca="1" si="47"/>
        <v>42989</v>
      </c>
    </row>
    <row r="932" spans="2:16">
      <c r="B932" s="7">
        <v>170004</v>
      </c>
      <c r="C932" s="7">
        <v>3.56</v>
      </c>
      <c r="D932" s="18" t="str">
        <f>[1]!b_info_name(B932)</f>
        <v>17附息国债04</v>
      </c>
      <c r="E932" s="19">
        <f>[1]!b_info_latestissurercreditrating(B932)</f>
        <v>0</v>
      </c>
      <c r="F932" s="20">
        <f ca="1">[1]!b_anal_day(B932,$A$5)/365</f>
        <v>9.4219178082191775</v>
      </c>
      <c r="G932" s="21">
        <f ca="1">[1]!b_anal_yield_cnbd(B932,$A$5)</f>
        <v>0</v>
      </c>
      <c r="H932" s="21">
        <f t="shared" ref="H932:H943" ca="1" si="48">(IF(C932&lt;0.1,C932*100,C932)-G932)*100</f>
        <v>356</v>
      </c>
      <c r="I932" s="21">
        <f ca="1">[1]!b_anal_yield_cnbd(B932,$A$7)</f>
        <v>0</v>
      </c>
      <c r="J932" s="21">
        <f t="shared" ref="J932:J943" ca="1" si="49">(G932-I932)*100</f>
        <v>0</v>
      </c>
      <c r="K932" s="19">
        <f>[1]!s_info_Nature(B932)</f>
        <v>0</v>
      </c>
      <c r="L932" s="19" t="str">
        <f>[1]!b_info_windl1type(B932)</f>
        <v>国债</v>
      </c>
      <c r="M932" s="13">
        <f>[1]!b_info_couponrate(B932)</f>
        <v>3.4</v>
      </c>
      <c r="N932" s="14" t="str">
        <f>[1]!B_Info_ListedDate(B932)</f>
        <v>2017-02-13</v>
      </c>
      <c r="O932" s="14" t="str">
        <f>[1]!b_issue_firstissue(B932)</f>
        <v>2017-02-08</v>
      </c>
      <c r="P932" s="4">
        <f t="shared" ref="P932:P943" ca="1" si="50">$A$2</f>
        <v>42989</v>
      </c>
    </row>
    <row r="933" spans="2:16">
      <c r="B933" s="7">
        <v>170004</v>
      </c>
      <c r="C933" s="7">
        <v>3.5575000000000001</v>
      </c>
      <c r="D933" s="18" t="str">
        <f>[1]!b_info_name(B933)</f>
        <v>17附息国债04</v>
      </c>
      <c r="E933" s="19">
        <f>[1]!b_info_latestissurercreditrating(B933)</f>
        <v>0</v>
      </c>
      <c r="F933" s="20">
        <f ca="1">[1]!b_anal_day(B933,$A$5)/365</f>
        <v>9.4219178082191775</v>
      </c>
      <c r="G933" s="21">
        <f ca="1">[1]!b_anal_yield_cnbd(B933,$A$5)</f>
        <v>0</v>
      </c>
      <c r="H933" s="21">
        <f t="shared" ca="1" si="48"/>
        <v>355.75</v>
      </c>
      <c r="I933" s="21">
        <f ca="1">[1]!b_anal_yield_cnbd(B933,$A$7)</f>
        <v>0</v>
      </c>
      <c r="J933" s="21">
        <f t="shared" ca="1" si="49"/>
        <v>0</v>
      </c>
      <c r="K933" s="19">
        <f>[1]!s_info_Nature(B933)</f>
        <v>0</v>
      </c>
      <c r="L933" s="19" t="str">
        <f>[1]!b_info_windl1type(B933)</f>
        <v>国债</v>
      </c>
      <c r="M933" s="13">
        <f>[1]!b_info_couponrate(B933)</f>
        <v>3.4</v>
      </c>
      <c r="N933" s="14" t="str">
        <f>[1]!B_Info_ListedDate(B933)</f>
        <v>2017-02-13</v>
      </c>
      <c r="O933" s="14" t="str">
        <f>[1]!b_issue_firstissue(B933)</f>
        <v>2017-02-08</v>
      </c>
      <c r="P933" s="4">
        <f t="shared" ca="1" si="50"/>
        <v>42989</v>
      </c>
    </row>
    <row r="934" spans="2:16">
      <c r="B934" s="7">
        <v>170004</v>
      </c>
      <c r="C934" s="7">
        <v>3.5575000000000001</v>
      </c>
      <c r="D934" s="18" t="str">
        <f>[1]!b_info_name(B934)</f>
        <v>17附息国债04</v>
      </c>
      <c r="E934" s="19">
        <f>[1]!b_info_latestissurercreditrating(B934)</f>
        <v>0</v>
      </c>
      <c r="F934" s="20">
        <f ca="1">[1]!b_anal_day(B934,$A$5)/365</f>
        <v>9.4219178082191775</v>
      </c>
      <c r="G934" s="21">
        <f ca="1">[1]!b_anal_yield_cnbd(B934,$A$5)</f>
        <v>0</v>
      </c>
      <c r="H934" s="21">
        <f t="shared" ca="1" si="48"/>
        <v>355.75</v>
      </c>
      <c r="I934" s="21">
        <f ca="1">[1]!b_anal_yield_cnbd(B934,$A$7)</f>
        <v>0</v>
      </c>
      <c r="J934" s="21">
        <f t="shared" ca="1" si="49"/>
        <v>0</v>
      </c>
      <c r="K934" s="19">
        <f>[1]!s_info_Nature(B934)</f>
        <v>0</v>
      </c>
      <c r="L934" s="19" t="str">
        <f>[1]!b_info_windl1type(B934)</f>
        <v>国债</v>
      </c>
      <c r="M934" s="13">
        <f>[1]!b_info_couponrate(B934)</f>
        <v>3.4</v>
      </c>
      <c r="N934" s="14" t="str">
        <f>[1]!B_Info_ListedDate(B934)</f>
        <v>2017-02-13</v>
      </c>
      <c r="O934" s="14" t="str">
        <f>[1]!b_issue_firstissue(B934)</f>
        <v>2017-02-08</v>
      </c>
      <c r="P934" s="4">
        <f t="shared" ca="1" si="50"/>
        <v>42989</v>
      </c>
    </row>
    <row r="935" spans="2:16">
      <c r="B935" s="7">
        <v>170004</v>
      </c>
      <c r="C935" s="7">
        <v>3.5575000000000001</v>
      </c>
      <c r="D935" s="18" t="str">
        <f>[1]!b_info_name(B935)</f>
        <v>17附息国债04</v>
      </c>
      <c r="E935" s="19">
        <f>[1]!b_info_latestissurercreditrating(B935)</f>
        <v>0</v>
      </c>
      <c r="F935" s="20">
        <f ca="1">[1]!b_anal_day(B935,$A$5)/365</f>
        <v>9.4219178082191775</v>
      </c>
      <c r="G935" s="21">
        <f ca="1">[1]!b_anal_yield_cnbd(B935,$A$5)</f>
        <v>0</v>
      </c>
      <c r="H935" s="21">
        <f t="shared" ca="1" si="48"/>
        <v>355.75</v>
      </c>
      <c r="I935" s="21">
        <f ca="1">[1]!b_anal_yield_cnbd(B935,$A$7)</f>
        <v>0</v>
      </c>
      <c r="J935" s="21">
        <f t="shared" ca="1" si="49"/>
        <v>0</v>
      </c>
      <c r="K935" s="19">
        <f>[1]!s_info_Nature(B935)</f>
        <v>0</v>
      </c>
      <c r="L935" s="19" t="str">
        <f>[1]!b_info_windl1type(B935)</f>
        <v>国债</v>
      </c>
      <c r="M935" s="13">
        <f>[1]!b_info_couponrate(B935)</f>
        <v>3.4</v>
      </c>
      <c r="N935" s="14" t="str">
        <f>[1]!B_Info_ListedDate(B935)</f>
        <v>2017-02-13</v>
      </c>
      <c r="O935" s="14" t="str">
        <f>[1]!b_issue_firstissue(B935)</f>
        <v>2017-02-08</v>
      </c>
      <c r="P935" s="4">
        <f t="shared" ca="1" si="50"/>
        <v>42989</v>
      </c>
    </row>
    <row r="936" spans="2:16">
      <c r="B936" s="7">
        <v>170004</v>
      </c>
      <c r="C936" s="7">
        <v>3.5550000000000002</v>
      </c>
      <c r="D936" s="18" t="str">
        <f>[1]!b_info_name(B936)</f>
        <v>17附息国债04</v>
      </c>
      <c r="E936" s="19">
        <f>[1]!b_info_latestissurercreditrating(B936)</f>
        <v>0</v>
      </c>
      <c r="F936" s="20">
        <f ca="1">[1]!b_anal_day(B936,$A$5)/365</f>
        <v>9.4219178082191775</v>
      </c>
      <c r="G936" s="21">
        <f ca="1">[1]!b_anal_yield_cnbd(B936,$A$5)</f>
        <v>0</v>
      </c>
      <c r="H936" s="21">
        <f t="shared" ca="1" si="48"/>
        <v>355.5</v>
      </c>
      <c r="I936" s="21">
        <f ca="1">[1]!b_anal_yield_cnbd(B936,$A$7)</f>
        <v>0</v>
      </c>
      <c r="J936" s="21">
        <f t="shared" ca="1" si="49"/>
        <v>0</v>
      </c>
      <c r="K936" s="19">
        <f>[1]!s_info_Nature(B936)</f>
        <v>0</v>
      </c>
      <c r="L936" s="19" t="str">
        <f>[1]!b_info_windl1type(B936)</f>
        <v>国债</v>
      </c>
      <c r="M936" s="13">
        <f>[1]!b_info_couponrate(B936)</f>
        <v>3.4</v>
      </c>
      <c r="N936" s="14" t="str">
        <f>[1]!B_Info_ListedDate(B936)</f>
        <v>2017-02-13</v>
      </c>
      <c r="O936" s="14" t="str">
        <f>[1]!b_issue_firstissue(B936)</f>
        <v>2017-02-08</v>
      </c>
      <c r="P936" s="4">
        <f t="shared" ca="1" si="50"/>
        <v>42989</v>
      </c>
    </row>
    <row r="937" spans="2:16">
      <c r="B937" s="7">
        <v>170004</v>
      </c>
      <c r="C937" s="7">
        <v>3.5550000000000002</v>
      </c>
      <c r="D937" s="18" t="str">
        <f>[1]!b_info_name(B937)</f>
        <v>17附息国债04</v>
      </c>
      <c r="E937" s="19">
        <f>[1]!b_info_latestissurercreditrating(B937)</f>
        <v>0</v>
      </c>
      <c r="F937" s="20">
        <f ca="1">[1]!b_anal_day(B937,$A$5)/365</f>
        <v>9.4219178082191775</v>
      </c>
      <c r="G937" s="21">
        <f ca="1">[1]!b_anal_yield_cnbd(B937,$A$5)</f>
        <v>0</v>
      </c>
      <c r="H937" s="21">
        <f t="shared" ca="1" si="48"/>
        <v>355.5</v>
      </c>
      <c r="I937" s="21">
        <f ca="1">[1]!b_anal_yield_cnbd(B937,$A$7)</f>
        <v>0</v>
      </c>
      <c r="J937" s="21">
        <f t="shared" ca="1" si="49"/>
        <v>0</v>
      </c>
      <c r="K937" s="19">
        <f>[1]!s_info_Nature(B937)</f>
        <v>0</v>
      </c>
      <c r="L937" s="19" t="str">
        <f>[1]!b_info_windl1type(B937)</f>
        <v>国债</v>
      </c>
      <c r="M937" s="13">
        <f>[1]!b_info_couponrate(B937)</f>
        <v>3.4</v>
      </c>
      <c r="N937" s="14" t="str">
        <f>[1]!B_Info_ListedDate(B937)</f>
        <v>2017-02-13</v>
      </c>
      <c r="O937" s="14" t="str">
        <f>[1]!b_issue_firstissue(B937)</f>
        <v>2017-02-08</v>
      </c>
      <c r="P937" s="4">
        <f t="shared" ca="1" si="50"/>
        <v>42989</v>
      </c>
    </row>
    <row r="938" spans="2:16">
      <c r="B938" s="7">
        <v>170004</v>
      </c>
      <c r="C938" s="7">
        <v>3.5550000000000002</v>
      </c>
      <c r="D938" s="18" t="str">
        <f>[1]!b_info_name(B938)</f>
        <v>17附息国债04</v>
      </c>
      <c r="E938" s="19">
        <f>[1]!b_info_latestissurercreditrating(B938)</f>
        <v>0</v>
      </c>
      <c r="F938" s="20">
        <f ca="1">[1]!b_anal_day(B938,$A$5)/365</f>
        <v>9.4219178082191775</v>
      </c>
      <c r="G938" s="21">
        <f ca="1">[1]!b_anal_yield_cnbd(B938,$A$5)</f>
        <v>0</v>
      </c>
      <c r="H938" s="21">
        <f t="shared" ca="1" si="48"/>
        <v>355.5</v>
      </c>
      <c r="I938" s="21">
        <f ca="1">[1]!b_anal_yield_cnbd(B938,$A$7)</f>
        <v>0</v>
      </c>
      <c r="J938" s="21">
        <f t="shared" ca="1" si="49"/>
        <v>0</v>
      </c>
      <c r="K938" s="19">
        <f>[1]!s_info_Nature(B938)</f>
        <v>0</v>
      </c>
      <c r="L938" s="19" t="str">
        <f>[1]!b_info_windl1type(B938)</f>
        <v>国债</v>
      </c>
      <c r="M938" s="13">
        <f>[1]!b_info_couponrate(B938)</f>
        <v>3.4</v>
      </c>
      <c r="N938" s="14" t="str">
        <f>[1]!B_Info_ListedDate(B938)</f>
        <v>2017-02-13</v>
      </c>
      <c r="O938" s="14" t="str">
        <f>[1]!b_issue_firstissue(B938)</f>
        <v>2017-02-08</v>
      </c>
      <c r="P938" s="4">
        <f t="shared" ca="1" si="50"/>
        <v>42989</v>
      </c>
    </row>
    <row r="939" spans="2:16">
      <c r="B939" s="7">
        <v>170004</v>
      </c>
      <c r="C939" s="7">
        <v>3.5550000000000002</v>
      </c>
      <c r="D939" s="18" t="str">
        <f>[1]!b_info_name(B939)</f>
        <v>17附息国债04</v>
      </c>
      <c r="E939" s="19">
        <f>[1]!b_info_latestissurercreditrating(B939)</f>
        <v>0</v>
      </c>
      <c r="F939" s="20">
        <f ca="1">[1]!b_anal_day(B939,$A$5)/365</f>
        <v>9.4219178082191775</v>
      </c>
      <c r="G939" s="21">
        <f ca="1">[1]!b_anal_yield_cnbd(B939,$A$5)</f>
        <v>0</v>
      </c>
      <c r="H939" s="21">
        <f t="shared" ca="1" si="48"/>
        <v>355.5</v>
      </c>
      <c r="I939" s="21">
        <f ca="1">[1]!b_anal_yield_cnbd(B939,$A$7)</f>
        <v>0</v>
      </c>
      <c r="J939" s="21">
        <f t="shared" ca="1" si="49"/>
        <v>0</v>
      </c>
      <c r="K939" s="19">
        <f>[1]!s_info_Nature(B939)</f>
        <v>0</v>
      </c>
      <c r="L939" s="19" t="str">
        <f>[1]!b_info_windl1type(B939)</f>
        <v>国债</v>
      </c>
      <c r="M939" s="13">
        <f>[1]!b_info_couponrate(B939)</f>
        <v>3.4</v>
      </c>
      <c r="N939" s="14" t="str">
        <f>[1]!B_Info_ListedDate(B939)</f>
        <v>2017-02-13</v>
      </c>
      <c r="O939" s="14" t="str">
        <f>[1]!b_issue_firstissue(B939)</f>
        <v>2017-02-08</v>
      </c>
      <c r="P939" s="4">
        <f t="shared" ca="1" si="50"/>
        <v>42989</v>
      </c>
    </row>
    <row r="940" spans="2:16">
      <c r="B940" s="7">
        <v>170004</v>
      </c>
      <c r="C940" s="7">
        <v>3.5550000000000002</v>
      </c>
      <c r="D940" s="18" t="str">
        <f>[1]!b_info_name(B940)</f>
        <v>17附息国债04</v>
      </c>
      <c r="E940" s="19">
        <f>[1]!b_info_latestissurercreditrating(B940)</f>
        <v>0</v>
      </c>
      <c r="F940" s="20">
        <f ca="1">[1]!b_anal_day(B940,$A$5)/365</f>
        <v>9.4219178082191775</v>
      </c>
      <c r="G940" s="21">
        <f ca="1">[1]!b_anal_yield_cnbd(B940,$A$5)</f>
        <v>0</v>
      </c>
      <c r="H940" s="21">
        <f t="shared" ca="1" si="48"/>
        <v>355.5</v>
      </c>
      <c r="I940" s="21">
        <f ca="1">[1]!b_anal_yield_cnbd(B940,$A$7)</f>
        <v>0</v>
      </c>
      <c r="J940" s="21">
        <f t="shared" ca="1" si="49"/>
        <v>0</v>
      </c>
      <c r="K940" s="19">
        <f>[1]!s_info_Nature(B940)</f>
        <v>0</v>
      </c>
      <c r="L940" s="19" t="str">
        <f>[1]!b_info_windl1type(B940)</f>
        <v>国债</v>
      </c>
      <c r="M940" s="13">
        <f>[1]!b_info_couponrate(B940)</f>
        <v>3.4</v>
      </c>
      <c r="N940" s="14" t="str">
        <f>[1]!B_Info_ListedDate(B940)</f>
        <v>2017-02-13</v>
      </c>
      <c r="O940" s="14" t="str">
        <f>[1]!b_issue_firstissue(B940)</f>
        <v>2017-02-08</v>
      </c>
      <c r="P940" s="4">
        <f t="shared" ca="1" si="50"/>
        <v>42989</v>
      </c>
    </row>
    <row r="941" spans="2:16">
      <c r="B941" s="7">
        <v>170004</v>
      </c>
      <c r="C941" s="7">
        <v>3.5550000000000002</v>
      </c>
      <c r="D941" s="18" t="str">
        <f>[1]!b_info_name(B941)</f>
        <v>17附息国债04</v>
      </c>
      <c r="E941" s="19">
        <f>[1]!b_info_latestissurercreditrating(B941)</f>
        <v>0</v>
      </c>
      <c r="F941" s="20">
        <f ca="1">[1]!b_anal_day(B941,$A$5)/365</f>
        <v>9.4219178082191775</v>
      </c>
      <c r="G941" s="21">
        <f ca="1">[1]!b_anal_yield_cnbd(B941,$A$5)</f>
        <v>0</v>
      </c>
      <c r="H941" s="21">
        <f t="shared" ca="1" si="48"/>
        <v>355.5</v>
      </c>
      <c r="I941" s="21">
        <f ca="1">[1]!b_anal_yield_cnbd(B941,$A$7)</f>
        <v>0</v>
      </c>
      <c r="J941" s="21">
        <f t="shared" ca="1" si="49"/>
        <v>0</v>
      </c>
      <c r="K941" s="19">
        <f>[1]!s_info_Nature(B941)</f>
        <v>0</v>
      </c>
      <c r="L941" s="19" t="str">
        <f>[1]!b_info_windl1type(B941)</f>
        <v>国债</v>
      </c>
      <c r="M941" s="13">
        <f>[1]!b_info_couponrate(B941)</f>
        <v>3.4</v>
      </c>
      <c r="N941" s="14" t="str">
        <f>[1]!B_Info_ListedDate(B941)</f>
        <v>2017-02-13</v>
      </c>
      <c r="O941" s="14" t="str">
        <f>[1]!b_issue_firstissue(B941)</f>
        <v>2017-02-08</v>
      </c>
      <c r="P941" s="4">
        <f t="shared" ca="1" si="50"/>
        <v>42989</v>
      </c>
    </row>
    <row r="942" spans="2:16">
      <c r="B942" s="7">
        <v>170004</v>
      </c>
      <c r="C942" s="7">
        <v>3.5550000000000002</v>
      </c>
      <c r="D942" s="18" t="str">
        <f>[1]!b_info_name(B942)</f>
        <v>17附息国债04</v>
      </c>
      <c r="E942" s="19">
        <f>[1]!b_info_latestissurercreditrating(B942)</f>
        <v>0</v>
      </c>
      <c r="F942" s="20">
        <f ca="1">[1]!b_anal_day(B942,$A$5)/365</f>
        <v>9.4219178082191775</v>
      </c>
      <c r="G942" s="21">
        <f ca="1">[1]!b_anal_yield_cnbd(B942,$A$5)</f>
        <v>0</v>
      </c>
      <c r="H942" s="21">
        <f t="shared" ca="1" si="48"/>
        <v>355.5</v>
      </c>
      <c r="I942" s="21">
        <f ca="1">[1]!b_anal_yield_cnbd(B942,$A$7)</f>
        <v>0</v>
      </c>
      <c r="J942" s="21">
        <f t="shared" ca="1" si="49"/>
        <v>0</v>
      </c>
      <c r="K942" s="19">
        <f>[1]!s_info_Nature(B942)</f>
        <v>0</v>
      </c>
      <c r="L942" s="19" t="str">
        <f>[1]!b_info_windl1type(B942)</f>
        <v>国债</v>
      </c>
      <c r="M942" s="13">
        <f>[1]!b_info_couponrate(B942)</f>
        <v>3.4</v>
      </c>
      <c r="N942" s="14" t="str">
        <f>[1]!B_Info_ListedDate(B942)</f>
        <v>2017-02-13</v>
      </c>
      <c r="O942" s="14" t="str">
        <f>[1]!b_issue_firstissue(B942)</f>
        <v>2017-02-08</v>
      </c>
      <c r="P942" s="4">
        <f t="shared" ca="1" si="50"/>
        <v>42989</v>
      </c>
    </row>
    <row r="943" spans="2:16">
      <c r="B943" s="7">
        <v>170004</v>
      </c>
      <c r="C943" s="7">
        <v>3.5550000000000002</v>
      </c>
      <c r="D943" s="18" t="str">
        <f>[1]!b_info_name(B943)</f>
        <v>17附息国债04</v>
      </c>
      <c r="E943" s="19">
        <f>[1]!b_info_latestissurercreditrating(B943)</f>
        <v>0</v>
      </c>
      <c r="F943" s="20">
        <f ca="1">[1]!b_anal_day(B943,$A$5)/365</f>
        <v>9.4219178082191775</v>
      </c>
      <c r="G943" s="21">
        <f ca="1">[1]!b_anal_yield_cnbd(B943,$A$5)</f>
        <v>0</v>
      </c>
      <c r="H943" s="21">
        <f t="shared" ca="1" si="48"/>
        <v>355.5</v>
      </c>
      <c r="I943" s="21">
        <f ca="1">[1]!b_anal_yield_cnbd(B943,$A$7)</f>
        <v>0</v>
      </c>
      <c r="J943" s="21">
        <f t="shared" ca="1" si="49"/>
        <v>0</v>
      </c>
      <c r="K943" s="19">
        <f>[1]!s_info_Nature(B943)</f>
        <v>0</v>
      </c>
      <c r="L943" s="19" t="str">
        <f>[1]!b_info_windl1type(B943)</f>
        <v>国债</v>
      </c>
      <c r="M943" s="13">
        <f>[1]!b_info_couponrate(B943)</f>
        <v>3.4</v>
      </c>
      <c r="N943" s="14" t="str">
        <f>[1]!B_Info_ListedDate(B943)</f>
        <v>2017-02-13</v>
      </c>
      <c r="O943" s="14" t="str">
        <f>[1]!b_issue_firstissue(B943)</f>
        <v>2017-02-08</v>
      </c>
      <c r="P943" s="4">
        <f t="shared" ca="1" si="50"/>
        <v>42989</v>
      </c>
    </row>
    <row r="944" spans="2:16">
      <c r="B944" s="7">
        <v>170004</v>
      </c>
      <c r="C944" s="7">
        <v>3.5550000000000002</v>
      </c>
      <c r="D944" s="18" t="str">
        <f>[1]!b_info_name(B944)</f>
        <v>17附息国债04</v>
      </c>
      <c r="E944" s="19">
        <f>[1]!b_info_latestissurercreditrating(B944)</f>
        <v>0</v>
      </c>
      <c r="F944" s="20">
        <f ca="1">[1]!b_anal_day(B944,$A$5)/365</f>
        <v>9.4219178082191775</v>
      </c>
      <c r="G944" s="21">
        <f ca="1">[1]!b_anal_yield_cnbd(B944,$A$5)</f>
        <v>0</v>
      </c>
      <c r="H944" s="21">
        <f t="shared" ref="H944:H1007" ca="1" si="51">(IF(C944&lt;0.1,C944*100,C944)-G944)*100</f>
        <v>355.5</v>
      </c>
      <c r="I944" s="21">
        <f ca="1">[1]!b_anal_yield_cnbd(B944,$A$7)</f>
        <v>0</v>
      </c>
      <c r="J944" s="21">
        <f t="shared" ref="J944:J1007" ca="1" si="52">(G944-I944)*100</f>
        <v>0</v>
      </c>
      <c r="K944" s="19">
        <f>[1]!s_info_Nature(B944)</f>
        <v>0</v>
      </c>
      <c r="L944" s="19" t="str">
        <f>[1]!b_info_windl1type(B944)</f>
        <v>国债</v>
      </c>
      <c r="M944" s="13">
        <f>[1]!b_info_couponrate(B944)</f>
        <v>3.4</v>
      </c>
      <c r="N944" s="14" t="str">
        <f>[1]!B_Info_ListedDate(B944)</f>
        <v>2017-02-13</v>
      </c>
      <c r="O944" s="14" t="str">
        <f>[1]!b_issue_firstissue(B944)</f>
        <v>2017-02-08</v>
      </c>
      <c r="P944" s="4">
        <f t="shared" ref="P944:P1007" ca="1" si="53">$A$2</f>
        <v>42989</v>
      </c>
    </row>
    <row r="945" spans="2:16">
      <c r="B945" s="7">
        <v>170004</v>
      </c>
      <c r="C945" s="7">
        <v>3.5550000000000002</v>
      </c>
      <c r="D945" s="18" t="str">
        <f>[1]!b_info_name(B945)</f>
        <v>17附息国债04</v>
      </c>
      <c r="E945" s="19">
        <f>[1]!b_info_latestissurercreditrating(B945)</f>
        <v>0</v>
      </c>
      <c r="F945" s="20">
        <f ca="1">[1]!b_anal_day(B945,$A$5)/365</f>
        <v>9.4219178082191775</v>
      </c>
      <c r="G945" s="21">
        <f ca="1">[1]!b_anal_yield_cnbd(B945,$A$5)</f>
        <v>0</v>
      </c>
      <c r="H945" s="21">
        <f t="shared" ca="1" si="51"/>
        <v>355.5</v>
      </c>
      <c r="I945" s="21">
        <f ca="1">[1]!b_anal_yield_cnbd(B945,$A$7)</f>
        <v>0</v>
      </c>
      <c r="J945" s="21">
        <f t="shared" ca="1" si="52"/>
        <v>0</v>
      </c>
      <c r="K945" s="19">
        <f>[1]!s_info_Nature(B945)</f>
        <v>0</v>
      </c>
      <c r="L945" s="19" t="str">
        <f>[1]!b_info_windl1type(B945)</f>
        <v>国债</v>
      </c>
      <c r="M945" s="13">
        <f>[1]!b_info_couponrate(B945)</f>
        <v>3.4</v>
      </c>
      <c r="N945" s="14" t="str">
        <f>[1]!B_Info_ListedDate(B945)</f>
        <v>2017-02-13</v>
      </c>
      <c r="O945" s="14" t="str">
        <f>[1]!b_issue_firstissue(B945)</f>
        <v>2017-02-08</v>
      </c>
      <c r="P945" s="4">
        <f t="shared" ca="1" si="53"/>
        <v>42989</v>
      </c>
    </row>
    <row r="946" spans="2:16">
      <c r="B946" s="7">
        <v>170004</v>
      </c>
      <c r="C946" s="7">
        <v>3.5550000000000002</v>
      </c>
      <c r="D946" s="18" t="str">
        <f>[1]!b_info_name(B946)</f>
        <v>17附息国债04</v>
      </c>
      <c r="E946" s="19">
        <f>[1]!b_info_latestissurercreditrating(B946)</f>
        <v>0</v>
      </c>
      <c r="F946" s="20">
        <f ca="1">[1]!b_anal_day(B946,$A$5)/365</f>
        <v>9.4219178082191775</v>
      </c>
      <c r="G946" s="21">
        <f ca="1">[1]!b_anal_yield_cnbd(B946,$A$5)</f>
        <v>0</v>
      </c>
      <c r="H946" s="21">
        <f t="shared" ca="1" si="51"/>
        <v>355.5</v>
      </c>
      <c r="I946" s="21">
        <f ca="1">[1]!b_anal_yield_cnbd(B946,$A$7)</f>
        <v>0</v>
      </c>
      <c r="J946" s="21">
        <f t="shared" ca="1" si="52"/>
        <v>0</v>
      </c>
      <c r="K946" s="19">
        <f>[1]!s_info_Nature(B946)</f>
        <v>0</v>
      </c>
      <c r="L946" s="19" t="str">
        <f>[1]!b_info_windl1type(B946)</f>
        <v>国债</v>
      </c>
      <c r="M946" s="13">
        <f>[1]!b_info_couponrate(B946)</f>
        <v>3.4</v>
      </c>
      <c r="N946" s="14" t="str">
        <f>[1]!B_Info_ListedDate(B946)</f>
        <v>2017-02-13</v>
      </c>
      <c r="O946" s="14" t="str">
        <f>[1]!b_issue_firstissue(B946)</f>
        <v>2017-02-08</v>
      </c>
      <c r="P946" s="4">
        <f t="shared" ca="1" si="53"/>
        <v>42989</v>
      </c>
    </row>
    <row r="947" spans="2:16">
      <c r="B947" s="7">
        <v>170004</v>
      </c>
      <c r="C947" s="7">
        <v>3.5550000000000002</v>
      </c>
      <c r="D947" s="18" t="str">
        <f>[1]!b_info_name(B947)</f>
        <v>17附息国债04</v>
      </c>
      <c r="E947" s="19">
        <f>[1]!b_info_latestissurercreditrating(B947)</f>
        <v>0</v>
      </c>
      <c r="F947" s="20">
        <f ca="1">[1]!b_anal_day(B947,$A$5)/365</f>
        <v>9.4219178082191775</v>
      </c>
      <c r="G947" s="21">
        <f ca="1">[1]!b_anal_yield_cnbd(B947,$A$5)</f>
        <v>0</v>
      </c>
      <c r="H947" s="21">
        <f t="shared" ca="1" si="51"/>
        <v>355.5</v>
      </c>
      <c r="I947" s="21">
        <f ca="1">[1]!b_anal_yield_cnbd(B947,$A$7)</f>
        <v>0</v>
      </c>
      <c r="J947" s="21">
        <f t="shared" ca="1" si="52"/>
        <v>0</v>
      </c>
      <c r="K947" s="19">
        <f>[1]!s_info_Nature(B947)</f>
        <v>0</v>
      </c>
      <c r="L947" s="19" t="str">
        <f>[1]!b_info_windl1type(B947)</f>
        <v>国债</v>
      </c>
      <c r="M947" s="13">
        <f>[1]!b_info_couponrate(B947)</f>
        <v>3.4</v>
      </c>
      <c r="N947" s="14" t="str">
        <f>[1]!B_Info_ListedDate(B947)</f>
        <v>2017-02-13</v>
      </c>
      <c r="O947" s="14" t="str">
        <f>[1]!b_issue_firstissue(B947)</f>
        <v>2017-02-08</v>
      </c>
      <c r="P947" s="4">
        <f t="shared" ca="1" si="53"/>
        <v>42989</v>
      </c>
    </row>
    <row r="948" spans="2:16">
      <c r="B948" s="7">
        <v>170004</v>
      </c>
      <c r="C948" s="7">
        <v>3.5550000000000002</v>
      </c>
      <c r="D948" s="18" t="str">
        <f>[1]!b_info_name(B948)</f>
        <v>17附息国债04</v>
      </c>
      <c r="E948" s="19">
        <f>[1]!b_info_latestissurercreditrating(B948)</f>
        <v>0</v>
      </c>
      <c r="F948" s="20">
        <f ca="1">[1]!b_anal_day(B948,$A$5)/365</f>
        <v>9.4219178082191775</v>
      </c>
      <c r="G948" s="21">
        <f ca="1">[1]!b_anal_yield_cnbd(B948,$A$5)</f>
        <v>0</v>
      </c>
      <c r="H948" s="21">
        <f t="shared" ca="1" si="51"/>
        <v>355.5</v>
      </c>
      <c r="I948" s="21">
        <f ca="1">[1]!b_anal_yield_cnbd(B948,$A$7)</f>
        <v>0</v>
      </c>
      <c r="J948" s="21">
        <f t="shared" ca="1" si="52"/>
        <v>0</v>
      </c>
      <c r="K948" s="19">
        <f>[1]!s_info_Nature(B948)</f>
        <v>0</v>
      </c>
      <c r="L948" s="19" t="str">
        <f>[1]!b_info_windl1type(B948)</f>
        <v>国债</v>
      </c>
      <c r="M948" s="13">
        <f>[1]!b_info_couponrate(B948)</f>
        <v>3.4</v>
      </c>
      <c r="N948" s="14" t="str">
        <f>[1]!B_Info_ListedDate(B948)</f>
        <v>2017-02-13</v>
      </c>
      <c r="O948" s="14" t="str">
        <f>[1]!b_issue_firstissue(B948)</f>
        <v>2017-02-08</v>
      </c>
      <c r="P948" s="4">
        <f t="shared" ca="1" si="53"/>
        <v>42989</v>
      </c>
    </row>
    <row r="949" spans="2:16">
      <c r="B949" s="7">
        <v>170004</v>
      </c>
      <c r="C949" s="7">
        <v>3.5550000000000002</v>
      </c>
      <c r="D949" s="18" t="str">
        <f>[1]!b_info_name(B949)</f>
        <v>17附息国债04</v>
      </c>
      <c r="E949" s="19">
        <f>[1]!b_info_latestissurercreditrating(B949)</f>
        <v>0</v>
      </c>
      <c r="F949" s="20">
        <f ca="1">[1]!b_anal_day(B949,$A$5)/365</f>
        <v>9.4219178082191775</v>
      </c>
      <c r="G949" s="21">
        <f ca="1">[1]!b_anal_yield_cnbd(B949,$A$5)</f>
        <v>0</v>
      </c>
      <c r="H949" s="21">
        <f t="shared" ca="1" si="51"/>
        <v>355.5</v>
      </c>
      <c r="I949" s="21">
        <f ca="1">[1]!b_anal_yield_cnbd(B949,$A$7)</f>
        <v>0</v>
      </c>
      <c r="J949" s="21">
        <f t="shared" ca="1" si="52"/>
        <v>0</v>
      </c>
      <c r="K949" s="19">
        <f>[1]!s_info_Nature(B949)</f>
        <v>0</v>
      </c>
      <c r="L949" s="19" t="str">
        <f>[1]!b_info_windl1type(B949)</f>
        <v>国债</v>
      </c>
      <c r="M949" s="13">
        <f>[1]!b_info_couponrate(B949)</f>
        <v>3.4</v>
      </c>
      <c r="N949" s="14" t="str">
        <f>[1]!B_Info_ListedDate(B949)</f>
        <v>2017-02-13</v>
      </c>
      <c r="O949" s="14" t="str">
        <f>[1]!b_issue_firstissue(B949)</f>
        <v>2017-02-08</v>
      </c>
      <c r="P949" s="4">
        <f t="shared" ca="1" si="53"/>
        <v>42989</v>
      </c>
    </row>
    <row r="950" spans="2:16">
      <c r="B950" s="7">
        <v>170004</v>
      </c>
      <c r="C950" s="7">
        <v>3.5550000000000002</v>
      </c>
      <c r="D950" s="18" t="str">
        <f>[1]!b_info_name(B950)</f>
        <v>17附息国债04</v>
      </c>
      <c r="E950" s="19">
        <f>[1]!b_info_latestissurercreditrating(B950)</f>
        <v>0</v>
      </c>
      <c r="F950" s="20">
        <f ca="1">[1]!b_anal_day(B950,$A$5)/365</f>
        <v>9.4219178082191775</v>
      </c>
      <c r="G950" s="21">
        <f ca="1">[1]!b_anal_yield_cnbd(B950,$A$5)</f>
        <v>0</v>
      </c>
      <c r="H950" s="21">
        <f t="shared" ca="1" si="51"/>
        <v>355.5</v>
      </c>
      <c r="I950" s="21">
        <f ca="1">[1]!b_anal_yield_cnbd(B950,$A$7)</f>
        <v>0</v>
      </c>
      <c r="J950" s="21">
        <f t="shared" ca="1" si="52"/>
        <v>0</v>
      </c>
      <c r="K950" s="19">
        <f>[1]!s_info_Nature(B950)</f>
        <v>0</v>
      </c>
      <c r="L950" s="19" t="str">
        <f>[1]!b_info_windl1type(B950)</f>
        <v>国债</v>
      </c>
      <c r="M950" s="13">
        <f>[1]!b_info_couponrate(B950)</f>
        <v>3.4</v>
      </c>
      <c r="N950" s="14" t="str">
        <f>[1]!B_Info_ListedDate(B950)</f>
        <v>2017-02-13</v>
      </c>
      <c r="O950" s="14" t="str">
        <f>[1]!b_issue_firstissue(B950)</f>
        <v>2017-02-08</v>
      </c>
      <c r="P950" s="4">
        <f t="shared" ca="1" si="53"/>
        <v>42989</v>
      </c>
    </row>
    <row r="951" spans="2:16">
      <c r="B951" s="7">
        <v>170004</v>
      </c>
      <c r="C951" s="7">
        <v>3.5525000000000002</v>
      </c>
      <c r="D951" s="18" t="str">
        <f>[1]!b_info_name(B951)</f>
        <v>17附息国债04</v>
      </c>
      <c r="E951" s="19">
        <f>[1]!b_info_latestissurercreditrating(B951)</f>
        <v>0</v>
      </c>
      <c r="F951" s="20">
        <f ca="1">[1]!b_anal_day(B951,$A$5)/365</f>
        <v>9.4219178082191775</v>
      </c>
      <c r="G951" s="21">
        <f ca="1">[1]!b_anal_yield_cnbd(B951,$A$5)</f>
        <v>0</v>
      </c>
      <c r="H951" s="21">
        <f t="shared" ca="1" si="51"/>
        <v>355.25</v>
      </c>
      <c r="I951" s="21">
        <f ca="1">[1]!b_anal_yield_cnbd(B951,$A$7)</f>
        <v>0</v>
      </c>
      <c r="J951" s="21">
        <f t="shared" ca="1" si="52"/>
        <v>0</v>
      </c>
      <c r="K951" s="19">
        <f>[1]!s_info_Nature(B951)</f>
        <v>0</v>
      </c>
      <c r="L951" s="19" t="str">
        <f>[1]!b_info_windl1type(B951)</f>
        <v>国债</v>
      </c>
      <c r="M951" s="13">
        <f>[1]!b_info_couponrate(B951)</f>
        <v>3.4</v>
      </c>
      <c r="N951" s="14" t="str">
        <f>[1]!B_Info_ListedDate(B951)</f>
        <v>2017-02-13</v>
      </c>
      <c r="O951" s="14" t="str">
        <f>[1]!b_issue_firstissue(B951)</f>
        <v>2017-02-08</v>
      </c>
      <c r="P951" s="4">
        <f t="shared" ca="1" si="53"/>
        <v>42989</v>
      </c>
    </row>
    <row r="952" spans="2:16">
      <c r="B952" s="7">
        <v>170004</v>
      </c>
      <c r="C952" s="7">
        <v>3.5525000000000002</v>
      </c>
      <c r="D952" s="18" t="str">
        <f>[1]!b_info_name(B952)</f>
        <v>17附息国债04</v>
      </c>
      <c r="E952" s="19">
        <f>[1]!b_info_latestissurercreditrating(B952)</f>
        <v>0</v>
      </c>
      <c r="F952" s="20">
        <f ca="1">[1]!b_anal_day(B952,$A$5)/365</f>
        <v>9.4219178082191775</v>
      </c>
      <c r="G952" s="21">
        <f ca="1">[1]!b_anal_yield_cnbd(B952,$A$5)</f>
        <v>0</v>
      </c>
      <c r="H952" s="21">
        <f t="shared" ca="1" si="51"/>
        <v>355.25</v>
      </c>
      <c r="I952" s="21">
        <f ca="1">[1]!b_anal_yield_cnbd(B952,$A$7)</f>
        <v>0</v>
      </c>
      <c r="J952" s="21">
        <f t="shared" ca="1" si="52"/>
        <v>0</v>
      </c>
      <c r="K952" s="19">
        <f>[1]!s_info_Nature(B952)</f>
        <v>0</v>
      </c>
      <c r="L952" s="19" t="str">
        <f>[1]!b_info_windl1type(B952)</f>
        <v>国债</v>
      </c>
      <c r="M952" s="13">
        <f>[1]!b_info_couponrate(B952)</f>
        <v>3.4</v>
      </c>
      <c r="N952" s="14" t="str">
        <f>[1]!B_Info_ListedDate(B952)</f>
        <v>2017-02-13</v>
      </c>
      <c r="O952" s="14" t="str">
        <f>[1]!b_issue_firstissue(B952)</f>
        <v>2017-02-08</v>
      </c>
      <c r="P952" s="4">
        <f t="shared" ca="1" si="53"/>
        <v>42989</v>
      </c>
    </row>
    <row r="953" spans="2:16">
      <c r="B953" s="7">
        <v>170004</v>
      </c>
      <c r="C953" s="7">
        <v>3.5525000000000002</v>
      </c>
      <c r="D953" s="18" t="str">
        <f>[1]!b_info_name(B953)</f>
        <v>17附息国债04</v>
      </c>
      <c r="E953" s="19">
        <f>[1]!b_info_latestissurercreditrating(B953)</f>
        <v>0</v>
      </c>
      <c r="F953" s="20">
        <f ca="1">[1]!b_anal_day(B953,$A$5)/365</f>
        <v>9.4219178082191775</v>
      </c>
      <c r="G953" s="21">
        <f ca="1">[1]!b_anal_yield_cnbd(B953,$A$5)</f>
        <v>0</v>
      </c>
      <c r="H953" s="21">
        <f t="shared" ca="1" si="51"/>
        <v>355.25</v>
      </c>
      <c r="I953" s="21">
        <f ca="1">[1]!b_anal_yield_cnbd(B953,$A$7)</f>
        <v>0</v>
      </c>
      <c r="J953" s="21">
        <f t="shared" ca="1" si="52"/>
        <v>0</v>
      </c>
      <c r="K953" s="19">
        <f>[1]!s_info_Nature(B953)</f>
        <v>0</v>
      </c>
      <c r="L953" s="19" t="str">
        <f>[1]!b_info_windl1type(B953)</f>
        <v>国债</v>
      </c>
      <c r="M953" s="13">
        <f>[1]!b_info_couponrate(B953)</f>
        <v>3.4</v>
      </c>
      <c r="N953" s="14" t="str">
        <f>[1]!B_Info_ListedDate(B953)</f>
        <v>2017-02-13</v>
      </c>
      <c r="O953" s="14" t="str">
        <f>[1]!b_issue_firstissue(B953)</f>
        <v>2017-02-08</v>
      </c>
      <c r="P953" s="4">
        <f t="shared" ca="1" si="53"/>
        <v>42989</v>
      </c>
    </row>
    <row r="954" spans="2:16">
      <c r="B954" s="7">
        <v>170004</v>
      </c>
      <c r="C954" s="7">
        <v>3.5525000000000002</v>
      </c>
      <c r="D954" s="18" t="str">
        <f>[1]!b_info_name(B954)</f>
        <v>17附息国债04</v>
      </c>
      <c r="E954" s="19">
        <f>[1]!b_info_latestissurercreditrating(B954)</f>
        <v>0</v>
      </c>
      <c r="F954" s="20">
        <f ca="1">[1]!b_anal_day(B954,$A$5)/365</f>
        <v>9.4219178082191775</v>
      </c>
      <c r="G954" s="21">
        <f ca="1">[1]!b_anal_yield_cnbd(B954,$A$5)</f>
        <v>0</v>
      </c>
      <c r="H954" s="21">
        <f t="shared" ca="1" si="51"/>
        <v>355.25</v>
      </c>
      <c r="I954" s="21">
        <f ca="1">[1]!b_anal_yield_cnbd(B954,$A$7)</f>
        <v>0</v>
      </c>
      <c r="J954" s="21">
        <f t="shared" ca="1" si="52"/>
        <v>0</v>
      </c>
      <c r="K954" s="19">
        <f>[1]!s_info_Nature(B954)</f>
        <v>0</v>
      </c>
      <c r="L954" s="19" t="str">
        <f>[1]!b_info_windl1type(B954)</f>
        <v>国债</v>
      </c>
      <c r="M954" s="13">
        <f>[1]!b_info_couponrate(B954)</f>
        <v>3.4</v>
      </c>
      <c r="N954" s="14" t="str">
        <f>[1]!B_Info_ListedDate(B954)</f>
        <v>2017-02-13</v>
      </c>
      <c r="O954" s="14" t="str">
        <f>[1]!b_issue_firstissue(B954)</f>
        <v>2017-02-08</v>
      </c>
      <c r="P954" s="4">
        <f t="shared" ca="1" si="53"/>
        <v>42989</v>
      </c>
    </row>
    <row r="955" spans="2:16">
      <c r="B955" s="7">
        <v>170004</v>
      </c>
      <c r="C955" s="7">
        <v>3.5525000000000002</v>
      </c>
      <c r="D955" s="18" t="str">
        <f>[1]!b_info_name(B955)</f>
        <v>17附息国债04</v>
      </c>
      <c r="E955" s="19">
        <f>[1]!b_info_latestissurercreditrating(B955)</f>
        <v>0</v>
      </c>
      <c r="F955" s="20">
        <f ca="1">[1]!b_anal_day(B955,$A$5)/365</f>
        <v>9.4219178082191775</v>
      </c>
      <c r="G955" s="21">
        <f ca="1">[1]!b_anal_yield_cnbd(B955,$A$5)</f>
        <v>0</v>
      </c>
      <c r="H955" s="21">
        <f t="shared" ca="1" si="51"/>
        <v>355.25</v>
      </c>
      <c r="I955" s="21">
        <f ca="1">[1]!b_anal_yield_cnbd(B955,$A$7)</f>
        <v>0</v>
      </c>
      <c r="J955" s="21">
        <f t="shared" ca="1" si="52"/>
        <v>0</v>
      </c>
      <c r="K955" s="19">
        <f>[1]!s_info_Nature(B955)</f>
        <v>0</v>
      </c>
      <c r="L955" s="19" t="str">
        <f>[1]!b_info_windl1type(B955)</f>
        <v>国债</v>
      </c>
      <c r="M955" s="13">
        <f>[1]!b_info_couponrate(B955)</f>
        <v>3.4</v>
      </c>
      <c r="N955" s="14" t="str">
        <f>[1]!B_Info_ListedDate(B955)</f>
        <v>2017-02-13</v>
      </c>
      <c r="O955" s="14" t="str">
        <f>[1]!b_issue_firstissue(B955)</f>
        <v>2017-02-08</v>
      </c>
      <c r="P955" s="4">
        <f t="shared" ca="1" si="53"/>
        <v>42989</v>
      </c>
    </row>
    <row r="956" spans="2:16">
      <c r="B956" s="7">
        <v>170004</v>
      </c>
      <c r="C956" s="7">
        <v>3.55</v>
      </c>
      <c r="D956" s="18" t="str">
        <f>[1]!b_info_name(B956)</f>
        <v>17附息国债04</v>
      </c>
      <c r="E956" s="19">
        <f>[1]!b_info_latestissurercreditrating(B956)</f>
        <v>0</v>
      </c>
      <c r="F956" s="20">
        <f ca="1">[1]!b_anal_day(B956,$A$5)/365</f>
        <v>9.4219178082191775</v>
      </c>
      <c r="G956" s="21">
        <f ca="1">[1]!b_anal_yield_cnbd(B956,$A$5)</f>
        <v>0</v>
      </c>
      <c r="H956" s="21">
        <f t="shared" ca="1" si="51"/>
        <v>355</v>
      </c>
      <c r="I956" s="21">
        <f ca="1">[1]!b_anal_yield_cnbd(B956,$A$7)</f>
        <v>0</v>
      </c>
      <c r="J956" s="21">
        <f t="shared" ca="1" si="52"/>
        <v>0</v>
      </c>
      <c r="K956" s="19">
        <f>[1]!s_info_Nature(B956)</f>
        <v>0</v>
      </c>
      <c r="L956" s="19" t="str">
        <f>[1]!b_info_windl1type(B956)</f>
        <v>国债</v>
      </c>
      <c r="M956" s="13">
        <f>[1]!b_info_couponrate(B956)</f>
        <v>3.4</v>
      </c>
      <c r="N956" s="14" t="str">
        <f>[1]!B_Info_ListedDate(B956)</f>
        <v>2017-02-13</v>
      </c>
      <c r="O956" s="14" t="str">
        <f>[1]!b_issue_firstissue(B956)</f>
        <v>2017-02-08</v>
      </c>
      <c r="P956" s="4">
        <f t="shared" ca="1" si="53"/>
        <v>42989</v>
      </c>
    </row>
    <row r="957" spans="2:16">
      <c r="B957" s="7">
        <v>170004</v>
      </c>
      <c r="C957" s="7">
        <v>3.55</v>
      </c>
      <c r="D957" s="18" t="str">
        <f>[1]!b_info_name(B957)</f>
        <v>17附息国债04</v>
      </c>
      <c r="E957" s="19">
        <f>[1]!b_info_latestissurercreditrating(B957)</f>
        <v>0</v>
      </c>
      <c r="F957" s="20">
        <f ca="1">[1]!b_anal_day(B957,$A$5)/365</f>
        <v>9.4219178082191775</v>
      </c>
      <c r="G957" s="21">
        <f ca="1">[1]!b_anal_yield_cnbd(B957,$A$5)</f>
        <v>0</v>
      </c>
      <c r="H957" s="21">
        <f t="shared" ca="1" si="51"/>
        <v>355</v>
      </c>
      <c r="I957" s="21">
        <f ca="1">[1]!b_anal_yield_cnbd(B957,$A$7)</f>
        <v>0</v>
      </c>
      <c r="J957" s="21">
        <f t="shared" ca="1" si="52"/>
        <v>0</v>
      </c>
      <c r="K957" s="19">
        <f>[1]!s_info_Nature(B957)</f>
        <v>0</v>
      </c>
      <c r="L957" s="19" t="str">
        <f>[1]!b_info_windl1type(B957)</f>
        <v>国债</v>
      </c>
      <c r="M957" s="13">
        <f>[1]!b_info_couponrate(B957)</f>
        <v>3.4</v>
      </c>
      <c r="N957" s="14" t="str">
        <f>[1]!B_Info_ListedDate(B957)</f>
        <v>2017-02-13</v>
      </c>
      <c r="O957" s="14" t="str">
        <f>[1]!b_issue_firstissue(B957)</f>
        <v>2017-02-08</v>
      </c>
      <c r="P957" s="4">
        <f t="shared" ca="1" si="53"/>
        <v>42989</v>
      </c>
    </row>
    <row r="958" spans="2:16">
      <c r="B958" s="7">
        <v>170004</v>
      </c>
      <c r="C958" s="7">
        <v>3.55</v>
      </c>
      <c r="D958" s="18" t="str">
        <f>[1]!b_info_name(B958)</f>
        <v>17附息国债04</v>
      </c>
      <c r="E958" s="19">
        <f>[1]!b_info_latestissurercreditrating(B958)</f>
        <v>0</v>
      </c>
      <c r="F958" s="20">
        <f ca="1">[1]!b_anal_day(B958,$A$5)/365</f>
        <v>9.4219178082191775</v>
      </c>
      <c r="G958" s="21">
        <f ca="1">[1]!b_anal_yield_cnbd(B958,$A$5)</f>
        <v>0</v>
      </c>
      <c r="H958" s="21">
        <f t="shared" ca="1" si="51"/>
        <v>355</v>
      </c>
      <c r="I958" s="21">
        <f ca="1">[1]!b_anal_yield_cnbd(B958,$A$7)</f>
        <v>0</v>
      </c>
      <c r="J958" s="21">
        <f t="shared" ca="1" si="52"/>
        <v>0</v>
      </c>
      <c r="K958" s="19">
        <f>[1]!s_info_Nature(B958)</f>
        <v>0</v>
      </c>
      <c r="L958" s="19" t="str">
        <f>[1]!b_info_windl1type(B958)</f>
        <v>国债</v>
      </c>
      <c r="M958" s="13">
        <f>[1]!b_info_couponrate(B958)</f>
        <v>3.4</v>
      </c>
      <c r="N958" s="14" t="str">
        <f>[1]!B_Info_ListedDate(B958)</f>
        <v>2017-02-13</v>
      </c>
      <c r="O958" s="14" t="str">
        <f>[1]!b_issue_firstissue(B958)</f>
        <v>2017-02-08</v>
      </c>
      <c r="P958" s="4">
        <f t="shared" ca="1" si="53"/>
        <v>42989</v>
      </c>
    </row>
    <row r="959" spans="2:16">
      <c r="B959" s="7">
        <v>170004</v>
      </c>
      <c r="C959" s="7">
        <v>3.55</v>
      </c>
      <c r="D959" s="18" t="str">
        <f>[1]!b_info_name(B959)</f>
        <v>17附息国债04</v>
      </c>
      <c r="E959" s="19">
        <f>[1]!b_info_latestissurercreditrating(B959)</f>
        <v>0</v>
      </c>
      <c r="F959" s="20">
        <f ca="1">[1]!b_anal_day(B959,$A$5)/365</f>
        <v>9.4219178082191775</v>
      </c>
      <c r="G959" s="21">
        <f ca="1">[1]!b_anal_yield_cnbd(B959,$A$5)</f>
        <v>0</v>
      </c>
      <c r="H959" s="21">
        <f t="shared" ca="1" si="51"/>
        <v>355</v>
      </c>
      <c r="I959" s="21">
        <f ca="1">[1]!b_anal_yield_cnbd(B959,$A$7)</f>
        <v>0</v>
      </c>
      <c r="J959" s="21">
        <f t="shared" ca="1" si="52"/>
        <v>0</v>
      </c>
      <c r="K959" s="19">
        <f>[1]!s_info_Nature(B959)</f>
        <v>0</v>
      </c>
      <c r="L959" s="19" t="str">
        <f>[1]!b_info_windl1type(B959)</f>
        <v>国债</v>
      </c>
      <c r="M959" s="13">
        <f>[1]!b_info_couponrate(B959)</f>
        <v>3.4</v>
      </c>
      <c r="N959" s="14" t="str">
        <f>[1]!B_Info_ListedDate(B959)</f>
        <v>2017-02-13</v>
      </c>
      <c r="O959" s="14" t="str">
        <f>[1]!b_issue_firstissue(B959)</f>
        <v>2017-02-08</v>
      </c>
      <c r="P959" s="4">
        <f t="shared" ca="1" si="53"/>
        <v>42989</v>
      </c>
    </row>
    <row r="960" spans="2:16">
      <c r="B960" s="7">
        <v>170004</v>
      </c>
      <c r="C960" s="7">
        <v>3.55</v>
      </c>
      <c r="D960" s="18" t="str">
        <f>[1]!b_info_name(B960)</f>
        <v>17附息国债04</v>
      </c>
      <c r="E960" s="19">
        <f>[1]!b_info_latestissurercreditrating(B960)</f>
        <v>0</v>
      </c>
      <c r="F960" s="20">
        <f ca="1">[1]!b_anal_day(B960,$A$5)/365</f>
        <v>9.4219178082191775</v>
      </c>
      <c r="G960" s="21">
        <f ca="1">[1]!b_anal_yield_cnbd(B960,$A$5)</f>
        <v>0</v>
      </c>
      <c r="H960" s="21">
        <f t="shared" ca="1" si="51"/>
        <v>355</v>
      </c>
      <c r="I960" s="21">
        <f ca="1">[1]!b_anal_yield_cnbd(B960,$A$7)</f>
        <v>0</v>
      </c>
      <c r="J960" s="21">
        <f t="shared" ca="1" si="52"/>
        <v>0</v>
      </c>
      <c r="K960" s="19">
        <f>[1]!s_info_Nature(B960)</f>
        <v>0</v>
      </c>
      <c r="L960" s="19" t="str">
        <f>[1]!b_info_windl1type(B960)</f>
        <v>国债</v>
      </c>
      <c r="M960" s="13">
        <f>[1]!b_info_couponrate(B960)</f>
        <v>3.4</v>
      </c>
      <c r="N960" s="14" t="str">
        <f>[1]!B_Info_ListedDate(B960)</f>
        <v>2017-02-13</v>
      </c>
      <c r="O960" s="14" t="str">
        <f>[1]!b_issue_firstissue(B960)</f>
        <v>2017-02-08</v>
      </c>
      <c r="P960" s="4">
        <f t="shared" ca="1" si="53"/>
        <v>42989</v>
      </c>
    </row>
    <row r="961" spans="2:16">
      <c r="B961" s="7">
        <v>170004</v>
      </c>
      <c r="C961" s="7">
        <v>3.55</v>
      </c>
      <c r="D961" s="18" t="str">
        <f>[1]!b_info_name(B961)</f>
        <v>17附息国债04</v>
      </c>
      <c r="E961" s="19">
        <f>[1]!b_info_latestissurercreditrating(B961)</f>
        <v>0</v>
      </c>
      <c r="F961" s="20">
        <f ca="1">[1]!b_anal_day(B961,$A$5)/365</f>
        <v>9.4219178082191775</v>
      </c>
      <c r="G961" s="21">
        <f ca="1">[1]!b_anal_yield_cnbd(B961,$A$5)</f>
        <v>0</v>
      </c>
      <c r="H961" s="21">
        <f t="shared" ca="1" si="51"/>
        <v>355</v>
      </c>
      <c r="I961" s="21">
        <f ca="1">[1]!b_anal_yield_cnbd(B961,$A$7)</f>
        <v>0</v>
      </c>
      <c r="J961" s="21">
        <f t="shared" ca="1" si="52"/>
        <v>0</v>
      </c>
      <c r="K961" s="19">
        <f>[1]!s_info_Nature(B961)</f>
        <v>0</v>
      </c>
      <c r="L961" s="19" t="str">
        <f>[1]!b_info_windl1type(B961)</f>
        <v>国债</v>
      </c>
      <c r="M961" s="13">
        <f>[1]!b_info_couponrate(B961)</f>
        <v>3.4</v>
      </c>
      <c r="N961" s="14" t="str">
        <f>[1]!B_Info_ListedDate(B961)</f>
        <v>2017-02-13</v>
      </c>
      <c r="O961" s="14" t="str">
        <f>[1]!b_issue_firstissue(B961)</f>
        <v>2017-02-08</v>
      </c>
      <c r="P961" s="4">
        <f t="shared" ca="1" si="53"/>
        <v>42989</v>
      </c>
    </row>
    <row r="962" spans="2:16">
      <c r="B962" s="7">
        <v>170004</v>
      </c>
      <c r="C962" s="7">
        <v>3.55</v>
      </c>
      <c r="D962" s="18" t="str">
        <f>[1]!b_info_name(B962)</f>
        <v>17附息国债04</v>
      </c>
      <c r="E962" s="19">
        <f>[1]!b_info_latestissurercreditrating(B962)</f>
        <v>0</v>
      </c>
      <c r="F962" s="20">
        <f ca="1">[1]!b_anal_day(B962,$A$5)/365</f>
        <v>9.4219178082191775</v>
      </c>
      <c r="G962" s="21">
        <f ca="1">[1]!b_anal_yield_cnbd(B962,$A$5)</f>
        <v>0</v>
      </c>
      <c r="H962" s="21">
        <f t="shared" ca="1" si="51"/>
        <v>355</v>
      </c>
      <c r="I962" s="21">
        <f ca="1">[1]!b_anal_yield_cnbd(B962,$A$7)</f>
        <v>0</v>
      </c>
      <c r="J962" s="21">
        <f t="shared" ca="1" si="52"/>
        <v>0</v>
      </c>
      <c r="K962" s="19">
        <f>[1]!s_info_Nature(B962)</f>
        <v>0</v>
      </c>
      <c r="L962" s="19" t="str">
        <f>[1]!b_info_windl1type(B962)</f>
        <v>国债</v>
      </c>
      <c r="M962" s="13">
        <f>[1]!b_info_couponrate(B962)</f>
        <v>3.4</v>
      </c>
      <c r="N962" s="14" t="str">
        <f>[1]!B_Info_ListedDate(B962)</f>
        <v>2017-02-13</v>
      </c>
      <c r="O962" s="14" t="str">
        <f>[1]!b_issue_firstissue(B962)</f>
        <v>2017-02-08</v>
      </c>
      <c r="P962" s="4">
        <f t="shared" ca="1" si="53"/>
        <v>42989</v>
      </c>
    </row>
    <row r="963" spans="2:16">
      <c r="B963" s="7">
        <v>170004</v>
      </c>
      <c r="C963" s="7">
        <v>3.55</v>
      </c>
      <c r="D963" s="18" t="str">
        <f>[1]!b_info_name(B963)</f>
        <v>17附息国债04</v>
      </c>
      <c r="E963" s="19">
        <f>[1]!b_info_latestissurercreditrating(B963)</f>
        <v>0</v>
      </c>
      <c r="F963" s="20">
        <f ca="1">[1]!b_anal_day(B963,$A$5)/365</f>
        <v>9.4219178082191775</v>
      </c>
      <c r="G963" s="21">
        <f ca="1">[1]!b_anal_yield_cnbd(B963,$A$5)</f>
        <v>0</v>
      </c>
      <c r="H963" s="21">
        <f t="shared" ca="1" si="51"/>
        <v>355</v>
      </c>
      <c r="I963" s="21">
        <f ca="1">[1]!b_anal_yield_cnbd(B963,$A$7)</f>
        <v>0</v>
      </c>
      <c r="J963" s="21">
        <f t="shared" ca="1" si="52"/>
        <v>0</v>
      </c>
      <c r="K963" s="19">
        <f>[1]!s_info_Nature(B963)</f>
        <v>0</v>
      </c>
      <c r="L963" s="19" t="str">
        <f>[1]!b_info_windl1type(B963)</f>
        <v>国债</v>
      </c>
      <c r="M963" s="13">
        <f>[1]!b_info_couponrate(B963)</f>
        <v>3.4</v>
      </c>
      <c r="N963" s="14" t="str">
        <f>[1]!B_Info_ListedDate(B963)</f>
        <v>2017-02-13</v>
      </c>
      <c r="O963" s="14" t="str">
        <f>[1]!b_issue_firstissue(B963)</f>
        <v>2017-02-08</v>
      </c>
      <c r="P963" s="4">
        <f t="shared" ca="1" si="53"/>
        <v>42989</v>
      </c>
    </row>
    <row r="964" spans="2:16">
      <c r="B964" s="7">
        <v>170004</v>
      </c>
      <c r="C964" s="7">
        <v>3.55</v>
      </c>
      <c r="D964" s="18" t="str">
        <f>[1]!b_info_name(B964)</f>
        <v>17附息国债04</v>
      </c>
      <c r="E964" s="19">
        <f>[1]!b_info_latestissurercreditrating(B964)</f>
        <v>0</v>
      </c>
      <c r="F964" s="20">
        <f ca="1">[1]!b_anal_day(B964,$A$5)/365</f>
        <v>9.4219178082191775</v>
      </c>
      <c r="G964" s="21">
        <f ca="1">[1]!b_anal_yield_cnbd(B964,$A$5)</f>
        <v>0</v>
      </c>
      <c r="H964" s="21">
        <f t="shared" ca="1" si="51"/>
        <v>355</v>
      </c>
      <c r="I964" s="21">
        <f ca="1">[1]!b_anal_yield_cnbd(B964,$A$7)</f>
        <v>0</v>
      </c>
      <c r="J964" s="21">
        <f t="shared" ca="1" si="52"/>
        <v>0</v>
      </c>
      <c r="K964" s="19">
        <f>[1]!s_info_Nature(B964)</f>
        <v>0</v>
      </c>
      <c r="L964" s="19" t="str">
        <f>[1]!b_info_windl1type(B964)</f>
        <v>国债</v>
      </c>
      <c r="M964" s="13">
        <f>[1]!b_info_couponrate(B964)</f>
        <v>3.4</v>
      </c>
      <c r="N964" s="14" t="str">
        <f>[1]!B_Info_ListedDate(B964)</f>
        <v>2017-02-13</v>
      </c>
      <c r="O964" s="14" t="str">
        <f>[1]!b_issue_firstissue(B964)</f>
        <v>2017-02-08</v>
      </c>
      <c r="P964" s="4">
        <f t="shared" ca="1" si="53"/>
        <v>42989</v>
      </c>
    </row>
    <row r="965" spans="2:16">
      <c r="B965" s="7">
        <v>170004</v>
      </c>
      <c r="C965" s="7">
        <v>3.55</v>
      </c>
      <c r="D965" s="18" t="str">
        <f>[1]!b_info_name(B965)</f>
        <v>17附息国债04</v>
      </c>
      <c r="E965" s="19">
        <f>[1]!b_info_latestissurercreditrating(B965)</f>
        <v>0</v>
      </c>
      <c r="F965" s="20">
        <f ca="1">[1]!b_anal_day(B965,$A$5)/365</f>
        <v>9.4219178082191775</v>
      </c>
      <c r="G965" s="21">
        <f ca="1">[1]!b_anal_yield_cnbd(B965,$A$5)</f>
        <v>0</v>
      </c>
      <c r="H965" s="21">
        <f t="shared" ca="1" si="51"/>
        <v>355</v>
      </c>
      <c r="I965" s="21">
        <f ca="1">[1]!b_anal_yield_cnbd(B965,$A$7)</f>
        <v>0</v>
      </c>
      <c r="J965" s="21">
        <f t="shared" ca="1" si="52"/>
        <v>0</v>
      </c>
      <c r="K965" s="19">
        <f>[1]!s_info_Nature(B965)</f>
        <v>0</v>
      </c>
      <c r="L965" s="19" t="str">
        <f>[1]!b_info_windl1type(B965)</f>
        <v>国债</v>
      </c>
      <c r="M965" s="13">
        <f>[1]!b_info_couponrate(B965)</f>
        <v>3.4</v>
      </c>
      <c r="N965" s="14" t="str">
        <f>[1]!B_Info_ListedDate(B965)</f>
        <v>2017-02-13</v>
      </c>
      <c r="O965" s="14" t="str">
        <f>[1]!b_issue_firstissue(B965)</f>
        <v>2017-02-08</v>
      </c>
      <c r="P965" s="4">
        <f t="shared" ca="1" si="53"/>
        <v>42989</v>
      </c>
    </row>
    <row r="966" spans="2:16">
      <c r="B966" s="7">
        <v>170004</v>
      </c>
      <c r="C966" s="7">
        <v>3.55</v>
      </c>
      <c r="D966" s="18" t="str">
        <f>[1]!b_info_name(B966)</f>
        <v>17附息国债04</v>
      </c>
      <c r="E966" s="19">
        <f>[1]!b_info_latestissurercreditrating(B966)</f>
        <v>0</v>
      </c>
      <c r="F966" s="20">
        <f ca="1">[1]!b_anal_day(B966,$A$5)/365</f>
        <v>9.4219178082191775</v>
      </c>
      <c r="G966" s="21">
        <f ca="1">[1]!b_anal_yield_cnbd(B966,$A$5)</f>
        <v>0</v>
      </c>
      <c r="H966" s="21">
        <f t="shared" ca="1" si="51"/>
        <v>355</v>
      </c>
      <c r="I966" s="21">
        <f ca="1">[1]!b_anal_yield_cnbd(B966,$A$7)</f>
        <v>0</v>
      </c>
      <c r="J966" s="21">
        <f t="shared" ca="1" si="52"/>
        <v>0</v>
      </c>
      <c r="K966" s="19">
        <f>[1]!s_info_Nature(B966)</f>
        <v>0</v>
      </c>
      <c r="L966" s="19" t="str">
        <f>[1]!b_info_windl1type(B966)</f>
        <v>国债</v>
      </c>
      <c r="M966" s="13">
        <f>[1]!b_info_couponrate(B966)</f>
        <v>3.4</v>
      </c>
      <c r="N966" s="14" t="str">
        <f>[1]!B_Info_ListedDate(B966)</f>
        <v>2017-02-13</v>
      </c>
      <c r="O966" s="14" t="str">
        <f>[1]!b_issue_firstissue(B966)</f>
        <v>2017-02-08</v>
      </c>
      <c r="P966" s="4">
        <f t="shared" ca="1" si="53"/>
        <v>42989</v>
      </c>
    </row>
    <row r="967" spans="2:16">
      <c r="B967" s="7">
        <v>170004</v>
      </c>
      <c r="C967" s="7">
        <v>3.55</v>
      </c>
      <c r="D967" s="18" t="str">
        <f>[1]!b_info_name(B967)</f>
        <v>17附息国债04</v>
      </c>
      <c r="E967" s="19">
        <f>[1]!b_info_latestissurercreditrating(B967)</f>
        <v>0</v>
      </c>
      <c r="F967" s="20">
        <f ca="1">[1]!b_anal_day(B967,$A$5)/365</f>
        <v>9.4219178082191775</v>
      </c>
      <c r="G967" s="21">
        <f ca="1">[1]!b_anal_yield_cnbd(B967,$A$5)</f>
        <v>0</v>
      </c>
      <c r="H967" s="21">
        <f t="shared" ca="1" si="51"/>
        <v>355</v>
      </c>
      <c r="I967" s="21">
        <f ca="1">[1]!b_anal_yield_cnbd(B967,$A$7)</f>
        <v>0</v>
      </c>
      <c r="J967" s="21">
        <f t="shared" ca="1" si="52"/>
        <v>0</v>
      </c>
      <c r="K967" s="19">
        <f>[1]!s_info_Nature(B967)</f>
        <v>0</v>
      </c>
      <c r="L967" s="19" t="str">
        <f>[1]!b_info_windl1type(B967)</f>
        <v>国债</v>
      </c>
      <c r="M967" s="13">
        <f>[1]!b_info_couponrate(B967)</f>
        <v>3.4</v>
      </c>
      <c r="N967" s="14" t="str">
        <f>[1]!B_Info_ListedDate(B967)</f>
        <v>2017-02-13</v>
      </c>
      <c r="O967" s="14" t="str">
        <f>[1]!b_issue_firstissue(B967)</f>
        <v>2017-02-08</v>
      </c>
      <c r="P967" s="4">
        <f t="shared" ca="1" si="53"/>
        <v>42989</v>
      </c>
    </row>
    <row r="968" spans="2:16">
      <c r="B968" s="7">
        <v>170004</v>
      </c>
      <c r="C968" s="7">
        <v>3.5449999999999999</v>
      </c>
      <c r="D968" s="18" t="str">
        <f>[1]!b_info_name(B968)</f>
        <v>17附息国债04</v>
      </c>
      <c r="E968" s="19">
        <f>[1]!b_info_latestissurercreditrating(B968)</f>
        <v>0</v>
      </c>
      <c r="F968" s="20">
        <f ca="1">[1]!b_anal_day(B968,$A$5)/365</f>
        <v>9.4219178082191775</v>
      </c>
      <c r="G968" s="21">
        <f ca="1">[1]!b_anal_yield_cnbd(B968,$A$5)</f>
        <v>0</v>
      </c>
      <c r="H968" s="21">
        <f t="shared" ca="1" si="51"/>
        <v>354.5</v>
      </c>
      <c r="I968" s="21">
        <f ca="1">[1]!b_anal_yield_cnbd(B968,$A$7)</f>
        <v>0</v>
      </c>
      <c r="J968" s="21">
        <f t="shared" ca="1" si="52"/>
        <v>0</v>
      </c>
      <c r="K968" s="19">
        <f>[1]!s_info_Nature(B968)</f>
        <v>0</v>
      </c>
      <c r="L968" s="19" t="str">
        <f>[1]!b_info_windl1type(B968)</f>
        <v>国债</v>
      </c>
      <c r="M968" s="13">
        <f>[1]!b_info_couponrate(B968)</f>
        <v>3.4</v>
      </c>
      <c r="N968" s="14" t="str">
        <f>[1]!B_Info_ListedDate(B968)</f>
        <v>2017-02-13</v>
      </c>
      <c r="O968" s="14" t="str">
        <f>[1]!b_issue_firstissue(B968)</f>
        <v>2017-02-08</v>
      </c>
      <c r="P968" s="4">
        <f t="shared" ca="1" si="53"/>
        <v>42989</v>
      </c>
    </row>
    <row r="969" spans="2:16">
      <c r="B969" s="7">
        <v>160023</v>
      </c>
      <c r="C969" s="7">
        <v>3.5049999999999999</v>
      </c>
      <c r="D969" s="18" t="str">
        <f>[1]!b_info_name(B969)</f>
        <v>16附息国债23</v>
      </c>
      <c r="E969" s="19">
        <f>[1]!b_info_latestissurercreditrating(B969)</f>
        <v>0</v>
      </c>
      <c r="F969" s="20">
        <f ca="1">[1]!b_anal_day(B969,$A$5)/365</f>
        <v>9.1534246575342468</v>
      </c>
      <c r="G969" s="21">
        <f ca="1">[1]!b_anal_yield_cnbd(B969,$A$5)</f>
        <v>0</v>
      </c>
      <c r="H969" s="21">
        <f t="shared" ca="1" si="51"/>
        <v>350.5</v>
      </c>
      <c r="I969" s="21">
        <f ca="1">[1]!b_anal_yield_cnbd(B969,$A$7)</f>
        <v>0</v>
      </c>
      <c r="J969" s="21">
        <f t="shared" ca="1" si="52"/>
        <v>0</v>
      </c>
      <c r="K969" s="19">
        <f>[1]!s_info_Nature(B969)</f>
        <v>0</v>
      </c>
      <c r="L969" s="19" t="str">
        <f>[1]!b_info_windl1type(B969)</f>
        <v>国债</v>
      </c>
      <c r="M969" s="13">
        <f>[1]!b_info_couponrate(B969)</f>
        <v>2.7</v>
      </c>
      <c r="N969" s="14" t="str">
        <f>[1]!B_Info_ListedDate(B969)</f>
        <v>2016-11-07</v>
      </c>
      <c r="O969" s="14" t="str">
        <f>[1]!b_issue_firstissue(B969)</f>
        <v>2016-11-02</v>
      </c>
      <c r="P969" s="4">
        <f t="shared" ca="1" si="53"/>
        <v>42989</v>
      </c>
    </row>
    <row r="970" spans="2:16">
      <c r="B970" s="7">
        <v>111791499</v>
      </c>
      <c r="C970" s="7">
        <v>3.5</v>
      </c>
      <c r="D970" s="18" t="str">
        <f>[1]!b_info_name(B970)</f>
        <v>17齐鲁银行CD002</v>
      </c>
      <c r="E970" s="19" t="str">
        <f>[1]!b_info_latestissurercreditrating(B970)</f>
        <v>AA+</v>
      </c>
      <c r="F970" s="20">
        <f ca="1">[1]!b_anal_day(B970,$A$5)/365</f>
        <v>0</v>
      </c>
      <c r="G970" s="21">
        <f ca="1">[1]!b_anal_yield_cnbd(B970,$A$5)</f>
        <v>0</v>
      </c>
      <c r="H970" s="21">
        <f t="shared" ca="1" si="51"/>
        <v>350</v>
      </c>
      <c r="I970" s="21">
        <f ca="1">[1]!b_anal_yield_cnbd(B970,$A$7)</f>
        <v>0</v>
      </c>
      <c r="J970" s="21">
        <f t="shared" ca="1" si="52"/>
        <v>0</v>
      </c>
      <c r="K970" s="19" t="str">
        <f>[1]!s_info_Nature(B970)</f>
        <v>公众企业</v>
      </c>
      <c r="L970" s="19" t="str">
        <f>[1]!b_info_windl1type(B970)</f>
        <v>同业存单</v>
      </c>
      <c r="M970" s="13">
        <f>[1]!b_info_couponrate(B970)</f>
        <v>4.6500000000000004</v>
      </c>
      <c r="N970" s="14" t="str">
        <f>[1]!B_Info_ListedDate(B970)</f>
        <v>2017-02-10</v>
      </c>
      <c r="O970" s="14" t="str">
        <f>[1]!b_issue_firstissue(B970)</f>
        <v>2017-02-09</v>
      </c>
      <c r="P970" s="4">
        <f t="shared" ca="1" si="53"/>
        <v>42989</v>
      </c>
    </row>
    <row r="971" spans="2:16">
      <c r="B971" s="7">
        <v>111795461</v>
      </c>
      <c r="C971" s="7">
        <v>3.5</v>
      </c>
      <c r="D971" s="18" t="str">
        <f>[1]!b_info_name(B971)</f>
        <v>17甘肃银行CD083</v>
      </c>
      <c r="E971" s="19" t="str">
        <f>[1]!b_info_latestissurercreditrating(B971)</f>
        <v>AA+</v>
      </c>
      <c r="F971" s="20">
        <f ca="1">[1]!b_anal_day(B971,$A$5)/365</f>
        <v>0</v>
      </c>
      <c r="G971" s="21">
        <f ca="1">[1]!b_anal_yield_cnbd(B971,$A$5)</f>
        <v>0</v>
      </c>
      <c r="H971" s="21">
        <f t="shared" ca="1" si="51"/>
        <v>350</v>
      </c>
      <c r="I971" s="21">
        <f ca="1">[1]!b_anal_yield_cnbd(B971,$A$7)</f>
        <v>0</v>
      </c>
      <c r="J971" s="21">
        <f t="shared" ca="1" si="52"/>
        <v>0</v>
      </c>
      <c r="K971" s="19" t="str">
        <f>[1]!s_info_Nature(B971)</f>
        <v>地方国有企业</v>
      </c>
      <c r="L971" s="19" t="str">
        <f>[1]!b_info_windl1type(B971)</f>
        <v>同业存单</v>
      </c>
      <c r="M971" s="13">
        <f>[1]!b_info_couponrate(B971)</f>
        <v>4.13</v>
      </c>
      <c r="N971" s="14" t="str">
        <f>[1]!B_Info_ListedDate(B971)</f>
        <v>2017-04-12</v>
      </c>
      <c r="O971" s="14" t="str">
        <f>[1]!b_issue_firstissue(B971)</f>
        <v>2017-04-11</v>
      </c>
      <c r="P971" s="4">
        <f t="shared" ca="1" si="53"/>
        <v>42989</v>
      </c>
    </row>
    <row r="972" spans="2:16">
      <c r="B972" s="7">
        <v>111795461</v>
      </c>
      <c r="C972" s="7">
        <v>3.5</v>
      </c>
      <c r="D972" s="18" t="str">
        <f>[1]!b_info_name(B972)</f>
        <v>17甘肃银行CD083</v>
      </c>
      <c r="E972" s="19" t="str">
        <f>[1]!b_info_latestissurercreditrating(B972)</f>
        <v>AA+</v>
      </c>
      <c r="F972" s="20">
        <f ca="1">[1]!b_anal_day(B972,$A$5)/365</f>
        <v>0</v>
      </c>
      <c r="G972" s="21">
        <f ca="1">[1]!b_anal_yield_cnbd(B972,$A$5)</f>
        <v>0</v>
      </c>
      <c r="H972" s="21">
        <f t="shared" ca="1" si="51"/>
        <v>350</v>
      </c>
      <c r="I972" s="21">
        <f ca="1">[1]!b_anal_yield_cnbd(B972,$A$7)</f>
        <v>0</v>
      </c>
      <c r="J972" s="21">
        <f t="shared" ca="1" si="52"/>
        <v>0</v>
      </c>
      <c r="K972" s="19" t="str">
        <f>[1]!s_info_Nature(B972)</f>
        <v>地方国有企业</v>
      </c>
      <c r="L972" s="19" t="str">
        <f>[1]!b_info_windl1type(B972)</f>
        <v>同业存单</v>
      </c>
      <c r="M972" s="13">
        <f>[1]!b_info_couponrate(B972)</f>
        <v>4.13</v>
      </c>
      <c r="N972" s="14" t="str">
        <f>[1]!B_Info_ListedDate(B972)</f>
        <v>2017-04-12</v>
      </c>
      <c r="O972" s="14" t="str">
        <f>[1]!b_issue_firstissue(B972)</f>
        <v>2017-04-11</v>
      </c>
      <c r="P972" s="4">
        <f t="shared" ca="1" si="53"/>
        <v>42989</v>
      </c>
    </row>
    <row r="973" spans="2:16">
      <c r="B973" s="7">
        <v>111795465</v>
      </c>
      <c r="C973" s="7">
        <v>3.5</v>
      </c>
      <c r="D973" s="18" t="str">
        <f>[1]!b_info_name(B973)</f>
        <v>17江苏江南农村商业银行CD045</v>
      </c>
      <c r="E973" s="19" t="str">
        <f>[1]!b_info_latestissurercreditrating(B973)</f>
        <v>AA+</v>
      </c>
      <c r="F973" s="20">
        <f ca="1">[1]!b_anal_day(B973,$A$5)/365</f>
        <v>0</v>
      </c>
      <c r="G973" s="21">
        <f ca="1">[1]!b_anal_yield_cnbd(B973,$A$5)</f>
        <v>0</v>
      </c>
      <c r="H973" s="21">
        <f t="shared" ca="1" si="51"/>
        <v>350</v>
      </c>
      <c r="I973" s="21">
        <f ca="1">[1]!b_anal_yield_cnbd(B973,$A$7)</f>
        <v>0</v>
      </c>
      <c r="J973" s="21">
        <f t="shared" ca="1" si="52"/>
        <v>0</v>
      </c>
      <c r="K973" s="19" t="str">
        <f>[1]!s_info_Nature(B973)</f>
        <v>地方国有企业</v>
      </c>
      <c r="L973" s="19" t="str">
        <f>[1]!b_info_windl1type(B973)</f>
        <v>同业存单</v>
      </c>
      <c r="M973" s="13">
        <f>[1]!b_info_couponrate(B973)</f>
        <v>4.1006</v>
      </c>
      <c r="N973" s="14" t="str">
        <f>[1]!B_Info_ListedDate(B973)</f>
        <v>2017-04-12</v>
      </c>
      <c r="O973" s="14" t="str">
        <f>[1]!b_issue_firstissue(B973)</f>
        <v>2017-04-11</v>
      </c>
      <c r="P973" s="4">
        <f t="shared" ca="1" si="53"/>
        <v>42989</v>
      </c>
    </row>
    <row r="974" spans="2:16">
      <c r="B974" s="7">
        <v>160023</v>
      </c>
      <c r="C974" s="7">
        <v>3.5</v>
      </c>
      <c r="D974" s="18" t="str">
        <f>[1]!b_info_name(B974)</f>
        <v>16附息国债23</v>
      </c>
      <c r="E974" s="19">
        <f>[1]!b_info_latestissurercreditrating(B974)</f>
        <v>0</v>
      </c>
      <c r="F974" s="20">
        <f ca="1">[1]!b_anal_day(B974,$A$5)/365</f>
        <v>9.1534246575342468</v>
      </c>
      <c r="G974" s="21">
        <f ca="1">[1]!b_anal_yield_cnbd(B974,$A$5)</f>
        <v>0</v>
      </c>
      <c r="H974" s="21">
        <f t="shared" ca="1" si="51"/>
        <v>350</v>
      </c>
      <c r="I974" s="21">
        <f ca="1">[1]!b_anal_yield_cnbd(B974,$A$7)</f>
        <v>0</v>
      </c>
      <c r="J974" s="21">
        <f t="shared" ca="1" si="52"/>
        <v>0</v>
      </c>
      <c r="K974" s="19">
        <f>[1]!s_info_Nature(B974)</f>
        <v>0</v>
      </c>
      <c r="L974" s="19" t="str">
        <f>[1]!b_info_windl1type(B974)</f>
        <v>国债</v>
      </c>
      <c r="M974" s="13">
        <f>[1]!b_info_couponrate(B974)</f>
        <v>2.7</v>
      </c>
      <c r="N974" s="14" t="str">
        <f>[1]!B_Info_ListedDate(B974)</f>
        <v>2016-11-07</v>
      </c>
      <c r="O974" s="14" t="str">
        <f>[1]!b_issue_firstissue(B974)</f>
        <v>2016-11-02</v>
      </c>
      <c r="P974" s="4">
        <f t="shared" ca="1" si="53"/>
        <v>42989</v>
      </c>
    </row>
    <row r="975" spans="2:16">
      <c r="B975" s="7">
        <v>160023</v>
      </c>
      <c r="C975" s="7">
        <v>3.5</v>
      </c>
      <c r="D975" s="18" t="str">
        <f>[1]!b_info_name(B975)</f>
        <v>16附息国债23</v>
      </c>
      <c r="E975" s="19">
        <f>[1]!b_info_latestissurercreditrating(B975)</f>
        <v>0</v>
      </c>
      <c r="F975" s="20">
        <f ca="1">[1]!b_anal_day(B975,$A$5)/365</f>
        <v>9.1534246575342468</v>
      </c>
      <c r="G975" s="21">
        <f ca="1">[1]!b_anal_yield_cnbd(B975,$A$5)</f>
        <v>0</v>
      </c>
      <c r="H975" s="21">
        <f t="shared" ca="1" si="51"/>
        <v>350</v>
      </c>
      <c r="I975" s="21">
        <f ca="1">[1]!b_anal_yield_cnbd(B975,$A$7)</f>
        <v>0</v>
      </c>
      <c r="J975" s="21">
        <f t="shared" ca="1" si="52"/>
        <v>0</v>
      </c>
      <c r="K975" s="19">
        <f>[1]!s_info_Nature(B975)</f>
        <v>0</v>
      </c>
      <c r="L975" s="19" t="str">
        <f>[1]!b_info_windl1type(B975)</f>
        <v>国债</v>
      </c>
      <c r="M975" s="13">
        <f>[1]!b_info_couponrate(B975)</f>
        <v>2.7</v>
      </c>
      <c r="N975" s="14" t="str">
        <f>[1]!B_Info_ListedDate(B975)</f>
        <v>2016-11-07</v>
      </c>
      <c r="O975" s="14" t="str">
        <f>[1]!b_issue_firstissue(B975)</f>
        <v>2016-11-02</v>
      </c>
      <c r="P975" s="4">
        <f t="shared" ca="1" si="53"/>
        <v>42989</v>
      </c>
    </row>
    <row r="976" spans="2:16">
      <c r="B976" s="7">
        <v>140021</v>
      </c>
      <c r="C976" s="7">
        <v>3.49</v>
      </c>
      <c r="D976" s="18" t="str">
        <f>[1]!b_info_name(B976)</f>
        <v>14附息国债21</v>
      </c>
      <c r="E976" s="19">
        <f>[1]!b_info_latestissurercreditrating(B976)</f>
        <v>0</v>
      </c>
      <c r="F976" s="20">
        <f ca="1">[1]!b_anal_day(B976,$A$5)/365</f>
        <v>7.0273972602739727</v>
      </c>
      <c r="G976" s="21">
        <f ca="1">[1]!b_anal_yield_cnbd(B976,$A$5)</f>
        <v>0</v>
      </c>
      <c r="H976" s="21">
        <f t="shared" ca="1" si="51"/>
        <v>349</v>
      </c>
      <c r="I976" s="21">
        <f ca="1">[1]!b_anal_yield_cnbd(B976,$A$7)</f>
        <v>0</v>
      </c>
      <c r="J976" s="21">
        <f t="shared" ca="1" si="52"/>
        <v>0</v>
      </c>
      <c r="K976" s="19">
        <f>[1]!s_info_Nature(B976)</f>
        <v>0</v>
      </c>
      <c r="L976" s="19" t="str">
        <f>[1]!b_info_windl1type(B976)</f>
        <v>国债</v>
      </c>
      <c r="M976" s="13">
        <f>[1]!b_info_couponrate(B976)</f>
        <v>4.13</v>
      </c>
      <c r="N976" s="14" t="str">
        <f>[1]!B_Info_ListedDate(B976)</f>
        <v>2014-09-24</v>
      </c>
      <c r="O976" s="14" t="str">
        <f>[1]!b_issue_firstissue(B976)</f>
        <v>2014-09-17</v>
      </c>
      <c r="P976" s="4">
        <f t="shared" ca="1" si="53"/>
        <v>42989</v>
      </c>
    </row>
    <row r="977" spans="2:16">
      <c r="B977" s="7">
        <v>140021</v>
      </c>
      <c r="C977" s="7">
        <v>3.49</v>
      </c>
      <c r="D977" s="18" t="str">
        <f>[1]!b_info_name(B977)</f>
        <v>14附息国债21</v>
      </c>
      <c r="E977" s="19">
        <f>[1]!b_info_latestissurercreditrating(B977)</f>
        <v>0</v>
      </c>
      <c r="F977" s="20">
        <f ca="1">[1]!b_anal_day(B977,$A$5)/365</f>
        <v>7.0273972602739727</v>
      </c>
      <c r="G977" s="21">
        <f ca="1">[1]!b_anal_yield_cnbd(B977,$A$5)</f>
        <v>0</v>
      </c>
      <c r="H977" s="21">
        <f t="shared" ca="1" si="51"/>
        <v>349</v>
      </c>
      <c r="I977" s="21">
        <f ca="1">[1]!b_anal_yield_cnbd(B977,$A$7)</f>
        <v>0</v>
      </c>
      <c r="J977" s="21">
        <f t="shared" ca="1" si="52"/>
        <v>0</v>
      </c>
      <c r="K977" s="19">
        <f>[1]!s_info_Nature(B977)</f>
        <v>0</v>
      </c>
      <c r="L977" s="19" t="str">
        <f>[1]!b_info_windl1type(B977)</f>
        <v>国债</v>
      </c>
      <c r="M977" s="13">
        <f>[1]!b_info_couponrate(B977)</f>
        <v>4.13</v>
      </c>
      <c r="N977" s="14" t="str">
        <f>[1]!B_Info_ListedDate(B977)</f>
        <v>2014-09-24</v>
      </c>
      <c r="O977" s="14" t="str">
        <f>[1]!b_issue_firstissue(B977)</f>
        <v>2014-09-17</v>
      </c>
      <c r="P977" s="4">
        <f t="shared" ca="1" si="53"/>
        <v>42989</v>
      </c>
    </row>
    <row r="978" spans="2:16">
      <c r="B978" s="7">
        <v>140021</v>
      </c>
      <c r="C978" s="7">
        <v>3.49</v>
      </c>
      <c r="D978" s="18" t="str">
        <f>[1]!b_info_name(B978)</f>
        <v>14附息国债21</v>
      </c>
      <c r="E978" s="19">
        <f>[1]!b_info_latestissurercreditrating(B978)</f>
        <v>0</v>
      </c>
      <c r="F978" s="20">
        <f ca="1">[1]!b_anal_day(B978,$A$5)/365</f>
        <v>7.0273972602739727</v>
      </c>
      <c r="G978" s="21">
        <f ca="1">[1]!b_anal_yield_cnbd(B978,$A$5)</f>
        <v>0</v>
      </c>
      <c r="H978" s="21">
        <f t="shared" ca="1" si="51"/>
        <v>349</v>
      </c>
      <c r="I978" s="21">
        <f ca="1">[1]!b_anal_yield_cnbd(B978,$A$7)</f>
        <v>0</v>
      </c>
      <c r="J978" s="21">
        <f t="shared" ca="1" si="52"/>
        <v>0</v>
      </c>
      <c r="K978" s="19">
        <f>[1]!s_info_Nature(B978)</f>
        <v>0</v>
      </c>
      <c r="L978" s="19" t="str">
        <f>[1]!b_info_windl1type(B978)</f>
        <v>国债</v>
      </c>
      <c r="M978" s="13">
        <f>[1]!b_info_couponrate(B978)</f>
        <v>4.13</v>
      </c>
      <c r="N978" s="14" t="str">
        <f>[1]!B_Info_ListedDate(B978)</f>
        <v>2014-09-24</v>
      </c>
      <c r="O978" s="14" t="str">
        <f>[1]!b_issue_firstissue(B978)</f>
        <v>2014-09-17</v>
      </c>
      <c r="P978" s="4">
        <f t="shared" ca="1" si="53"/>
        <v>42989</v>
      </c>
    </row>
    <row r="979" spans="2:16">
      <c r="B979" s="7">
        <v>170003</v>
      </c>
      <c r="C979" s="7">
        <v>3.31</v>
      </c>
      <c r="D979" s="18" t="str">
        <f>[1]!b_info_name(B979)</f>
        <v>17附息国债03</v>
      </c>
      <c r="E979" s="19">
        <f>[1]!b_info_latestissurercreditrating(B979)</f>
        <v>0</v>
      </c>
      <c r="F979" s="20">
        <f ca="1">[1]!b_anal_day(B979,$A$5)/365</f>
        <v>0.41643835616438357</v>
      </c>
      <c r="G979" s="21">
        <f ca="1">[1]!b_anal_yield_cnbd(B979,$A$5)</f>
        <v>0</v>
      </c>
      <c r="H979" s="21">
        <f t="shared" ca="1" si="51"/>
        <v>331</v>
      </c>
      <c r="I979" s="21">
        <f ca="1">[1]!b_anal_yield_cnbd(B979,$A$7)</f>
        <v>0</v>
      </c>
      <c r="J979" s="21">
        <f t="shared" ca="1" si="52"/>
        <v>0</v>
      </c>
      <c r="K979" s="19">
        <f>[1]!s_info_Nature(B979)</f>
        <v>0</v>
      </c>
      <c r="L979" s="19" t="str">
        <f>[1]!b_info_windl1type(B979)</f>
        <v>国债</v>
      </c>
      <c r="M979" s="13">
        <f>[1]!b_info_couponrate(B979)</f>
        <v>2.78</v>
      </c>
      <c r="N979" s="14" t="str">
        <f>[1]!B_Info_ListedDate(B979)</f>
        <v>2017-02-13</v>
      </c>
      <c r="O979" s="14" t="str">
        <f>[1]!b_issue_firstissue(B979)</f>
        <v>2017-02-08</v>
      </c>
      <c r="P979" s="4">
        <f t="shared" ca="1" si="53"/>
        <v>42989</v>
      </c>
    </row>
    <row r="980" spans="2:16">
      <c r="B980" s="7">
        <v>170003</v>
      </c>
      <c r="C980" s="7">
        <v>3.28</v>
      </c>
      <c r="D980" s="18" t="str">
        <f>[1]!b_info_name(B980)</f>
        <v>17附息国债03</v>
      </c>
      <c r="E980" s="19">
        <f>[1]!b_info_latestissurercreditrating(B980)</f>
        <v>0</v>
      </c>
      <c r="F980" s="20">
        <f ca="1">[1]!b_anal_day(B980,$A$5)/365</f>
        <v>0.41643835616438357</v>
      </c>
      <c r="G980" s="21">
        <f ca="1">[1]!b_anal_yield_cnbd(B980,$A$5)</f>
        <v>0</v>
      </c>
      <c r="H980" s="21">
        <f t="shared" ca="1" si="51"/>
        <v>328</v>
      </c>
      <c r="I980" s="21">
        <f ca="1">[1]!b_anal_yield_cnbd(B980,$A$7)</f>
        <v>0</v>
      </c>
      <c r="J980" s="21">
        <f t="shared" ca="1" si="52"/>
        <v>0</v>
      </c>
      <c r="K980" s="19">
        <f>[1]!s_info_Nature(B980)</f>
        <v>0</v>
      </c>
      <c r="L980" s="19" t="str">
        <f>[1]!b_info_windl1type(B980)</f>
        <v>国债</v>
      </c>
      <c r="M980" s="13">
        <f>[1]!b_info_couponrate(B980)</f>
        <v>2.78</v>
      </c>
      <c r="N980" s="14" t="str">
        <f>[1]!B_Info_ListedDate(B980)</f>
        <v>2017-02-13</v>
      </c>
      <c r="O980" s="14" t="str">
        <f>[1]!b_issue_firstissue(B980)</f>
        <v>2017-02-08</v>
      </c>
      <c r="P980" s="4">
        <f t="shared" ca="1" si="53"/>
        <v>42989</v>
      </c>
    </row>
    <row r="981" spans="2:16">
      <c r="B981" s="7">
        <v>170003</v>
      </c>
      <c r="C981" s="7">
        <v>3.28</v>
      </c>
      <c r="D981" s="18" t="str">
        <f>[1]!b_info_name(B981)</f>
        <v>17附息国债03</v>
      </c>
      <c r="E981" s="19">
        <f>[1]!b_info_latestissurercreditrating(B981)</f>
        <v>0</v>
      </c>
      <c r="F981" s="20">
        <f ca="1">[1]!b_anal_day(B981,$A$5)/365</f>
        <v>0.41643835616438357</v>
      </c>
      <c r="G981" s="21">
        <f ca="1">[1]!b_anal_yield_cnbd(B981,$A$5)</f>
        <v>0</v>
      </c>
      <c r="H981" s="21">
        <f t="shared" ca="1" si="51"/>
        <v>328</v>
      </c>
      <c r="I981" s="21">
        <f ca="1">[1]!b_anal_yield_cnbd(B981,$A$7)</f>
        <v>0</v>
      </c>
      <c r="J981" s="21">
        <f t="shared" ca="1" si="52"/>
        <v>0</v>
      </c>
      <c r="K981" s="19">
        <f>[1]!s_info_Nature(B981)</f>
        <v>0</v>
      </c>
      <c r="L981" s="19" t="str">
        <f>[1]!b_info_windl1type(B981)</f>
        <v>国债</v>
      </c>
      <c r="M981" s="13">
        <f>[1]!b_info_couponrate(B981)</f>
        <v>2.78</v>
      </c>
      <c r="N981" s="14" t="str">
        <f>[1]!B_Info_ListedDate(B981)</f>
        <v>2017-02-13</v>
      </c>
      <c r="O981" s="14" t="str">
        <f>[1]!b_issue_firstissue(B981)</f>
        <v>2017-02-08</v>
      </c>
      <c r="P981" s="4">
        <f t="shared" ca="1" si="53"/>
        <v>42989</v>
      </c>
    </row>
    <row r="982" spans="2:16">
      <c r="B982" s="7">
        <v>170003</v>
      </c>
      <c r="C982" s="7">
        <v>3.26</v>
      </c>
      <c r="D982" s="18" t="str">
        <f>[1]!b_info_name(B982)</f>
        <v>17附息国债03</v>
      </c>
      <c r="E982" s="19">
        <f>[1]!b_info_latestissurercreditrating(B982)</f>
        <v>0</v>
      </c>
      <c r="F982" s="20">
        <f ca="1">[1]!b_anal_day(B982,$A$5)/365</f>
        <v>0.41643835616438357</v>
      </c>
      <c r="G982" s="21">
        <f ca="1">[1]!b_anal_yield_cnbd(B982,$A$5)</f>
        <v>0</v>
      </c>
      <c r="H982" s="21">
        <f t="shared" ca="1" si="51"/>
        <v>326</v>
      </c>
      <c r="I982" s="21">
        <f ca="1">[1]!b_anal_yield_cnbd(B982,$A$7)</f>
        <v>0</v>
      </c>
      <c r="J982" s="21">
        <f t="shared" ca="1" si="52"/>
        <v>0</v>
      </c>
      <c r="K982" s="19">
        <f>[1]!s_info_Nature(B982)</f>
        <v>0</v>
      </c>
      <c r="L982" s="19" t="str">
        <f>[1]!b_info_windl1type(B982)</f>
        <v>国债</v>
      </c>
      <c r="M982" s="13">
        <f>[1]!b_info_couponrate(B982)</f>
        <v>2.78</v>
      </c>
      <c r="N982" s="14" t="str">
        <f>[1]!B_Info_ListedDate(B982)</f>
        <v>2017-02-13</v>
      </c>
      <c r="O982" s="14" t="str">
        <f>[1]!b_issue_firstissue(B982)</f>
        <v>2017-02-08</v>
      </c>
      <c r="P982" s="4">
        <f t="shared" ca="1" si="53"/>
        <v>42989</v>
      </c>
    </row>
    <row r="983" spans="2:16">
      <c r="B983" s="7">
        <v>140020</v>
      </c>
      <c r="C983" s="7">
        <v>3.16</v>
      </c>
      <c r="D983" s="18" t="str">
        <f>[1]!b_info_name(B983)</f>
        <v>14附息国债20</v>
      </c>
      <c r="E983" s="19">
        <f>[1]!b_info_latestissurercreditrating(B983)</f>
        <v>0</v>
      </c>
      <c r="F983" s="20">
        <f ca="1">[1]!b_anal_day(B983,$A$5)/365</f>
        <v>2.7397260273972603E-3</v>
      </c>
      <c r="G983" s="21">
        <f ca="1">[1]!b_anal_yield_cnbd(B983,$A$5)</f>
        <v>0</v>
      </c>
      <c r="H983" s="21">
        <f t="shared" ca="1" si="51"/>
        <v>316</v>
      </c>
      <c r="I983" s="21">
        <f ca="1">[1]!b_anal_yield_cnbd(B983,$A$7)</f>
        <v>0</v>
      </c>
      <c r="J983" s="21">
        <f t="shared" ca="1" si="52"/>
        <v>0</v>
      </c>
      <c r="K983" s="19">
        <f>[1]!s_info_Nature(B983)</f>
        <v>0</v>
      </c>
      <c r="L983" s="19" t="str">
        <f>[1]!b_info_windl1type(B983)</f>
        <v>国债</v>
      </c>
      <c r="M983" s="13">
        <f>[1]!b_info_couponrate(B983)</f>
        <v>4</v>
      </c>
      <c r="N983" s="14" t="str">
        <f>[1]!B_Info_ListedDate(B983)</f>
        <v>2014-09-17</v>
      </c>
      <c r="O983" s="14" t="str">
        <f>[1]!b_issue_firstissue(B983)</f>
        <v>2014-09-10</v>
      </c>
      <c r="P983" s="4">
        <f t="shared" ca="1" si="53"/>
        <v>42989</v>
      </c>
    </row>
    <row r="984" spans="2:16">
      <c r="B984" s="7">
        <v>140020</v>
      </c>
      <c r="C984" s="7">
        <v>3.16</v>
      </c>
      <c r="D984" s="18" t="str">
        <f>[1]!b_info_name(B984)</f>
        <v>14附息国债20</v>
      </c>
      <c r="E984" s="19">
        <f>[1]!b_info_latestissurercreditrating(B984)</f>
        <v>0</v>
      </c>
      <c r="F984" s="20">
        <f ca="1">[1]!b_anal_day(B984,$A$5)/365</f>
        <v>2.7397260273972603E-3</v>
      </c>
      <c r="G984" s="21">
        <f ca="1">[1]!b_anal_yield_cnbd(B984,$A$5)</f>
        <v>0</v>
      </c>
      <c r="H984" s="21">
        <f t="shared" ca="1" si="51"/>
        <v>316</v>
      </c>
      <c r="I984" s="21">
        <f ca="1">[1]!b_anal_yield_cnbd(B984,$A$7)</f>
        <v>0</v>
      </c>
      <c r="J984" s="21">
        <f t="shared" ca="1" si="52"/>
        <v>0</v>
      </c>
      <c r="K984" s="19">
        <f>[1]!s_info_Nature(B984)</f>
        <v>0</v>
      </c>
      <c r="L984" s="19" t="str">
        <f>[1]!b_info_windl1type(B984)</f>
        <v>国债</v>
      </c>
      <c r="M984" s="13">
        <f>[1]!b_info_couponrate(B984)</f>
        <v>4</v>
      </c>
      <c r="N984" s="14" t="str">
        <f>[1]!B_Info_ListedDate(B984)</f>
        <v>2014-09-17</v>
      </c>
      <c r="O984" s="14" t="str">
        <f>[1]!b_issue_firstissue(B984)</f>
        <v>2014-09-10</v>
      </c>
      <c r="P984" s="4">
        <f t="shared" ca="1" si="53"/>
        <v>42989</v>
      </c>
    </row>
    <row r="985" spans="2:16">
      <c r="B985" s="7">
        <v>179918</v>
      </c>
      <c r="C985" s="7">
        <v>3.16</v>
      </c>
      <c r="D985" s="18" t="str">
        <f>[1]!b_info_name(B985)</f>
        <v>17贴现国债18</v>
      </c>
      <c r="E985" s="19">
        <f>[1]!b_info_latestissurercreditrating(B985)</f>
        <v>0</v>
      </c>
      <c r="F985" s="20">
        <f ca="1">[1]!b_anal_day(B985,$A$5)/365</f>
        <v>9.8630136986301367E-2</v>
      </c>
      <c r="G985" s="21">
        <f ca="1">[1]!b_anal_yield_cnbd(B985,$A$5)</f>
        <v>0</v>
      </c>
      <c r="H985" s="21">
        <f t="shared" ca="1" si="51"/>
        <v>316</v>
      </c>
      <c r="I985" s="21">
        <f ca="1">[1]!b_anal_yield_cnbd(B985,$A$7)</f>
        <v>0</v>
      </c>
      <c r="J985" s="21">
        <f t="shared" ca="1" si="52"/>
        <v>0</v>
      </c>
      <c r="K985" s="19">
        <f>[1]!s_info_Nature(B985)</f>
        <v>0</v>
      </c>
      <c r="L985" s="19" t="str">
        <f>[1]!b_info_windl1type(B985)</f>
        <v>国债</v>
      </c>
      <c r="M985" s="13">
        <f>[1]!b_info_couponrate(B985)</f>
        <v>2.9881000000000002</v>
      </c>
      <c r="N985" s="14" t="str">
        <f>[1]!B_Info_ListedDate(B985)</f>
        <v>2017-04-19</v>
      </c>
      <c r="O985" s="14" t="str">
        <f>[1]!b_issue_firstissue(B985)</f>
        <v>2017-04-14</v>
      </c>
      <c r="P985" s="4">
        <f t="shared" ca="1" si="53"/>
        <v>42989</v>
      </c>
    </row>
    <row r="986" spans="2:16">
      <c r="B986" s="7">
        <v>140020</v>
      </c>
      <c r="C986" s="7">
        <v>3.16</v>
      </c>
      <c r="D986" s="18" t="str">
        <f>[1]!b_info_name(B986)</f>
        <v>14附息国债20</v>
      </c>
      <c r="E986" s="19">
        <f>[1]!b_info_latestissurercreditrating(B986)</f>
        <v>0</v>
      </c>
      <c r="F986" s="20">
        <f ca="1">[1]!b_anal_day(B986,$A$5)/365</f>
        <v>2.7397260273972603E-3</v>
      </c>
      <c r="G986" s="21">
        <f ca="1">[1]!b_anal_yield_cnbd(B986,$A$5)</f>
        <v>0</v>
      </c>
      <c r="H986" s="21">
        <f t="shared" ca="1" si="51"/>
        <v>316</v>
      </c>
      <c r="I986" s="21">
        <f ca="1">[1]!b_anal_yield_cnbd(B986,$A$7)</f>
        <v>0</v>
      </c>
      <c r="J986" s="21">
        <f t="shared" ca="1" si="52"/>
        <v>0</v>
      </c>
      <c r="K986" s="19">
        <f>[1]!s_info_Nature(B986)</f>
        <v>0</v>
      </c>
      <c r="L986" s="19" t="str">
        <f>[1]!b_info_windl1type(B986)</f>
        <v>国债</v>
      </c>
      <c r="M986" s="13">
        <f>[1]!b_info_couponrate(B986)</f>
        <v>4</v>
      </c>
      <c r="N986" s="14" t="str">
        <f>[1]!B_Info_ListedDate(B986)</f>
        <v>2014-09-17</v>
      </c>
      <c r="O986" s="14" t="str">
        <f>[1]!b_issue_firstissue(B986)</f>
        <v>2014-09-10</v>
      </c>
      <c r="P986" s="4">
        <f t="shared" ca="1" si="53"/>
        <v>42989</v>
      </c>
    </row>
    <row r="987" spans="2:16">
      <c r="B987" s="7">
        <v>140020</v>
      </c>
      <c r="C987" s="7">
        <v>3.1549999999999998</v>
      </c>
      <c r="D987" s="18" t="str">
        <f>[1]!b_info_name(B987)</f>
        <v>14附息国债20</v>
      </c>
      <c r="E987" s="19">
        <f>[1]!b_info_latestissurercreditrating(B987)</f>
        <v>0</v>
      </c>
      <c r="F987" s="20">
        <f ca="1">[1]!b_anal_day(B987,$A$5)/365</f>
        <v>2.7397260273972603E-3</v>
      </c>
      <c r="G987" s="21">
        <f ca="1">[1]!b_anal_yield_cnbd(B987,$A$5)</f>
        <v>0</v>
      </c>
      <c r="H987" s="21">
        <f t="shared" ca="1" si="51"/>
        <v>315.5</v>
      </c>
      <c r="I987" s="21">
        <f ca="1">[1]!b_anal_yield_cnbd(B987,$A$7)</f>
        <v>0</v>
      </c>
      <c r="J987" s="21">
        <f t="shared" ca="1" si="52"/>
        <v>0</v>
      </c>
      <c r="K987" s="19">
        <f>[1]!s_info_Nature(B987)</f>
        <v>0</v>
      </c>
      <c r="L987" s="19" t="str">
        <f>[1]!b_info_windl1type(B987)</f>
        <v>国债</v>
      </c>
      <c r="M987" s="13">
        <f>[1]!b_info_couponrate(B987)</f>
        <v>4</v>
      </c>
      <c r="N987" s="14" t="str">
        <f>[1]!B_Info_ListedDate(B987)</f>
        <v>2014-09-17</v>
      </c>
      <c r="O987" s="14" t="str">
        <f>[1]!b_issue_firstissue(B987)</f>
        <v>2014-09-10</v>
      </c>
      <c r="P987" s="4">
        <f t="shared" ca="1" si="53"/>
        <v>42989</v>
      </c>
    </row>
    <row r="988" spans="2:16">
      <c r="B988" s="7">
        <v>140020</v>
      </c>
      <c r="C988" s="7">
        <v>3.1549999999999998</v>
      </c>
      <c r="D988" s="18" t="str">
        <f>[1]!b_info_name(B988)</f>
        <v>14附息国债20</v>
      </c>
      <c r="E988" s="19">
        <f>[1]!b_info_latestissurercreditrating(B988)</f>
        <v>0</v>
      </c>
      <c r="F988" s="20">
        <f ca="1">[1]!b_anal_day(B988,$A$5)/365</f>
        <v>2.7397260273972603E-3</v>
      </c>
      <c r="G988" s="21">
        <f ca="1">[1]!b_anal_yield_cnbd(B988,$A$5)</f>
        <v>0</v>
      </c>
      <c r="H988" s="21">
        <f t="shared" ca="1" si="51"/>
        <v>315.5</v>
      </c>
      <c r="I988" s="21">
        <f ca="1">[1]!b_anal_yield_cnbd(B988,$A$7)</f>
        <v>0</v>
      </c>
      <c r="J988" s="21">
        <f t="shared" ca="1" si="52"/>
        <v>0</v>
      </c>
      <c r="K988" s="19">
        <f>[1]!s_info_Nature(B988)</f>
        <v>0</v>
      </c>
      <c r="L988" s="19" t="str">
        <f>[1]!b_info_windl1type(B988)</f>
        <v>国债</v>
      </c>
      <c r="M988" s="13">
        <f>[1]!b_info_couponrate(B988)</f>
        <v>4</v>
      </c>
      <c r="N988" s="14" t="str">
        <f>[1]!B_Info_ListedDate(B988)</f>
        <v>2014-09-17</v>
      </c>
      <c r="O988" s="14" t="str">
        <f>[1]!b_issue_firstissue(B988)</f>
        <v>2014-09-10</v>
      </c>
      <c r="P988" s="4">
        <f t="shared" ca="1" si="53"/>
        <v>42989</v>
      </c>
    </row>
    <row r="989" spans="2:16">
      <c r="B989" s="7">
        <v>140020</v>
      </c>
      <c r="C989" s="7">
        <v>3.1549999999999998</v>
      </c>
      <c r="D989" s="18" t="str">
        <f>[1]!b_info_name(B989)</f>
        <v>14附息国债20</v>
      </c>
      <c r="E989" s="19">
        <f>[1]!b_info_latestissurercreditrating(B989)</f>
        <v>0</v>
      </c>
      <c r="F989" s="20">
        <f ca="1">[1]!b_anal_day(B989,$A$5)/365</f>
        <v>2.7397260273972603E-3</v>
      </c>
      <c r="G989" s="21">
        <f ca="1">[1]!b_anal_yield_cnbd(B989,$A$5)</f>
        <v>0</v>
      </c>
      <c r="H989" s="21">
        <f t="shared" ca="1" si="51"/>
        <v>315.5</v>
      </c>
      <c r="I989" s="21">
        <f ca="1">[1]!b_anal_yield_cnbd(B989,$A$7)</f>
        <v>0</v>
      </c>
      <c r="J989" s="21">
        <f t="shared" ca="1" si="52"/>
        <v>0</v>
      </c>
      <c r="K989" s="19">
        <f>[1]!s_info_Nature(B989)</f>
        <v>0</v>
      </c>
      <c r="L989" s="19" t="str">
        <f>[1]!b_info_windl1type(B989)</f>
        <v>国债</v>
      </c>
      <c r="M989" s="13">
        <f>[1]!b_info_couponrate(B989)</f>
        <v>4</v>
      </c>
      <c r="N989" s="14" t="str">
        <f>[1]!B_Info_ListedDate(B989)</f>
        <v>2014-09-17</v>
      </c>
      <c r="O989" s="14" t="str">
        <f>[1]!b_issue_firstissue(B989)</f>
        <v>2014-09-10</v>
      </c>
      <c r="P989" s="4">
        <f t="shared" ca="1" si="53"/>
        <v>42989</v>
      </c>
    </row>
    <row r="990" spans="2:16">
      <c r="B990" s="7">
        <v>140020</v>
      </c>
      <c r="C990" s="7">
        <v>3.1549999999999998</v>
      </c>
      <c r="D990" s="18" t="str">
        <f>[1]!b_info_name(B990)</f>
        <v>14附息国债20</v>
      </c>
      <c r="E990" s="19">
        <f>[1]!b_info_latestissurercreditrating(B990)</f>
        <v>0</v>
      </c>
      <c r="F990" s="20">
        <f ca="1">[1]!b_anal_day(B990,$A$5)/365</f>
        <v>2.7397260273972603E-3</v>
      </c>
      <c r="G990" s="21">
        <f ca="1">[1]!b_anal_yield_cnbd(B990,$A$5)</f>
        <v>0</v>
      </c>
      <c r="H990" s="21">
        <f t="shared" ca="1" si="51"/>
        <v>315.5</v>
      </c>
      <c r="I990" s="21">
        <f ca="1">[1]!b_anal_yield_cnbd(B990,$A$7)</f>
        <v>0</v>
      </c>
      <c r="J990" s="21">
        <f t="shared" ca="1" si="52"/>
        <v>0</v>
      </c>
      <c r="K990" s="19">
        <f>[1]!s_info_Nature(B990)</f>
        <v>0</v>
      </c>
      <c r="L990" s="19" t="str">
        <f>[1]!b_info_windl1type(B990)</f>
        <v>国债</v>
      </c>
      <c r="M990" s="13">
        <f>[1]!b_info_couponrate(B990)</f>
        <v>4</v>
      </c>
      <c r="N990" s="14" t="str">
        <f>[1]!B_Info_ListedDate(B990)</f>
        <v>2014-09-17</v>
      </c>
      <c r="O990" s="14" t="str">
        <f>[1]!b_issue_firstissue(B990)</f>
        <v>2014-09-10</v>
      </c>
      <c r="P990" s="4">
        <f t="shared" ca="1" si="53"/>
        <v>42989</v>
      </c>
    </row>
    <row r="991" spans="2:16">
      <c r="B991" s="7">
        <v>140020</v>
      </c>
      <c r="C991" s="7">
        <v>3.1549999999999998</v>
      </c>
      <c r="D991" s="18" t="str">
        <f>[1]!b_info_name(B991)</f>
        <v>14附息国债20</v>
      </c>
      <c r="E991" s="19">
        <f>[1]!b_info_latestissurercreditrating(B991)</f>
        <v>0</v>
      </c>
      <c r="F991" s="20">
        <f ca="1">[1]!b_anal_day(B991,$A$5)/365</f>
        <v>2.7397260273972603E-3</v>
      </c>
      <c r="G991" s="21">
        <f ca="1">[1]!b_anal_yield_cnbd(B991,$A$5)</f>
        <v>0</v>
      </c>
      <c r="H991" s="21">
        <f t="shared" ca="1" si="51"/>
        <v>315.5</v>
      </c>
      <c r="I991" s="21">
        <f ca="1">[1]!b_anal_yield_cnbd(B991,$A$7)</f>
        <v>0</v>
      </c>
      <c r="J991" s="21">
        <f t="shared" ca="1" si="52"/>
        <v>0</v>
      </c>
      <c r="K991" s="19">
        <f>[1]!s_info_Nature(B991)</f>
        <v>0</v>
      </c>
      <c r="L991" s="19" t="str">
        <f>[1]!b_info_windl1type(B991)</f>
        <v>国债</v>
      </c>
      <c r="M991" s="13">
        <f>[1]!b_info_couponrate(B991)</f>
        <v>4</v>
      </c>
      <c r="N991" s="14" t="str">
        <f>[1]!B_Info_ListedDate(B991)</f>
        <v>2014-09-17</v>
      </c>
      <c r="O991" s="14" t="str">
        <f>[1]!b_issue_firstissue(B991)</f>
        <v>2014-09-10</v>
      </c>
      <c r="P991" s="4">
        <f t="shared" ca="1" si="53"/>
        <v>42989</v>
      </c>
    </row>
    <row r="992" spans="2:16">
      <c r="B992" s="7">
        <v>140020</v>
      </c>
      <c r="C992" s="7">
        <v>3.1549999999999998</v>
      </c>
      <c r="D992" s="18" t="str">
        <f>[1]!b_info_name(B992)</f>
        <v>14附息国债20</v>
      </c>
      <c r="E992" s="19">
        <f>[1]!b_info_latestissurercreditrating(B992)</f>
        <v>0</v>
      </c>
      <c r="F992" s="20">
        <f ca="1">[1]!b_anal_day(B992,$A$5)/365</f>
        <v>2.7397260273972603E-3</v>
      </c>
      <c r="G992" s="21">
        <f ca="1">[1]!b_anal_yield_cnbd(B992,$A$5)</f>
        <v>0</v>
      </c>
      <c r="H992" s="21">
        <f t="shared" ca="1" si="51"/>
        <v>315.5</v>
      </c>
      <c r="I992" s="21">
        <f ca="1">[1]!b_anal_yield_cnbd(B992,$A$7)</f>
        <v>0</v>
      </c>
      <c r="J992" s="21">
        <f t="shared" ca="1" si="52"/>
        <v>0</v>
      </c>
      <c r="K992" s="19">
        <f>[1]!s_info_Nature(B992)</f>
        <v>0</v>
      </c>
      <c r="L992" s="19" t="str">
        <f>[1]!b_info_windl1type(B992)</f>
        <v>国债</v>
      </c>
      <c r="M992" s="13">
        <f>[1]!b_info_couponrate(B992)</f>
        <v>4</v>
      </c>
      <c r="N992" s="14" t="str">
        <f>[1]!B_Info_ListedDate(B992)</f>
        <v>2014-09-17</v>
      </c>
      <c r="O992" s="14" t="str">
        <f>[1]!b_issue_firstissue(B992)</f>
        <v>2014-09-10</v>
      </c>
      <c r="P992" s="4">
        <f t="shared" ca="1" si="53"/>
        <v>42989</v>
      </c>
    </row>
    <row r="993" spans="2:16">
      <c r="B993" s="7">
        <v>140020</v>
      </c>
      <c r="C993" s="7">
        <v>3.15</v>
      </c>
      <c r="D993" s="18" t="str">
        <f>[1]!b_info_name(B993)</f>
        <v>14附息国债20</v>
      </c>
      <c r="E993" s="19">
        <f>[1]!b_info_latestissurercreditrating(B993)</f>
        <v>0</v>
      </c>
      <c r="F993" s="20">
        <f ca="1">[1]!b_anal_day(B993,$A$5)/365</f>
        <v>2.7397260273972603E-3</v>
      </c>
      <c r="G993" s="21">
        <f ca="1">[1]!b_anal_yield_cnbd(B993,$A$5)</f>
        <v>0</v>
      </c>
      <c r="H993" s="21">
        <f t="shared" ca="1" si="51"/>
        <v>315</v>
      </c>
      <c r="I993" s="21">
        <f ca="1">[1]!b_anal_yield_cnbd(B993,$A$7)</f>
        <v>0</v>
      </c>
      <c r="J993" s="21">
        <f t="shared" ca="1" si="52"/>
        <v>0</v>
      </c>
      <c r="K993" s="19">
        <f>[1]!s_info_Nature(B993)</f>
        <v>0</v>
      </c>
      <c r="L993" s="19" t="str">
        <f>[1]!b_info_windl1type(B993)</f>
        <v>国债</v>
      </c>
      <c r="M993" s="13">
        <f>[1]!b_info_couponrate(B993)</f>
        <v>4</v>
      </c>
      <c r="N993" s="14" t="str">
        <f>[1]!B_Info_ListedDate(B993)</f>
        <v>2014-09-17</v>
      </c>
      <c r="O993" s="14" t="str">
        <f>[1]!b_issue_firstissue(B993)</f>
        <v>2014-09-10</v>
      </c>
      <c r="P993" s="4">
        <f t="shared" ca="1" si="53"/>
        <v>42989</v>
      </c>
    </row>
    <row r="994" spans="2:16">
      <c r="B994" s="7">
        <v>140020</v>
      </c>
      <c r="C994" s="7">
        <v>3.15</v>
      </c>
      <c r="D994" s="18" t="str">
        <f>[1]!b_info_name(B994)</f>
        <v>14附息国债20</v>
      </c>
      <c r="E994" s="19">
        <f>[1]!b_info_latestissurercreditrating(B994)</f>
        <v>0</v>
      </c>
      <c r="F994" s="20">
        <f ca="1">[1]!b_anal_day(B994,$A$5)/365</f>
        <v>2.7397260273972603E-3</v>
      </c>
      <c r="G994" s="21">
        <f ca="1">[1]!b_anal_yield_cnbd(B994,$A$5)</f>
        <v>0</v>
      </c>
      <c r="H994" s="21">
        <f t="shared" ca="1" si="51"/>
        <v>315</v>
      </c>
      <c r="I994" s="21">
        <f ca="1">[1]!b_anal_yield_cnbd(B994,$A$7)</f>
        <v>0</v>
      </c>
      <c r="J994" s="21">
        <f t="shared" ca="1" si="52"/>
        <v>0</v>
      </c>
      <c r="K994" s="19">
        <f>[1]!s_info_Nature(B994)</f>
        <v>0</v>
      </c>
      <c r="L994" s="19" t="str">
        <f>[1]!b_info_windl1type(B994)</f>
        <v>国债</v>
      </c>
      <c r="M994" s="13">
        <f>[1]!b_info_couponrate(B994)</f>
        <v>4</v>
      </c>
      <c r="N994" s="14" t="str">
        <f>[1]!B_Info_ListedDate(B994)</f>
        <v>2014-09-17</v>
      </c>
      <c r="O994" s="14" t="str">
        <f>[1]!b_issue_firstissue(B994)</f>
        <v>2014-09-10</v>
      </c>
      <c r="P994" s="4">
        <f t="shared" ca="1" si="53"/>
        <v>42989</v>
      </c>
    </row>
    <row r="995" spans="2:16">
      <c r="B995" s="7">
        <v>179920</v>
      </c>
      <c r="C995" s="7">
        <v>3.05</v>
      </c>
      <c r="D995" s="18" t="str">
        <f>[1]!b_info_name(B995)</f>
        <v>17贴现国债20</v>
      </c>
      <c r="E995" s="19">
        <f>[1]!b_info_latestissurercreditrating(B995)</f>
        <v>0</v>
      </c>
      <c r="F995" s="20">
        <f ca="1">[1]!b_anal_day(B995,$A$5)/365</f>
        <v>0</v>
      </c>
      <c r="G995" s="21">
        <f ca="1">[1]!b_anal_yield_cnbd(B995,$A$5)</f>
        <v>0</v>
      </c>
      <c r="H995" s="21">
        <f t="shared" ca="1" si="51"/>
        <v>305</v>
      </c>
      <c r="I995" s="21">
        <f ca="1">[1]!b_anal_yield_cnbd(B995,$A$7)</f>
        <v>0</v>
      </c>
      <c r="J995" s="21">
        <f t="shared" ca="1" si="52"/>
        <v>0</v>
      </c>
      <c r="K995" s="19">
        <f>[1]!s_info_Nature(B995)</f>
        <v>0</v>
      </c>
      <c r="L995" s="19" t="str">
        <f>[1]!b_info_windl1type(B995)</f>
        <v>国债</v>
      </c>
      <c r="M995" s="13">
        <f>[1]!b_info_couponrate(B995)</f>
        <v>2.9443000000000001</v>
      </c>
      <c r="N995" s="14" t="str">
        <f>[1]!B_Info_ListedDate(B995)</f>
        <v>2017-05-04</v>
      </c>
      <c r="O995" s="14" t="str">
        <f>[1]!b_issue_firstissue(B995)</f>
        <v>2017-04-28</v>
      </c>
      <c r="P995" s="4">
        <f t="shared" ca="1" si="53"/>
        <v>42989</v>
      </c>
    </row>
    <row r="996" spans="2:16">
      <c r="B996" s="7">
        <v>160419</v>
      </c>
      <c r="C996" s="7">
        <v>3.05</v>
      </c>
      <c r="D996" s="18" t="str">
        <f>[1]!b_info_name(B996)</f>
        <v>16农发19</v>
      </c>
      <c r="E996" s="19">
        <f>[1]!b_info_latestissurercreditrating(B996)</f>
        <v>0</v>
      </c>
      <c r="F996" s="20">
        <f ca="1">[1]!b_anal_day(B996,$A$5)/365</f>
        <v>0</v>
      </c>
      <c r="G996" s="21">
        <f ca="1">[1]!b_anal_yield_cnbd(B996,$A$5)</f>
        <v>0</v>
      </c>
      <c r="H996" s="21">
        <f t="shared" ca="1" si="51"/>
        <v>305</v>
      </c>
      <c r="I996" s="21">
        <f ca="1">[1]!b_anal_yield_cnbd(B996,$A$7)</f>
        <v>0</v>
      </c>
      <c r="J996" s="21">
        <f t="shared" ca="1" si="52"/>
        <v>0</v>
      </c>
      <c r="K996" s="19">
        <f>[1]!s_info_Nature(B996)</f>
        <v>0</v>
      </c>
      <c r="L996" s="19" t="str">
        <f>[1]!b_info_windl1type(B996)</f>
        <v>金融债</v>
      </c>
      <c r="M996" s="13">
        <f>[1]!b_info_couponrate(B996)</f>
        <v>2.31</v>
      </c>
      <c r="N996" s="14" t="str">
        <f>[1]!B_Info_ListedDate(B996)</f>
        <v>2016-07-29</v>
      </c>
      <c r="O996" s="14" t="str">
        <f>[1]!b_issue_firstissue(B996)</f>
        <v>2016-07-25</v>
      </c>
      <c r="P996" s="4">
        <f t="shared" ca="1" si="53"/>
        <v>42989</v>
      </c>
    </row>
    <row r="997" spans="2:16">
      <c r="B997" s="7">
        <v>160419</v>
      </c>
      <c r="C997" s="7">
        <v>3.04</v>
      </c>
      <c r="D997" s="18" t="str">
        <f>[1]!b_info_name(B997)</f>
        <v>16农发19</v>
      </c>
      <c r="E997" s="19">
        <f>[1]!b_info_latestissurercreditrating(B997)</f>
        <v>0</v>
      </c>
      <c r="F997" s="20">
        <f ca="1">[1]!b_anal_day(B997,$A$5)/365</f>
        <v>0</v>
      </c>
      <c r="G997" s="21">
        <f ca="1">[1]!b_anal_yield_cnbd(B997,$A$5)</f>
        <v>0</v>
      </c>
      <c r="H997" s="21">
        <f t="shared" ca="1" si="51"/>
        <v>304</v>
      </c>
      <c r="I997" s="21">
        <f ca="1">[1]!b_anal_yield_cnbd(B997,$A$7)</f>
        <v>0</v>
      </c>
      <c r="J997" s="21">
        <f t="shared" ca="1" si="52"/>
        <v>0</v>
      </c>
      <c r="K997" s="19">
        <f>[1]!s_info_Nature(B997)</f>
        <v>0</v>
      </c>
      <c r="L997" s="19" t="str">
        <f>[1]!b_info_windl1type(B997)</f>
        <v>金融债</v>
      </c>
      <c r="M997" s="13">
        <f>[1]!b_info_couponrate(B997)</f>
        <v>2.31</v>
      </c>
      <c r="N997" s="14" t="str">
        <f>[1]!B_Info_ListedDate(B997)</f>
        <v>2016-07-29</v>
      </c>
      <c r="O997" s="14" t="str">
        <f>[1]!b_issue_firstissue(B997)</f>
        <v>2016-07-25</v>
      </c>
      <c r="P997" s="4">
        <f t="shared" ca="1" si="53"/>
        <v>42989</v>
      </c>
    </row>
    <row r="998" spans="2:16">
      <c r="B998" s="7">
        <v>160018</v>
      </c>
      <c r="C998" s="7">
        <v>3</v>
      </c>
      <c r="D998" s="18" t="str">
        <f>[1]!b_info_name(B998)</f>
        <v>16附息国债18</v>
      </c>
      <c r="E998" s="19">
        <f>[1]!b_info_latestissurercreditrating(B998)</f>
        <v>0</v>
      </c>
      <c r="F998" s="20">
        <f ca="1">[1]!b_anal_day(B998,$A$5)/365</f>
        <v>0</v>
      </c>
      <c r="G998" s="21">
        <f ca="1">[1]!b_anal_yield_cnbd(B998,$A$5)</f>
        <v>0</v>
      </c>
      <c r="H998" s="21">
        <f t="shared" ca="1" si="51"/>
        <v>300</v>
      </c>
      <c r="I998" s="21">
        <f ca="1">[1]!b_anal_yield_cnbd(B998,$A$7)</f>
        <v>0</v>
      </c>
      <c r="J998" s="21">
        <f t="shared" ca="1" si="52"/>
        <v>0</v>
      </c>
      <c r="K998" s="19">
        <f>[1]!s_info_Nature(B998)</f>
        <v>0</v>
      </c>
      <c r="L998" s="19" t="str">
        <f>[1]!b_info_windl1type(B998)</f>
        <v>国债</v>
      </c>
      <c r="M998" s="13">
        <f>[1]!b_info_couponrate(B998)</f>
        <v>2.14</v>
      </c>
      <c r="N998" s="14" t="str">
        <f>[1]!B_Info_ListedDate(B998)</f>
        <v>2016-08-08</v>
      </c>
      <c r="O998" s="14" t="str">
        <f>[1]!b_issue_firstissue(B998)</f>
        <v>2016-08-03</v>
      </c>
      <c r="P998" s="4">
        <f t="shared" ca="1" si="53"/>
        <v>42989</v>
      </c>
    </row>
    <row r="999" spans="2:16">
      <c r="B999" s="7">
        <v>160018</v>
      </c>
      <c r="C999" s="7">
        <v>3</v>
      </c>
      <c r="D999" s="18" t="str">
        <f>[1]!b_info_name(B999)</f>
        <v>16附息国债18</v>
      </c>
      <c r="E999" s="19">
        <f>[1]!b_info_latestissurercreditrating(B999)</f>
        <v>0</v>
      </c>
      <c r="F999" s="20">
        <f ca="1">[1]!b_anal_day(B999,$A$5)/365</f>
        <v>0</v>
      </c>
      <c r="G999" s="21">
        <f ca="1">[1]!b_anal_yield_cnbd(B999,$A$5)</f>
        <v>0</v>
      </c>
      <c r="H999" s="21">
        <f t="shared" ca="1" si="51"/>
        <v>300</v>
      </c>
      <c r="I999" s="21">
        <f ca="1">[1]!b_anal_yield_cnbd(B999,$A$7)</f>
        <v>0</v>
      </c>
      <c r="J999" s="21">
        <f t="shared" ca="1" si="52"/>
        <v>0</v>
      </c>
      <c r="K999" s="19">
        <f>[1]!s_info_Nature(B999)</f>
        <v>0</v>
      </c>
      <c r="L999" s="19" t="str">
        <f>[1]!b_info_windl1type(B999)</f>
        <v>国债</v>
      </c>
      <c r="M999" s="13">
        <f>[1]!b_info_couponrate(B999)</f>
        <v>2.14</v>
      </c>
      <c r="N999" s="14" t="str">
        <f>[1]!B_Info_ListedDate(B999)</f>
        <v>2016-08-08</v>
      </c>
      <c r="O999" s="14" t="str">
        <f>[1]!b_issue_firstissue(B999)</f>
        <v>2016-08-03</v>
      </c>
      <c r="P999" s="4">
        <f t="shared" ca="1" si="53"/>
        <v>42989</v>
      </c>
    </row>
    <row r="1000" spans="2:16">
      <c r="B1000" s="7">
        <v>160018</v>
      </c>
      <c r="C1000" s="7">
        <v>3</v>
      </c>
      <c r="D1000" s="18" t="str">
        <f>[1]!b_info_name(B1000)</f>
        <v>16附息国债18</v>
      </c>
      <c r="E1000" s="19">
        <f>[1]!b_info_latestissurercreditrating(B1000)</f>
        <v>0</v>
      </c>
      <c r="F1000" s="20">
        <f ca="1">[1]!b_anal_day(B1000,$A$5)/365</f>
        <v>0</v>
      </c>
      <c r="G1000" s="21">
        <f ca="1">[1]!b_anal_yield_cnbd(B1000,$A$5)</f>
        <v>0</v>
      </c>
      <c r="H1000" s="21">
        <f t="shared" ca="1" si="51"/>
        <v>300</v>
      </c>
      <c r="I1000" s="21">
        <f ca="1">[1]!b_anal_yield_cnbd(B1000,$A$7)</f>
        <v>0</v>
      </c>
      <c r="J1000" s="21">
        <f t="shared" ca="1" si="52"/>
        <v>0</v>
      </c>
      <c r="K1000" s="19">
        <f>[1]!s_info_Nature(B1000)</f>
        <v>0</v>
      </c>
      <c r="L1000" s="19" t="str">
        <f>[1]!b_info_windl1type(B1000)</f>
        <v>国债</v>
      </c>
      <c r="M1000" s="13">
        <f>[1]!b_info_couponrate(B1000)</f>
        <v>2.14</v>
      </c>
      <c r="N1000" s="14" t="str">
        <f>[1]!B_Info_ListedDate(B1000)</f>
        <v>2016-08-08</v>
      </c>
      <c r="O1000" s="14" t="str">
        <f>[1]!b_issue_firstissue(B1000)</f>
        <v>2016-08-03</v>
      </c>
      <c r="P1000" s="4">
        <f t="shared" ca="1" si="53"/>
        <v>42989</v>
      </c>
    </row>
    <row r="1001" spans="2:16">
      <c r="B1001" s="7">
        <v>160018</v>
      </c>
      <c r="C1001" s="7">
        <v>3</v>
      </c>
      <c r="D1001" s="18" t="str">
        <f>[1]!b_info_name(B1001)</f>
        <v>16附息国债18</v>
      </c>
      <c r="E1001" s="19">
        <f>[1]!b_info_latestissurercreditrating(B1001)</f>
        <v>0</v>
      </c>
      <c r="F1001" s="20">
        <f ca="1">[1]!b_anal_day(B1001,$A$5)/365</f>
        <v>0</v>
      </c>
      <c r="G1001" s="21">
        <f ca="1">[1]!b_anal_yield_cnbd(B1001,$A$5)</f>
        <v>0</v>
      </c>
      <c r="H1001" s="21">
        <f t="shared" ca="1" si="51"/>
        <v>300</v>
      </c>
      <c r="I1001" s="21">
        <f ca="1">[1]!b_anal_yield_cnbd(B1001,$A$7)</f>
        <v>0</v>
      </c>
      <c r="J1001" s="21">
        <f t="shared" ca="1" si="52"/>
        <v>0</v>
      </c>
      <c r="K1001" s="19">
        <f>[1]!s_info_Nature(B1001)</f>
        <v>0</v>
      </c>
      <c r="L1001" s="19" t="str">
        <f>[1]!b_info_windl1type(B1001)</f>
        <v>国债</v>
      </c>
      <c r="M1001" s="13">
        <f>[1]!b_info_couponrate(B1001)</f>
        <v>2.14</v>
      </c>
      <c r="N1001" s="14" t="str">
        <f>[1]!B_Info_ListedDate(B1001)</f>
        <v>2016-08-08</v>
      </c>
      <c r="O1001" s="14" t="str">
        <f>[1]!b_issue_firstissue(B1001)</f>
        <v>2016-08-03</v>
      </c>
      <c r="P1001" s="4">
        <f t="shared" ca="1" si="53"/>
        <v>42989</v>
      </c>
    </row>
    <row r="1002" spans="2:16">
      <c r="B1002" s="7">
        <v>160018</v>
      </c>
      <c r="C1002" s="7">
        <v>3</v>
      </c>
      <c r="D1002" s="18" t="str">
        <f>[1]!b_info_name(B1002)</f>
        <v>16附息国债18</v>
      </c>
      <c r="E1002" s="19">
        <f>[1]!b_info_latestissurercreditrating(B1002)</f>
        <v>0</v>
      </c>
      <c r="F1002" s="20">
        <f ca="1">[1]!b_anal_day(B1002,$A$5)/365</f>
        <v>0</v>
      </c>
      <c r="G1002" s="21">
        <f ca="1">[1]!b_anal_yield_cnbd(B1002,$A$5)</f>
        <v>0</v>
      </c>
      <c r="H1002" s="21">
        <f t="shared" ca="1" si="51"/>
        <v>300</v>
      </c>
      <c r="I1002" s="21">
        <f ca="1">[1]!b_anal_yield_cnbd(B1002,$A$7)</f>
        <v>0</v>
      </c>
      <c r="J1002" s="21">
        <f t="shared" ca="1" si="52"/>
        <v>0</v>
      </c>
      <c r="K1002" s="19">
        <f>[1]!s_info_Nature(B1002)</f>
        <v>0</v>
      </c>
      <c r="L1002" s="19" t="str">
        <f>[1]!b_info_windl1type(B1002)</f>
        <v>国债</v>
      </c>
      <c r="M1002" s="13">
        <f>[1]!b_info_couponrate(B1002)</f>
        <v>2.14</v>
      </c>
      <c r="N1002" s="14" t="str">
        <f>[1]!B_Info_ListedDate(B1002)</f>
        <v>2016-08-08</v>
      </c>
      <c r="O1002" s="14" t="str">
        <f>[1]!b_issue_firstissue(B1002)</f>
        <v>2016-08-03</v>
      </c>
      <c r="P1002" s="4">
        <f t="shared" ca="1" si="53"/>
        <v>42989</v>
      </c>
    </row>
    <row r="1003" spans="2:16">
      <c r="B1003" s="7">
        <v>140434</v>
      </c>
      <c r="C1003" s="7">
        <v>3</v>
      </c>
      <c r="D1003" s="18" t="str">
        <f>[1]!b_info_name(B1003)</f>
        <v>14农发34</v>
      </c>
      <c r="E1003" s="19">
        <f>[1]!b_info_latestissurercreditrating(B1003)</f>
        <v>0</v>
      </c>
      <c r="F1003" s="20">
        <f ca="1">[1]!b_anal_day(B1003,$A$5)/365</f>
        <v>0</v>
      </c>
      <c r="G1003" s="21">
        <f ca="1">[1]!b_anal_yield_cnbd(B1003,$A$5)</f>
        <v>0</v>
      </c>
      <c r="H1003" s="21">
        <f t="shared" ca="1" si="51"/>
        <v>300</v>
      </c>
      <c r="I1003" s="21">
        <f ca="1">[1]!b_anal_yield_cnbd(B1003,$A$7)</f>
        <v>0</v>
      </c>
      <c r="J1003" s="21">
        <f t="shared" ca="1" si="52"/>
        <v>0</v>
      </c>
      <c r="K1003" s="19" t="str">
        <f>[1]!s_info_Nature(B1003)</f>
        <v>中央国有企业</v>
      </c>
      <c r="L1003" s="19" t="str">
        <f>[1]!b_info_windl1type(B1003)</f>
        <v>金融债</v>
      </c>
      <c r="M1003" s="13">
        <f>[1]!b_info_couponrate(B1003)</f>
        <v>4.7699999999999996</v>
      </c>
      <c r="N1003" s="14" t="str">
        <f>[1]!B_Info_ListedDate(B1003)</f>
        <v>2014-05-21</v>
      </c>
      <c r="O1003" s="14" t="str">
        <f>[1]!b_issue_firstissue(B1003)</f>
        <v>2014-05-12</v>
      </c>
      <c r="P1003" s="4">
        <f t="shared" ca="1" si="53"/>
        <v>42989</v>
      </c>
    </row>
    <row r="1004" spans="2:16">
      <c r="B1004" s="7">
        <v>120230</v>
      </c>
      <c r="C1004" s="7">
        <v>2.9</v>
      </c>
      <c r="D1004" s="18" t="str">
        <f>[1]!b_info_name(B1004)</f>
        <v>12国开30</v>
      </c>
      <c r="E1004" s="19">
        <f>[1]!b_info_latestissurercreditrating(B1004)</f>
        <v>0</v>
      </c>
      <c r="F1004" s="20">
        <f ca="1">[1]!b_anal_day(B1004,$A$5)/365</f>
        <v>0</v>
      </c>
      <c r="G1004" s="21">
        <f ca="1">[1]!b_anal_yield_cnbd(B1004,$A$5)</f>
        <v>0</v>
      </c>
      <c r="H1004" s="21">
        <f t="shared" ca="1" si="51"/>
        <v>290</v>
      </c>
      <c r="I1004" s="21">
        <f ca="1">[1]!b_anal_yield_cnbd(B1004,$A$7)</f>
        <v>0</v>
      </c>
      <c r="J1004" s="21">
        <f t="shared" ca="1" si="52"/>
        <v>0</v>
      </c>
      <c r="K1004" s="19">
        <f>[1]!s_info_Nature(B1004)</f>
        <v>0</v>
      </c>
      <c r="L1004" s="19" t="str">
        <f>[1]!b_info_windl1type(B1004)</f>
        <v>金融债</v>
      </c>
      <c r="M1004" s="13">
        <f>[1]!b_info_couponrate(B1004)</f>
        <v>3.75</v>
      </c>
      <c r="N1004" s="14" t="str">
        <f>[1]!B_Info_ListedDate(B1004)</f>
        <v>2012-07-13</v>
      </c>
      <c r="O1004" s="14" t="str">
        <f>[1]!b_issue_firstissue(B1004)</f>
        <v>2012-07-03</v>
      </c>
      <c r="P1004" s="4">
        <f t="shared" ca="1" si="53"/>
        <v>42989</v>
      </c>
    </row>
    <row r="1005" spans="2:16">
      <c r="B1005" s="7">
        <v>140434</v>
      </c>
      <c r="C1005" s="7">
        <v>2.9</v>
      </c>
      <c r="D1005" s="18" t="str">
        <f>[1]!b_info_name(B1005)</f>
        <v>14农发34</v>
      </c>
      <c r="E1005" s="19">
        <f>[1]!b_info_latestissurercreditrating(B1005)</f>
        <v>0</v>
      </c>
      <c r="F1005" s="20">
        <f ca="1">[1]!b_anal_day(B1005,$A$5)/365</f>
        <v>0</v>
      </c>
      <c r="G1005" s="21">
        <f ca="1">[1]!b_anal_yield_cnbd(B1005,$A$5)</f>
        <v>0</v>
      </c>
      <c r="H1005" s="21">
        <f t="shared" ca="1" si="51"/>
        <v>290</v>
      </c>
      <c r="I1005" s="21">
        <f ca="1">[1]!b_anal_yield_cnbd(B1005,$A$7)</f>
        <v>0</v>
      </c>
      <c r="J1005" s="21">
        <f t="shared" ca="1" si="52"/>
        <v>0</v>
      </c>
      <c r="K1005" s="19" t="str">
        <f>[1]!s_info_Nature(B1005)</f>
        <v>中央国有企业</v>
      </c>
      <c r="L1005" s="19" t="str">
        <f>[1]!b_info_windl1type(B1005)</f>
        <v>金融债</v>
      </c>
      <c r="M1005" s="13">
        <f>[1]!b_info_couponrate(B1005)</f>
        <v>4.7699999999999996</v>
      </c>
      <c r="N1005" s="14" t="str">
        <f>[1]!B_Info_ListedDate(B1005)</f>
        <v>2014-05-21</v>
      </c>
      <c r="O1005" s="14" t="str">
        <f>[1]!b_issue_firstissue(B1005)</f>
        <v>2014-05-12</v>
      </c>
      <c r="P1005" s="4">
        <f t="shared" ca="1" si="53"/>
        <v>42989</v>
      </c>
    </row>
    <row r="1006" spans="2:16">
      <c r="B1006" s="7">
        <v>140434</v>
      </c>
      <c r="C1006" s="7">
        <v>2.9</v>
      </c>
      <c r="D1006" s="18" t="str">
        <f>[1]!b_info_name(B1006)</f>
        <v>14农发34</v>
      </c>
      <c r="E1006" s="19">
        <f>[1]!b_info_latestissurercreditrating(B1006)</f>
        <v>0</v>
      </c>
      <c r="F1006" s="20">
        <f ca="1">[1]!b_anal_day(B1006,$A$5)/365</f>
        <v>0</v>
      </c>
      <c r="G1006" s="21">
        <f ca="1">[1]!b_anal_yield_cnbd(B1006,$A$5)</f>
        <v>0</v>
      </c>
      <c r="H1006" s="21">
        <f t="shared" ca="1" si="51"/>
        <v>290</v>
      </c>
      <c r="I1006" s="21">
        <f ca="1">[1]!b_anal_yield_cnbd(B1006,$A$7)</f>
        <v>0</v>
      </c>
      <c r="J1006" s="21">
        <f t="shared" ca="1" si="52"/>
        <v>0</v>
      </c>
      <c r="K1006" s="19" t="str">
        <f>[1]!s_info_Nature(B1006)</f>
        <v>中央国有企业</v>
      </c>
      <c r="L1006" s="19" t="str">
        <f>[1]!b_info_windl1type(B1006)</f>
        <v>金融债</v>
      </c>
      <c r="M1006" s="13">
        <f>[1]!b_info_couponrate(B1006)</f>
        <v>4.7699999999999996</v>
      </c>
      <c r="N1006" s="14" t="str">
        <f>[1]!B_Info_ListedDate(B1006)</f>
        <v>2014-05-21</v>
      </c>
      <c r="O1006" s="14" t="str">
        <f>[1]!b_issue_firstissue(B1006)</f>
        <v>2014-05-12</v>
      </c>
      <c r="P1006" s="4">
        <f t="shared" ca="1" si="53"/>
        <v>42989</v>
      </c>
    </row>
    <row r="1007" spans="2:16">
      <c r="B1007" s="7">
        <v>179910</v>
      </c>
      <c r="C1007" s="7">
        <v>2.8</v>
      </c>
      <c r="D1007" s="18" t="str">
        <f>[1]!b_info_name(B1007)</f>
        <v>17贴现国债10</v>
      </c>
      <c r="E1007" s="19">
        <f>[1]!b_info_latestissurercreditrating(B1007)</f>
        <v>0</v>
      </c>
      <c r="F1007" s="20">
        <f ca="1">[1]!b_anal_day(B1007,$A$5)/365</f>
        <v>0</v>
      </c>
      <c r="G1007" s="21">
        <f ca="1">[1]!b_anal_yield_cnbd(B1007,$A$5)</f>
        <v>0</v>
      </c>
      <c r="H1007" s="21">
        <f t="shared" ca="1" si="51"/>
        <v>280</v>
      </c>
      <c r="I1007" s="21">
        <f ca="1">[1]!b_anal_yield_cnbd(B1007,$A$7)</f>
        <v>0</v>
      </c>
      <c r="J1007" s="21">
        <f t="shared" ca="1" si="52"/>
        <v>0</v>
      </c>
      <c r="K1007" s="19">
        <f>[1]!s_info_Nature(B1007)</f>
        <v>0</v>
      </c>
      <c r="L1007" s="19" t="str">
        <f>[1]!b_info_windl1type(B1007)</f>
        <v>国债</v>
      </c>
      <c r="M1007" s="13">
        <f>[1]!b_info_couponrate(B1007)</f>
        <v>2.5929000000000002</v>
      </c>
      <c r="N1007" s="14" t="str">
        <f>[1]!B_Info_ListedDate(B1007)</f>
        <v>2017-03-08</v>
      </c>
      <c r="O1007" s="14" t="str">
        <f>[1]!b_issue_firstissue(B1007)</f>
        <v>2017-03-03</v>
      </c>
      <c r="P1007" s="4">
        <f t="shared" ca="1" si="53"/>
        <v>42989</v>
      </c>
    </row>
    <row r="1008" spans="2:16">
      <c r="B1008" s="7">
        <v>70010</v>
      </c>
      <c r="C1008" s="7">
        <v>2.79</v>
      </c>
      <c r="D1008" s="18" t="str">
        <f>[1]!b_info_name(B1008)</f>
        <v>07国债10</v>
      </c>
      <c r="E1008" s="19">
        <f>[1]!b_info_latestissurercreditrating(B1008)</f>
        <v>0</v>
      </c>
      <c r="F1008" s="20">
        <f ca="1">[1]!b_anal_day(B1008,$A$5)/365</f>
        <v>0</v>
      </c>
      <c r="G1008" s="21">
        <f ca="1">[1]!b_anal_yield_cnbd(B1008,$A$5)</f>
        <v>0</v>
      </c>
      <c r="H1008" s="21">
        <f ca="1">(IF(C1008&lt;0.1,C1008*100,C1008)-G1008)*100</f>
        <v>279</v>
      </c>
      <c r="I1008" s="21">
        <f ca="1">[1]!b_anal_yield_cnbd(B1008,$A$7)</f>
        <v>0</v>
      </c>
      <c r="J1008" s="21">
        <f ca="1">(G1008-I1008)*100</f>
        <v>0</v>
      </c>
      <c r="K1008" s="19">
        <f>[1]!s_info_Nature(B1008)</f>
        <v>0</v>
      </c>
      <c r="L1008" s="19" t="str">
        <f>[1]!b_info_windl1type(B1008)</f>
        <v>国债</v>
      </c>
      <c r="M1008" s="13">
        <f>[1]!b_info_couponrate(B1008)</f>
        <v>4.4000000000000004</v>
      </c>
      <c r="N1008" s="14" t="str">
        <f>[1]!B_Info_ListedDate(B1008)</f>
        <v>2007-07-04</v>
      </c>
      <c r="O1008" s="14" t="str">
        <f>[1]!b_issue_firstissue(B1008)</f>
        <v>2007-06-22</v>
      </c>
      <c r="P1008" s="4">
        <f t="shared" ref="P1008:P1010" ca="1" si="54">$A$2</f>
        <v>42989</v>
      </c>
    </row>
    <row r="1009" spans="2:16">
      <c r="B1009" s="7">
        <v>70010</v>
      </c>
      <c r="C1009" s="7">
        <v>2.78</v>
      </c>
      <c r="D1009" s="18" t="str">
        <f>[1]!b_info_name(B1009)</f>
        <v>07国债10</v>
      </c>
      <c r="E1009" s="19">
        <f>[1]!b_info_latestissurercreditrating(B1009)</f>
        <v>0</v>
      </c>
      <c r="F1009" s="20">
        <f ca="1">[1]!b_anal_day(B1009,$A$5)/365</f>
        <v>0</v>
      </c>
      <c r="G1009" s="21">
        <f ca="1">[1]!b_anal_yield_cnbd(B1009,$A$5)</f>
        <v>0</v>
      </c>
      <c r="H1009" s="21">
        <f ca="1">(IF(C1009&lt;0.1,C1009*100,C1009)-G1009)*100</f>
        <v>278</v>
      </c>
      <c r="I1009" s="21">
        <f ca="1">[1]!b_anal_yield_cnbd(B1009,$A$7)</f>
        <v>0</v>
      </c>
      <c r="J1009" s="21">
        <f ca="1">(G1009-I1009)*100</f>
        <v>0</v>
      </c>
      <c r="K1009" s="19">
        <f>[1]!s_info_Nature(B1009)</f>
        <v>0</v>
      </c>
      <c r="L1009" s="19" t="str">
        <f>[1]!b_info_windl1type(B1009)</f>
        <v>国债</v>
      </c>
      <c r="M1009" s="13">
        <f>[1]!b_info_couponrate(B1009)</f>
        <v>4.4000000000000004</v>
      </c>
      <c r="N1009" s="14" t="str">
        <f>[1]!B_Info_ListedDate(B1009)</f>
        <v>2007-07-04</v>
      </c>
      <c r="O1009" s="14" t="str">
        <f>[1]!b_issue_firstissue(B1009)</f>
        <v>2007-06-22</v>
      </c>
      <c r="P1009" s="4">
        <f t="shared" ca="1" si="54"/>
        <v>42989</v>
      </c>
    </row>
    <row r="1010" spans="2:16">
      <c r="B1010" s="7">
        <v>179911</v>
      </c>
      <c r="C1010" s="7">
        <v>2.72</v>
      </c>
      <c r="D1010" s="18" t="str">
        <f>[1]!b_info_name(B1010)</f>
        <v>17贴现国债11</v>
      </c>
      <c r="E1010" s="19">
        <f>[1]!b_info_latestissurercreditrating(B1010)</f>
        <v>0</v>
      </c>
      <c r="F1010" s="20">
        <f ca="1">[1]!b_anal_day(B1010,$A$5)/365</f>
        <v>0</v>
      </c>
      <c r="G1010" s="21">
        <f ca="1">[1]!b_anal_yield_cnbd(B1010,$A$5)</f>
        <v>0</v>
      </c>
      <c r="H1010" s="21">
        <f ca="1">(IF(C1010&lt;0.1,C1010*100,C1010)-G1010)*100</f>
        <v>272</v>
      </c>
      <c r="I1010" s="21">
        <f ca="1">[1]!b_anal_yield_cnbd(B1010,$A$7)</f>
        <v>0</v>
      </c>
      <c r="J1010" s="21">
        <f ca="1">(G1010-I1010)*100</f>
        <v>0</v>
      </c>
      <c r="K1010" s="19">
        <f>[1]!s_info_Nature(B1010)</f>
        <v>0</v>
      </c>
      <c r="L1010" s="19" t="str">
        <f>[1]!b_info_windl1type(B1010)</f>
        <v>国债</v>
      </c>
      <c r="M1010" s="13">
        <f>[1]!b_info_couponrate(B1010)</f>
        <v>2.6440999999999999</v>
      </c>
      <c r="N1010" s="14" t="str">
        <f>[1]!B_Info_ListedDate(B1010)</f>
        <v>2017-03-15</v>
      </c>
      <c r="O1010" s="14" t="str">
        <f>[1]!b_issue_firstissue(B1010)</f>
        <v>2017-03-10</v>
      </c>
      <c r="P1010" s="4">
        <f t="shared" ca="1" si="54"/>
        <v>42989</v>
      </c>
    </row>
    <row r="1011" spans="2:16">
      <c r="B1011" s="7"/>
      <c r="C1011" s="7"/>
      <c r="D1011" s="18"/>
      <c r="E1011" s="19"/>
      <c r="F1011" s="20"/>
      <c r="G1011" s="21"/>
      <c r="H1011" s="21"/>
      <c r="I1011" s="21"/>
      <c r="J1011" s="21"/>
      <c r="K1011" s="19"/>
      <c r="L1011" s="19"/>
      <c r="M1011" s="13"/>
      <c r="N1011" s="14"/>
      <c r="O1011" s="14"/>
      <c r="P1011" s="4"/>
    </row>
    <row r="1012" spans="2:16">
      <c r="B1012" s="7"/>
      <c r="C1012" s="7"/>
      <c r="D1012" s="18"/>
      <c r="E1012" s="19"/>
      <c r="F1012" s="20"/>
      <c r="G1012" s="21"/>
      <c r="H1012" s="21"/>
      <c r="I1012" s="21"/>
      <c r="J1012" s="21"/>
      <c r="K1012" s="19"/>
      <c r="L1012" s="19"/>
      <c r="M1012" s="13"/>
      <c r="N1012" s="14"/>
      <c r="O1012" s="14"/>
      <c r="P1012" s="4"/>
    </row>
    <row r="1013" spans="2:16">
      <c r="B1013" s="7"/>
      <c r="C1013" s="7"/>
      <c r="D1013" s="18"/>
      <c r="E1013" s="19"/>
      <c r="F1013" s="20"/>
      <c r="G1013" s="21"/>
      <c r="H1013" s="21"/>
      <c r="I1013" s="21"/>
      <c r="J1013" s="21"/>
      <c r="K1013" s="19"/>
      <c r="L1013" s="19"/>
      <c r="M1013" s="13"/>
      <c r="N1013" s="14"/>
      <c r="O1013" s="14"/>
      <c r="P1013" s="4"/>
    </row>
    <row r="1014" spans="2:16">
      <c r="B1014" s="7"/>
      <c r="C1014" s="7"/>
      <c r="D1014" s="18"/>
      <c r="E1014" s="19"/>
      <c r="F1014" s="20"/>
      <c r="G1014" s="21"/>
      <c r="H1014" s="21"/>
      <c r="I1014" s="21"/>
      <c r="J1014" s="21"/>
      <c r="K1014" s="19"/>
      <c r="L1014" s="19"/>
      <c r="M1014" s="13"/>
      <c r="N1014" s="14"/>
      <c r="O1014" s="14"/>
      <c r="P1014" s="4"/>
    </row>
    <row r="1015" spans="2:16">
      <c r="B1015" s="7"/>
      <c r="C1015" s="7"/>
      <c r="D1015" s="18"/>
      <c r="E1015" s="19"/>
      <c r="F1015" s="20"/>
      <c r="G1015" s="21"/>
      <c r="H1015" s="21"/>
      <c r="I1015" s="21"/>
      <c r="J1015" s="21"/>
      <c r="K1015" s="19"/>
      <c r="L1015" s="19"/>
      <c r="M1015" s="13"/>
      <c r="N1015" s="14"/>
      <c r="O1015" s="14"/>
      <c r="P1015" s="4"/>
    </row>
    <row r="1016" spans="2:16">
      <c r="B1016" s="7"/>
      <c r="C1016" s="7"/>
      <c r="D1016" s="18"/>
      <c r="E1016" s="19"/>
      <c r="F1016" s="20"/>
      <c r="G1016" s="21"/>
      <c r="H1016" s="21"/>
      <c r="I1016" s="21"/>
      <c r="J1016" s="21"/>
      <c r="K1016" s="19"/>
      <c r="L1016" s="19"/>
      <c r="M1016" s="13"/>
      <c r="N1016" s="14"/>
      <c r="O1016" s="14"/>
      <c r="P1016" s="4"/>
    </row>
    <row r="1017" spans="2:16">
      <c r="B1017" s="7"/>
      <c r="C1017" s="7"/>
      <c r="D1017" s="18"/>
      <c r="E1017" s="19"/>
      <c r="F1017" s="20"/>
      <c r="G1017" s="21"/>
      <c r="H1017" s="21"/>
      <c r="I1017" s="21"/>
      <c r="J1017" s="21"/>
      <c r="K1017" s="19"/>
      <c r="L1017" s="19"/>
      <c r="M1017" s="13"/>
      <c r="N1017" s="14"/>
      <c r="O1017" s="14"/>
      <c r="P1017" s="4"/>
    </row>
    <row r="1018" spans="2:16">
      <c r="B1018" s="7"/>
      <c r="C1018" s="7"/>
      <c r="D1018" s="18"/>
      <c r="E1018" s="19"/>
      <c r="F1018" s="20"/>
      <c r="G1018" s="21"/>
      <c r="H1018" s="21"/>
      <c r="I1018" s="21"/>
      <c r="J1018" s="21"/>
      <c r="K1018" s="19"/>
      <c r="L1018" s="19"/>
      <c r="M1018" s="13"/>
      <c r="N1018" s="14"/>
      <c r="O1018" s="14"/>
      <c r="P1018" s="4"/>
    </row>
    <row r="1019" spans="2:16">
      <c r="B1019" s="7"/>
      <c r="C1019" s="7"/>
      <c r="D1019" s="18"/>
      <c r="E1019" s="19"/>
      <c r="F1019" s="20"/>
      <c r="G1019" s="21"/>
      <c r="H1019" s="21"/>
      <c r="I1019" s="21"/>
      <c r="J1019" s="21"/>
      <c r="K1019" s="19"/>
      <c r="L1019" s="19"/>
      <c r="M1019" s="13"/>
      <c r="N1019" s="14"/>
      <c r="O1019" s="14"/>
      <c r="P1019" s="4"/>
    </row>
    <row r="1020" spans="2:16">
      <c r="B1020" s="7"/>
      <c r="C1020" s="7"/>
      <c r="D1020" s="18"/>
      <c r="E1020" s="19"/>
      <c r="F1020" s="20"/>
      <c r="G1020" s="21"/>
      <c r="H1020" s="21"/>
      <c r="I1020" s="21"/>
      <c r="J1020" s="21"/>
      <c r="K1020" s="19"/>
      <c r="L1020" s="19"/>
      <c r="M1020" s="13"/>
      <c r="N1020" s="14"/>
      <c r="O1020" s="14"/>
      <c r="P1020" s="4"/>
    </row>
    <row r="1021" spans="2:16">
      <c r="B1021" s="7"/>
      <c r="C1021" s="7"/>
      <c r="D1021" s="18"/>
      <c r="E1021" s="19"/>
      <c r="F1021" s="20"/>
      <c r="G1021" s="21"/>
      <c r="H1021" s="21"/>
      <c r="I1021" s="21"/>
      <c r="J1021" s="21"/>
      <c r="K1021" s="19"/>
      <c r="L1021" s="19"/>
      <c r="M1021" s="13"/>
      <c r="N1021" s="14"/>
      <c r="O1021" s="14"/>
      <c r="P1021" s="4"/>
    </row>
    <row r="1022" spans="2:16">
      <c r="B1022" s="7"/>
      <c r="C1022" s="7"/>
      <c r="D1022" s="18"/>
      <c r="E1022" s="19"/>
      <c r="F1022" s="20"/>
      <c r="G1022" s="21"/>
      <c r="H1022" s="21"/>
      <c r="I1022" s="21"/>
      <c r="J1022" s="21"/>
      <c r="K1022" s="19"/>
      <c r="L1022" s="19"/>
      <c r="M1022" s="13"/>
      <c r="N1022" s="14"/>
      <c r="O1022" s="14"/>
      <c r="P1022" s="4"/>
    </row>
    <row r="1023" spans="2:16">
      <c r="B1023" s="7"/>
      <c r="C1023" s="7"/>
      <c r="D1023" s="18"/>
      <c r="E1023" s="19"/>
      <c r="F1023" s="20"/>
      <c r="G1023" s="21"/>
      <c r="H1023" s="21"/>
      <c r="I1023" s="21"/>
      <c r="J1023" s="21"/>
      <c r="K1023" s="19"/>
      <c r="L1023" s="19"/>
      <c r="M1023" s="13"/>
      <c r="N1023" s="14"/>
      <c r="O1023" s="14"/>
      <c r="P1023" s="4"/>
    </row>
    <row r="1024" spans="2:16">
      <c r="B1024" s="7"/>
      <c r="C1024" s="7"/>
      <c r="D1024" s="18"/>
      <c r="E1024" s="19"/>
      <c r="F1024" s="20"/>
      <c r="G1024" s="21"/>
      <c r="H1024" s="21"/>
      <c r="I1024" s="21"/>
      <c r="J1024" s="21"/>
      <c r="K1024" s="19"/>
      <c r="L1024" s="19"/>
      <c r="M1024" s="13"/>
      <c r="N1024" s="14"/>
      <c r="O1024" s="14"/>
      <c r="P1024" s="4"/>
    </row>
    <row r="1025" spans="2:16">
      <c r="B1025" s="7"/>
      <c r="C1025" s="7"/>
      <c r="D1025" s="18"/>
      <c r="E1025" s="19"/>
      <c r="F1025" s="20"/>
      <c r="G1025" s="21"/>
      <c r="H1025" s="21"/>
      <c r="I1025" s="21"/>
      <c r="J1025" s="21"/>
      <c r="K1025" s="19"/>
      <c r="L1025" s="19"/>
      <c r="M1025" s="13"/>
      <c r="N1025" s="14"/>
      <c r="O1025" s="14"/>
      <c r="P1025" s="4"/>
    </row>
    <row r="1026" spans="2:16">
      <c r="B1026" s="7"/>
      <c r="C1026" s="7"/>
      <c r="D1026" s="18"/>
      <c r="E1026" s="19"/>
      <c r="F1026" s="20"/>
      <c r="G1026" s="21"/>
      <c r="H1026" s="21"/>
      <c r="I1026" s="21"/>
      <c r="J1026" s="21"/>
      <c r="K1026" s="19"/>
      <c r="L1026" s="19"/>
      <c r="M1026" s="13"/>
      <c r="N1026" s="14"/>
      <c r="O1026" s="14"/>
      <c r="P1026" s="4"/>
    </row>
    <row r="1027" spans="2:16">
      <c r="B1027" s="7"/>
      <c r="C1027" s="7"/>
      <c r="D1027" s="18"/>
      <c r="E1027" s="19"/>
      <c r="F1027" s="20"/>
      <c r="G1027" s="21"/>
      <c r="H1027" s="21"/>
      <c r="I1027" s="21"/>
      <c r="J1027" s="21"/>
      <c r="K1027" s="19"/>
      <c r="L1027" s="19"/>
      <c r="M1027" s="13"/>
      <c r="N1027" s="14"/>
      <c r="O1027" s="14"/>
      <c r="P1027" s="4"/>
    </row>
    <row r="1028" spans="2:16">
      <c r="B1028" s="7"/>
      <c r="C1028" s="7"/>
      <c r="D1028" s="18"/>
      <c r="E1028" s="19"/>
      <c r="F1028" s="20"/>
      <c r="G1028" s="21"/>
      <c r="H1028" s="21"/>
      <c r="I1028" s="21"/>
      <c r="J1028" s="21"/>
      <c r="K1028" s="19"/>
      <c r="L1028" s="19"/>
      <c r="M1028" s="13"/>
      <c r="N1028" s="14"/>
      <c r="O1028" s="14"/>
      <c r="P1028" s="4"/>
    </row>
    <row r="1029" spans="2:16">
      <c r="B1029" s="7"/>
      <c r="C1029" s="7"/>
      <c r="D1029" s="18"/>
      <c r="E1029" s="19"/>
      <c r="F1029" s="20"/>
      <c r="G1029" s="21"/>
      <c r="H1029" s="21"/>
      <c r="I1029" s="21"/>
      <c r="J1029" s="21"/>
      <c r="K1029" s="19"/>
      <c r="L1029" s="19"/>
      <c r="M1029" s="13"/>
      <c r="N1029" s="14"/>
      <c r="O1029" s="14"/>
      <c r="P1029" s="4"/>
    </row>
    <row r="1030" spans="2:16">
      <c r="B1030" s="7"/>
      <c r="C1030" s="7"/>
      <c r="D1030" s="18"/>
      <c r="E1030" s="19"/>
      <c r="F1030" s="20"/>
      <c r="G1030" s="21"/>
      <c r="H1030" s="21"/>
      <c r="I1030" s="21"/>
      <c r="J1030" s="21"/>
      <c r="K1030" s="19"/>
      <c r="L1030" s="19"/>
      <c r="M1030" s="13"/>
      <c r="N1030" s="14"/>
      <c r="O1030" s="14"/>
      <c r="P1030" s="4"/>
    </row>
    <row r="1031" spans="2:16">
      <c r="B1031" s="7"/>
      <c r="C1031" s="7"/>
      <c r="D1031" s="18"/>
      <c r="E1031" s="19"/>
      <c r="F1031" s="20"/>
      <c r="G1031" s="21"/>
      <c r="H1031" s="21"/>
      <c r="I1031" s="21"/>
      <c r="J1031" s="21"/>
      <c r="K1031" s="19"/>
      <c r="L1031" s="19"/>
      <c r="M1031" s="13"/>
      <c r="N1031" s="14"/>
      <c r="O1031" s="14"/>
      <c r="P1031" s="4"/>
    </row>
    <row r="1032" spans="2:16">
      <c r="B1032" s="7"/>
      <c r="C1032" s="7"/>
      <c r="D1032" s="18"/>
      <c r="E1032" s="19"/>
      <c r="F1032" s="20"/>
      <c r="G1032" s="21"/>
      <c r="H1032" s="21"/>
      <c r="I1032" s="21"/>
      <c r="J1032" s="21"/>
      <c r="K1032" s="19"/>
      <c r="L1032" s="19"/>
      <c r="M1032" s="13"/>
      <c r="N1032" s="14"/>
      <c r="O1032" s="14"/>
      <c r="P1032" s="4"/>
    </row>
    <row r="1033" spans="2:16">
      <c r="B1033" s="7"/>
      <c r="C1033" s="7"/>
      <c r="D1033" s="18"/>
      <c r="E1033" s="19"/>
      <c r="F1033" s="20"/>
      <c r="G1033" s="21"/>
      <c r="H1033" s="21"/>
      <c r="I1033" s="21"/>
      <c r="J1033" s="21"/>
      <c r="K1033" s="19"/>
      <c r="L1033" s="19"/>
      <c r="M1033" s="13"/>
      <c r="N1033" s="14"/>
      <c r="O1033" s="14"/>
      <c r="P1033" s="4"/>
    </row>
    <row r="1034" spans="2:16">
      <c r="B1034" s="7"/>
      <c r="C1034" s="7"/>
      <c r="D1034" s="18"/>
      <c r="E1034" s="19"/>
      <c r="F1034" s="20"/>
      <c r="G1034" s="21"/>
      <c r="H1034" s="21"/>
      <c r="I1034" s="21"/>
      <c r="J1034" s="21"/>
      <c r="K1034" s="19"/>
      <c r="L1034" s="19"/>
      <c r="M1034" s="13"/>
      <c r="N1034" s="14"/>
      <c r="O1034" s="14"/>
      <c r="P1034" s="4"/>
    </row>
    <row r="1035" spans="2:16">
      <c r="B1035" s="7"/>
      <c r="C1035" s="7"/>
      <c r="D1035" s="18"/>
      <c r="E1035" s="19"/>
      <c r="F1035" s="20"/>
      <c r="G1035" s="21"/>
      <c r="H1035" s="21"/>
      <c r="I1035" s="21"/>
      <c r="J1035" s="21"/>
      <c r="K1035" s="19"/>
      <c r="L1035" s="19"/>
      <c r="M1035" s="13"/>
      <c r="N1035" s="14"/>
      <c r="O1035" s="14"/>
      <c r="P1035" s="4"/>
    </row>
    <row r="1036" spans="2:16">
      <c r="B1036" s="7"/>
      <c r="C1036" s="7"/>
      <c r="D1036" s="18"/>
      <c r="E1036" s="19"/>
      <c r="F1036" s="20"/>
      <c r="G1036" s="21"/>
      <c r="H1036" s="21"/>
      <c r="I1036" s="21"/>
      <c r="J1036" s="21"/>
      <c r="K1036" s="19"/>
      <c r="L1036" s="19"/>
      <c r="M1036" s="13"/>
      <c r="N1036" s="14"/>
      <c r="O1036" s="14"/>
      <c r="P1036" s="4"/>
    </row>
    <row r="1037" spans="2:16">
      <c r="B1037" s="7"/>
      <c r="C1037" s="7"/>
      <c r="D1037" s="18"/>
      <c r="E1037" s="19"/>
      <c r="F1037" s="20"/>
      <c r="G1037" s="21"/>
      <c r="H1037" s="21"/>
      <c r="I1037" s="21"/>
      <c r="J1037" s="21"/>
      <c r="K1037" s="19"/>
      <c r="L1037" s="19"/>
      <c r="M1037" s="13"/>
      <c r="N1037" s="14"/>
      <c r="O1037" s="14"/>
      <c r="P1037" s="4"/>
    </row>
    <row r="1038" spans="2:16">
      <c r="B1038" s="7"/>
      <c r="C1038" s="7"/>
      <c r="D1038" s="18"/>
      <c r="E1038" s="19"/>
      <c r="F1038" s="20"/>
      <c r="G1038" s="21"/>
      <c r="H1038" s="21"/>
      <c r="I1038" s="21"/>
      <c r="J1038" s="21"/>
      <c r="K1038" s="19"/>
      <c r="L1038" s="19"/>
      <c r="M1038" s="13"/>
      <c r="N1038" s="14"/>
      <c r="O1038" s="14"/>
      <c r="P1038" s="4"/>
    </row>
    <row r="1039" spans="2:16">
      <c r="B1039" s="7"/>
      <c r="C1039" s="7"/>
      <c r="D1039" s="18"/>
      <c r="E1039" s="19"/>
      <c r="F1039" s="20"/>
      <c r="G1039" s="21"/>
      <c r="H1039" s="21"/>
      <c r="I1039" s="21"/>
      <c r="J1039" s="21"/>
      <c r="K1039" s="19"/>
      <c r="L1039" s="19"/>
      <c r="M1039" s="13"/>
      <c r="N1039" s="14"/>
      <c r="O1039" s="14"/>
      <c r="P1039" s="4"/>
    </row>
    <row r="1040" spans="2:16">
      <c r="B1040" s="7"/>
      <c r="C1040" s="7"/>
      <c r="D1040" s="18"/>
      <c r="E1040" s="19"/>
      <c r="F1040" s="20"/>
      <c r="G1040" s="21"/>
      <c r="H1040" s="21"/>
      <c r="I1040" s="21"/>
      <c r="J1040" s="21"/>
      <c r="K1040" s="19"/>
      <c r="L1040" s="19"/>
      <c r="M1040" s="13"/>
      <c r="N1040" s="14"/>
      <c r="O1040" s="14"/>
      <c r="P1040" s="4"/>
    </row>
    <row r="1041" spans="2:16">
      <c r="B1041" s="7"/>
      <c r="C1041" s="7"/>
      <c r="D1041" s="18"/>
      <c r="E1041" s="19"/>
      <c r="F1041" s="20"/>
      <c r="G1041" s="21"/>
      <c r="H1041" s="21"/>
      <c r="I1041" s="21"/>
      <c r="J1041" s="21"/>
      <c r="K1041" s="19"/>
      <c r="L1041" s="19"/>
      <c r="M1041" s="13"/>
      <c r="N1041" s="14"/>
      <c r="O1041" s="14"/>
      <c r="P1041" s="4"/>
    </row>
    <row r="1042" spans="2:16">
      <c r="B1042" s="7"/>
      <c r="C1042" s="7"/>
      <c r="D1042" s="18"/>
      <c r="E1042" s="19"/>
      <c r="F1042" s="20"/>
      <c r="G1042" s="21"/>
      <c r="H1042" s="21"/>
      <c r="I1042" s="21"/>
      <c r="J1042" s="21"/>
      <c r="K1042" s="19"/>
      <c r="L1042" s="19"/>
      <c r="M1042" s="13"/>
      <c r="N1042" s="14"/>
      <c r="O1042" s="14"/>
      <c r="P1042" s="4"/>
    </row>
    <row r="1043" spans="2:16">
      <c r="B1043" s="7"/>
      <c r="C1043" s="7"/>
      <c r="D1043" s="18"/>
      <c r="E1043" s="19"/>
      <c r="F1043" s="20"/>
      <c r="G1043" s="21"/>
      <c r="H1043" s="21"/>
      <c r="I1043" s="21"/>
      <c r="J1043" s="21"/>
      <c r="K1043" s="19"/>
      <c r="L1043" s="19"/>
      <c r="M1043" s="13"/>
      <c r="N1043" s="14"/>
      <c r="O1043" s="14"/>
      <c r="P1043" s="4"/>
    </row>
    <row r="1044" spans="2:16">
      <c r="B1044" s="7"/>
      <c r="C1044" s="7"/>
      <c r="D1044" s="18"/>
      <c r="E1044" s="19"/>
      <c r="F1044" s="20"/>
      <c r="G1044" s="21"/>
      <c r="H1044" s="21"/>
      <c r="I1044" s="21"/>
      <c r="J1044" s="21"/>
      <c r="K1044" s="19"/>
      <c r="L1044" s="19"/>
      <c r="M1044" s="13"/>
      <c r="N1044" s="14"/>
      <c r="O1044" s="14"/>
      <c r="P1044" s="4"/>
    </row>
    <row r="1045" spans="2:16">
      <c r="B1045" s="7"/>
      <c r="C1045" s="7"/>
      <c r="D1045" s="18"/>
      <c r="E1045" s="19"/>
      <c r="F1045" s="20"/>
      <c r="G1045" s="21"/>
      <c r="H1045" s="21"/>
      <c r="I1045" s="21"/>
      <c r="J1045" s="21"/>
      <c r="K1045" s="19"/>
      <c r="L1045" s="19"/>
      <c r="M1045" s="13"/>
      <c r="N1045" s="14"/>
      <c r="O1045" s="14"/>
      <c r="P1045" s="4"/>
    </row>
    <row r="1046" spans="2:16">
      <c r="B1046" s="7"/>
      <c r="C1046" s="7"/>
      <c r="D1046" s="18"/>
      <c r="E1046" s="19"/>
      <c r="F1046" s="20"/>
      <c r="G1046" s="21"/>
      <c r="H1046" s="21"/>
      <c r="I1046" s="21"/>
      <c r="J1046" s="21"/>
      <c r="K1046" s="19"/>
      <c r="L1046" s="19"/>
      <c r="M1046" s="13"/>
      <c r="N1046" s="14"/>
      <c r="O1046" s="14"/>
      <c r="P1046" s="4"/>
    </row>
    <row r="1047" spans="2:16">
      <c r="B1047" s="7"/>
      <c r="C1047" s="7"/>
      <c r="D1047" s="18"/>
      <c r="E1047" s="19"/>
      <c r="F1047" s="20"/>
      <c r="G1047" s="21"/>
      <c r="H1047" s="21"/>
      <c r="I1047" s="21"/>
      <c r="J1047" s="21"/>
      <c r="K1047" s="19"/>
      <c r="L1047" s="19"/>
      <c r="M1047" s="13"/>
      <c r="N1047" s="14"/>
      <c r="O1047" s="14"/>
      <c r="P1047" s="4"/>
    </row>
    <row r="1048" spans="2:16">
      <c r="B1048" s="7"/>
      <c r="C1048" s="7"/>
      <c r="D1048" s="18"/>
      <c r="E1048" s="19"/>
      <c r="F1048" s="20"/>
      <c r="G1048" s="21"/>
      <c r="H1048" s="21"/>
      <c r="I1048" s="21"/>
      <c r="J1048" s="21"/>
      <c r="K1048" s="19"/>
      <c r="L1048" s="19"/>
      <c r="M1048" s="13"/>
      <c r="N1048" s="14"/>
      <c r="O1048" s="14"/>
      <c r="P1048" s="4"/>
    </row>
    <row r="1049" spans="2:16">
      <c r="B1049" s="7"/>
      <c r="C1049" s="7"/>
      <c r="D1049" s="18"/>
      <c r="E1049" s="19"/>
      <c r="F1049" s="20"/>
      <c r="G1049" s="21"/>
      <c r="H1049" s="21"/>
      <c r="I1049" s="21"/>
      <c r="J1049" s="21"/>
      <c r="K1049" s="19"/>
      <c r="L1049" s="19"/>
      <c r="M1049" s="13"/>
      <c r="N1049" s="14"/>
      <c r="O1049" s="14"/>
      <c r="P1049" s="4"/>
    </row>
    <row r="1050" spans="2:16">
      <c r="B1050" s="7"/>
      <c r="C1050" s="7"/>
      <c r="D1050" s="18"/>
      <c r="E1050" s="19"/>
      <c r="F1050" s="20"/>
      <c r="G1050" s="21"/>
      <c r="H1050" s="21"/>
      <c r="I1050" s="21"/>
      <c r="J1050" s="21"/>
      <c r="K1050" s="19"/>
      <c r="L1050" s="19"/>
      <c r="M1050" s="13"/>
      <c r="N1050" s="14"/>
      <c r="O1050" s="14"/>
      <c r="P1050" s="4"/>
    </row>
    <row r="1051" spans="2:16">
      <c r="B1051" s="7"/>
      <c r="C1051" s="7"/>
      <c r="D1051" s="18"/>
      <c r="E1051" s="19"/>
      <c r="F1051" s="20"/>
      <c r="G1051" s="21"/>
      <c r="H1051" s="21"/>
      <c r="I1051" s="21"/>
      <c r="J1051" s="21"/>
      <c r="K1051" s="19"/>
      <c r="L1051" s="19"/>
      <c r="M1051" s="13"/>
      <c r="N1051" s="14"/>
      <c r="O1051" s="14"/>
      <c r="P1051" s="4"/>
    </row>
    <row r="1052" spans="2:16">
      <c r="B1052" s="7"/>
      <c r="C1052" s="7"/>
      <c r="D1052" s="18"/>
      <c r="E1052" s="19"/>
      <c r="F1052" s="20"/>
      <c r="G1052" s="21"/>
      <c r="H1052" s="21"/>
      <c r="I1052" s="21"/>
      <c r="J1052" s="21"/>
      <c r="K1052" s="19"/>
      <c r="L1052" s="19"/>
      <c r="M1052" s="13"/>
      <c r="N1052" s="14"/>
      <c r="O1052" s="14"/>
      <c r="P1052" s="4"/>
    </row>
    <row r="1053" spans="2:16">
      <c r="B1053" s="7"/>
      <c r="C1053" s="7"/>
      <c r="D1053" s="18"/>
      <c r="E1053" s="19"/>
      <c r="F1053" s="20"/>
      <c r="G1053" s="21"/>
      <c r="H1053" s="21"/>
      <c r="I1053" s="21"/>
      <c r="J1053" s="21"/>
      <c r="K1053" s="19"/>
      <c r="L1053" s="19"/>
      <c r="M1053" s="13"/>
      <c r="N1053" s="14"/>
      <c r="O1053" s="14"/>
      <c r="P1053" s="4"/>
    </row>
    <row r="1054" spans="2:16">
      <c r="B1054" s="7"/>
      <c r="C1054" s="7"/>
      <c r="D1054" s="18"/>
      <c r="E1054" s="19"/>
      <c r="F1054" s="20"/>
      <c r="G1054" s="21"/>
      <c r="H1054" s="21"/>
      <c r="I1054" s="21"/>
      <c r="J1054" s="21"/>
      <c r="K1054" s="19"/>
      <c r="L1054" s="19"/>
      <c r="M1054" s="13"/>
      <c r="N1054" s="14"/>
      <c r="O1054" s="14"/>
      <c r="P1054" s="4"/>
    </row>
    <row r="1055" spans="2:16">
      <c r="B1055" s="7"/>
      <c r="C1055" s="7"/>
      <c r="D1055" s="18"/>
      <c r="E1055" s="19"/>
      <c r="F1055" s="20"/>
      <c r="G1055" s="21"/>
      <c r="H1055" s="21"/>
      <c r="I1055" s="21"/>
      <c r="J1055" s="21"/>
      <c r="K1055" s="19"/>
      <c r="L1055" s="19"/>
      <c r="M1055" s="13"/>
      <c r="N1055" s="14"/>
      <c r="O1055" s="14"/>
      <c r="P1055" s="4"/>
    </row>
    <row r="1056" spans="2:16">
      <c r="B1056" s="7"/>
      <c r="C1056" s="7"/>
      <c r="D1056" s="18"/>
      <c r="E1056" s="19"/>
      <c r="F1056" s="20"/>
      <c r="G1056" s="21"/>
      <c r="H1056" s="21"/>
      <c r="I1056" s="21"/>
      <c r="J1056" s="21"/>
      <c r="K1056" s="19"/>
      <c r="L1056" s="19"/>
      <c r="M1056" s="13"/>
      <c r="N1056" s="14"/>
      <c r="O1056" s="14"/>
      <c r="P1056" s="4"/>
    </row>
    <row r="1057" spans="2:16">
      <c r="B1057" s="7"/>
      <c r="C1057" s="7"/>
      <c r="D1057" s="18"/>
      <c r="E1057" s="19"/>
      <c r="F1057" s="20"/>
      <c r="G1057" s="21"/>
      <c r="H1057" s="21"/>
      <c r="I1057" s="21"/>
      <c r="J1057" s="21"/>
      <c r="K1057" s="19"/>
      <c r="L1057" s="19"/>
      <c r="M1057" s="13"/>
      <c r="N1057" s="14"/>
      <c r="O1057" s="14"/>
      <c r="P1057" s="4"/>
    </row>
    <row r="1058" spans="2:16">
      <c r="B1058" s="7"/>
      <c r="C1058" s="7"/>
      <c r="D1058" s="18"/>
      <c r="E1058" s="19"/>
      <c r="F1058" s="20"/>
      <c r="G1058" s="21"/>
      <c r="H1058" s="21"/>
      <c r="I1058" s="21"/>
      <c r="J1058" s="21"/>
      <c r="K1058" s="19"/>
      <c r="L1058" s="19"/>
      <c r="M1058" s="13"/>
      <c r="N1058" s="14"/>
      <c r="O1058" s="14"/>
      <c r="P1058" s="4"/>
    </row>
    <row r="1059" spans="2:16">
      <c r="B1059" s="7"/>
      <c r="C1059" s="7"/>
      <c r="D1059" s="18"/>
      <c r="E1059" s="19"/>
      <c r="F1059" s="20"/>
      <c r="G1059" s="21"/>
      <c r="H1059" s="21"/>
      <c r="I1059" s="21"/>
      <c r="J1059" s="21"/>
      <c r="K1059" s="19"/>
      <c r="L1059" s="19"/>
      <c r="M1059" s="13"/>
      <c r="N1059" s="14"/>
      <c r="O1059" s="14"/>
      <c r="P1059" s="4"/>
    </row>
    <row r="1060" spans="2:16">
      <c r="B1060" s="7"/>
      <c r="C1060" s="7"/>
      <c r="D1060" s="18"/>
      <c r="E1060" s="19"/>
      <c r="F1060" s="20"/>
      <c r="G1060" s="21"/>
      <c r="H1060" s="21"/>
      <c r="I1060" s="21"/>
      <c r="J1060" s="21"/>
      <c r="K1060" s="19"/>
      <c r="L1060" s="19"/>
      <c r="M1060" s="13"/>
      <c r="N1060" s="14"/>
      <c r="O1060" s="14"/>
      <c r="P1060" s="4"/>
    </row>
    <row r="1061" spans="2:16">
      <c r="B1061" s="7"/>
      <c r="C1061" s="7"/>
      <c r="D1061" s="18"/>
      <c r="E1061" s="19"/>
      <c r="F1061" s="20"/>
      <c r="G1061" s="21"/>
      <c r="H1061" s="21"/>
      <c r="I1061" s="21"/>
      <c r="J1061" s="21"/>
      <c r="K1061" s="19"/>
      <c r="L1061" s="19"/>
      <c r="M1061" s="13"/>
      <c r="N1061" s="14"/>
      <c r="O1061" s="14"/>
      <c r="P1061" s="4"/>
    </row>
    <row r="1062" spans="2:16">
      <c r="B1062" s="7"/>
      <c r="C1062" s="7"/>
      <c r="D1062" s="18"/>
      <c r="E1062" s="19"/>
      <c r="F1062" s="20"/>
      <c r="G1062" s="21"/>
      <c r="H1062" s="21"/>
      <c r="I1062" s="21"/>
      <c r="J1062" s="21"/>
      <c r="K1062" s="19"/>
      <c r="L1062" s="19"/>
      <c r="M1062" s="13"/>
      <c r="N1062" s="14"/>
      <c r="O1062" s="14"/>
      <c r="P1062" s="4"/>
    </row>
    <row r="1063" spans="2:16">
      <c r="B1063" s="7"/>
      <c r="C1063" s="7"/>
      <c r="D1063" s="18"/>
      <c r="E1063" s="19"/>
      <c r="F1063" s="20"/>
      <c r="G1063" s="21"/>
      <c r="H1063" s="21"/>
      <c r="I1063" s="21"/>
      <c r="J1063" s="21"/>
      <c r="K1063" s="19"/>
      <c r="L1063" s="19"/>
      <c r="M1063" s="13"/>
      <c r="N1063" s="14"/>
      <c r="O1063" s="14"/>
      <c r="P1063" s="4"/>
    </row>
    <row r="1064" spans="2:16">
      <c r="B1064" s="7"/>
      <c r="C1064" s="7"/>
      <c r="D1064" s="18"/>
      <c r="E1064" s="19"/>
      <c r="F1064" s="20"/>
      <c r="G1064" s="21"/>
      <c r="H1064" s="21"/>
      <c r="I1064" s="21"/>
      <c r="J1064" s="21"/>
      <c r="K1064" s="19"/>
      <c r="L1064" s="19"/>
      <c r="M1064" s="13"/>
      <c r="N1064" s="14"/>
      <c r="O1064" s="14"/>
      <c r="P1064" s="4"/>
    </row>
    <row r="1065" spans="2:16">
      <c r="B1065" s="7"/>
      <c r="C1065" s="7"/>
      <c r="D1065" s="18"/>
      <c r="E1065" s="19"/>
      <c r="F1065" s="20"/>
      <c r="G1065" s="21"/>
      <c r="H1065" s="21"/>
      <c r="I1065" s="21"/>
      <c r="J1065" s="21"/>
      <c r="K1065" s="19"/>
      <c r="L1065" s="19"/>
      <c r="M1065" s="13"/>
      <c r="N1065" s="14"/>
      <c r="O1065" s="14"/>
      <c r="P1065" s="4"/>
    </row>
    <row r="1066" spans="2:16">
      <c r="B1066" s="7"/>
      <c r="C1066" s="7"/>
      <c r="D1066" s="18"/>
      <c r="E1066" s="19"/>
      <c r="F1066" s="20"/>
      <c r="G1066" s="21"/>
      <c r="H1066" s="21"/>
      <c r="I1066" s="21"/>
      <c r="J1066" s="21"/>
      <c r="K1066" s="19"/>
      <c r="L1066" s="19"/>
      <c r="M1066" s="13"/>
      <c r="N1066" s="14"/>
      <c r="O1066" s="14"/>
      <c r="P1066" s="4"/>
    </row>
    <row r="1067" spans="2:16">
      <c r="B1067" s="7"/>
      <c r="C1067" s="7"/>
      <c r="D1067" s="18"/>
      <c r="E1067" s="19"/>
      <c r="F1067" s="20"/>
      <c r="G1067" s="21"/>
      <c r="H1067" s="21"/>
      <c r="I1067" s="21"/>
      <c r="J1067" s="21"/>
      <c r="K1067" s="19"/>
      <c r="L1067" s="19"/>
      <c r="M1067" s="13"/>
      <c r="N1067" s="14"/>
      <c r="O1067" s="14"/>
      <c r="P1067" s="4"/>
    </row>
    <row r="1068" spans="2:16">
      <c r="B1068" s="7"/>
      <c r="C1068" s="7"/>
      <c r="D1068" s="18"/>
      <c r="E1068" s="19"/>
      <c r="F1068" s="20"/>
      <c r="G1068" s="21"/>
      <c r="H1068" s="21"/>
      <c r="I1068" s="21"/>
      <c r="J1068" s="21"/>
      <c r="K1068" s="19"/>
      <c r="L1068" s="19"/>
      <c r="M1068" s="13"/>
      <c r="N1068" s="14"/>
      <c r="O1068" s="14"/>
      <c r="P1068" s="4"/>
    </row>
    <row r="1069" spans="2:16">
      <c r="B1069" s="7"/>
      <c r="C1069" s="7"/>
      <c r="D1069" s="18"/>
      <c r="E1069" s="19"/>
      <c r="F1069" s="20"/>
      <c r="G1069" s="21"/>
      <c r="H1069" s="21"/>
      <c r="I1069" s="21"/>
      <c r="J1069" s="21"/>
      <c r="K1069" s="19"/>
      <c r="L1069" s="19"/>
      <c r="M1069" s="13"/>
      <c r="N1069" s="14"/>
      <c r="O1069" s="14"/>
      <c r="P1069" s="4"/>
    </row>
    <row r="1070" spans="2:16">
      <c r="B1070" s="7"/>
      <c r="C1070" s="7"/>
      <c r="D1070" s="18"/>
      <c r="E1070" s="19"/>
      <c r="F1070" s="20"/>
      <c r="G1070" s="21"/>
      <c r="H1070" s="21"/>
      <c r="I1070" s="21"/>
      <c r="J1070" s="21"/>
      <c r="K1070" s="19"/>
      <c r="L1070" s="19"/>
      <c r="M1070" s="13"/>
      <c r="N1070" s="14"/>
      <c r="O1070" s="14"/>
      <c r="P1070" s="4"/>
    </row>
    <row r="1071" spans="2:16">
      <c r="B1071" s="7"/>
      <c r="C1071" s="7"/>
      <c r="D1071" s="18"/>
      <c r="E1071" s="19"/>
      <c r="F1071" s="20"/>
      <c r="G1071" s="21"/>
      <c r="H1071" s="21"/>
      <c r="I1071" s="21"/>
      <c r="J1071" s="21"/>
      <c r="K1071" s="19"/>
      <c r="L1071" s="19"/>
      <c r="M1071" s="13"/>
      <c r="N1071" s="14"/>
      <c r="O1071" s="14"/>
      <c r="P1071" s="4"/>
    </row>
    <row r="1072" spans="2:16">
      <c r="B1072" s="7"/>
      <c r="C1072" s="7"/>
      <c r="D1072" s="18"/>
      <c r="E1072" s="19"/>
      <c r="F1072" s="20"/>
      <c r="G1072" s="21"/>
      <c r="H1072" s="21"/>
      <c r="I1072" s="21"/>
      <c r="J1072" s="21"/>
      <c r="K1072" s="19"/>
      <c r="L1072" s="19"/>
      <c r="M1072" s="13"/>
      <c r="N1072" s="14"/>
      <c r="O1072" s="14"/>
      <c r="P1072" s="4"/>
    </row>
    <row r="1073" spans="2:16">
      <c r="B1073" s="7"/>
      <c r="C1073" s="7"/>
      <c r="D1073" s="18"/>
      <c r="E1073" s="19"/>
      <c r="F1073" s="20"/>
      <c r="G1073" s="21"/>
      <c r="H1073" s="21"/>
      <c r="I1073" s="21"/>
      <c r="J1073" s="21"/>
      <c r="K1073" s="19"/>
      <c r="L1073" s="19"/>
      <c r="M1073" s="13"/>
      <c r="N1073" s="14"/>
      <c r="O1073" s="14"/>
      <c r="P1073" s="4"/>
    </row>
    <row r="1074" spans="2:16">
      <c r="B1074" s="7"/>
      <c r="C1074" s="7"/>
      <c r="D1074" s="18"/>
      <c r="E1074" s="19"/>
      <c r="F1074" s="20"/>
      <c r="G1074" s="21"/>
      <c r="H1074" s="21"/>
      <c r="I1074" s="21"/>
      <c r="J1074" s="21"/>
      <c r="K1074" s="19"/>
      <c r="L1074" s="19"/>
      <c r="M1074" s="13"/>
      <c r="N1074" s="14"/>
      <c r="O1074" s="14"/>
      <c r="P1074" s="4"/>
    </row>
    <row r="1075" spans="2:16">
      <c r="B1075" s="7"/>
      <c r="C1075" s="7"/>
      <c r="D1075" s="18"/>
      <c r="E1075" s="19"/>
      <c r="F1075" s="20"/>
      <c r="G1075" s="21"/>
      <c r="H1075" s="21"/>
      <c r="I1075" s="21"/>
      <c r="J1075" s="21"/>
      <c r="K1075" s="19"/>
      <c r="L1075" s="19"/>
      <c r="M1075" s="13"/>
      <c r="N1075" s="14"/>
      <c r="O1075" s="14"/>
      <c r="P1075" s="4"/>
    </row>
    <row r="1076" spans="2:16">
      <c r="B1076" s="7"/>
      <c r="C1076" s="7"/>
      <c r="D1076" s="18"/>
      <c r="E1076" s="19"/>
      <c r="F1076" s="20"/>
      <c r="G1076" s="21"/>
      <c r="H1076" s="21"/>
      <c r="I1076" s="21"/>
      <c r="J1076" s="21"/>
      <c r="K1076" s="19"/>
      <c r="L1076" s="19"/>
      <c r="M1076" s="13"/>
      <c r="N1076" s="14"/>
      <c r="O1076" s="14"/>
      <c r="P1076" s="4"/>
    </row>
    <row r="1077" spans="2:16">
      <c r="B1077" s="7"/>
      <c r="C1077" s="7"/>
      <c r="D1077" s="18"/>
      <c r="E1077" s="19"/>
      <c r="F1077" s="20"/>
      <c r="G1077" s="21"/>
      <c r="H1077" s="21"/>
      <c r="I1077" s="21"/>
      <c r="J1077" s="21"/>
      <c r="K1077" s="19"/>
      <c r="L1077" s="19"/>
      <c r="M1077" s="13"/>
      <c r="N1077" s="14"/>
      <c r="O1077" s="14"/>
      <c r="P1077" s="4"/>
    </row>
    <row r="1078" spans="2:16">
      <c r="B1078" s="7"/>
      <c r="C1078" s="7"/>
      <c r="D1078" s="18"/>
      <c r="E1078" s="19"/>
      <c r="F1078" s="20"/>
      <c r="G1078" s="21"/>
      <c r="H1078" s="21"/>
      <c r="I1078" s="21"/>
      <c r="J1078" s="21"/>
      <c r="K1078" s="19"/>
      <c r="L1078" s="19"/>
      <c r="M1078" s="13"/>
      <c r="N1078" s="14"/>
      <c r="O1078" s="14"/>
      <c r="P1078" s="4"/>
    </row>
    <row r="1079" spans="2:16">
      <c r="B1079" s="7"/>
      <c r="C1079" s="7"/>
      <c r="D1079" s="18"/>
      <c r="E1079" s="19"/>
      <c r="F1079" s="20"/>
      <c r="G1079" s="21"/>
      <c r="H1079" s="21"/>
      <c r="I1079" s="21"/>
      <c r="J1079" s="21"/>
      <c r="K1079" s="19"/>
      <c r="L1079" s="19"/>
      <c r="M1079" s="13"/>
      <c r="N1079" s="14"/>
      <c r="O1079" s="14"/>
      <c r="P1079" s="4"/>
    </row>
    <row r="1080" spans="2:16">
      <c r="B1080" s="7"/>
      <c r="C1080" s="7"/>
      <c r="D1080" s="18"/>
      <c r="E1080" s="19"/>
      <c r="F1080" s="20"/>
      <c r="G1080" s="21"/>
      <c r="H1080" s="21"/>
      <c r="I1080" s="21"/>
      <c r="J1080" s="21"/>
      <c r="K1080" s="19"/>
      <c r="L1080" s="19"/>
      <c r="M1080" s="13"/>
      <c r="N1080" s="14"/>
      <c r="O1080" s="14"/>
      <c r="P1080" s="4"/>
    </row>
    <row r="1081" spans="2:16">
      <c r="B1081" s="7"/>
      <c r="C1081" s="7"/>
      <c r="D1081" s="18"/>
      <c r="E1081" s="19"/>
      <c r="F1081" s="20"/>
      <c r="G1081" s="21"/>
      <c r="H1081" s="21"/>
      <c r="I1081" s="21"/>
      <c r="J1081" s="21"/>
      <c r="K1081" s="19"/>
      <c r="L1081" s="19"/>
      <c r="M1081" s="13"/>
      <c r="N1081" s="14"/>
      <c r="O1081" s="14"/>
      <c r="P1081" s="4"/>
    </row>
    <row r="1082" spans="2:16">
      <c r="B1082" s="7"/>
      <c r="C1082" s="7"/>
      <c r="D1082" s="18"/>
      <c r="E1082" s="19"/>
      <c r="F1082" s="20"/>
      <c r="G1082" s="21"/>
      <c r="H1082" s="21"/>
      <c r="I1082" s="21"/>
      <c r="J1082" s="21"/>
      <c r="K1082" s="19"/>
      <c r="L1082" s="19"/>
      <c r="M1082" s="13"/>
      <c r="N1082" s="14"/>
      <c r="O1082" s="14"/>
      <c r="P1082" s="4"/>
    </row>
    <row r="1083" spans="2:16">
      <c r="B1083" s="7"/>
      <c r="C1083" s="7"/>
      <c r="D1083" s="18"/>
      <c r="E1083" s="19"/>
      <c r="F1083" s="20"/>
      <c r="G1083" s="21"/>
      <c r="H1083" s="21"/>
      <c r="I1083" s="21"/>
      <c r="J1083" s="21"/>
      <c r="K1083" s="19"/>
      <c r="L1083" s="19"/>
      <c r="M1083" s="13"/>
      <c r="N1083" s="14"/>
      <c r="O1083" s="14"/>
      <c r="P1083" s="4"/>
    </row>
    <row r="1084" spans="2:16">
      <c r="B1084" s="7"/>
      <c r="C1084" s="7"/>
      <c r="D1084" s="18"/>
      <c r="E1084" s="19"/>
      <c r="F1084" s="20"/>
      <c r="G1084" s="21"/>
      <c r="H1084" s="21"/>
      <c r="I1084" s="21"/>
      <c r="J1084" s="21"/>
      <c r="K1084" s="19"/>
      <c r="L1084" s="19"/>
      <c r="M1084" s="13"/>
      <c r="N1084" s="14"/>
      <c r="O1084" s="14"/>
      <c r="P1084" s="4"/>
    </row>
    <row r="1085" spans="2:16">
      <c r="B1085" s="7"/>
      <c r="C1085" s="7"/>
      <c r="D1085" s="18"/>
      <c r="E1085" s="19"/>
      <c r="F1085" s="20"/>
      <c r="G1085" s="21"/>
      <c r="H1085" s="21"/>
      <c r="I1085" s="21"/>
      <c r="J1085" s="21"/>
      <c r="K1085" s="19"/>
      <c r="L1085" s="19"/>
      <c r="M1085" s="13"/>
      <c r="N1085" s="14"/>
      <c r="O1085" s="14"/>
      <c r="P1085" s="4"/>
    </row>
    <row r="1086" spans="2:16">
      <c r="B1086" s="7"/>
      <c r="C1086" s="7"/>
      <c r="D1086" s="18"/>
      <c r="E1086" s="19"/>
      <c r="F1086" s="20"/>
      <c r="G1086" s="21"/>
      <c r="H1086" s="21"/>
      <c r="I1086" s="21"/>
      <c r="J1086" s="21"/>
      <c r="K1086" s="19"/>
      <c r="L1086" s="19"/>
      <c r="M1086" s="13"/>
      <c r="N1086" s="14"/>
      <c r="O1086" s="14"/>
      <c r="P1086" s="4"/>
    </row>
    <row r="1087" spans="2:16">
      <c r="B1087" s="7"/>
      <c r="C1087" s="7"/>
      <c r="D1087" s="18"/>
      <c r="E1087" s="19"/>
      <c r="F1087" s="20"/>
      <c r="G1087" s="21"/>
      <c r="H1087" s="21"/>
      <c r="I1087" s="21"/>
      <c r="J1087" s="21"/>
      <c r="K1087" s="19"/>
      <c r="L1087" s="19"/>
      <c r="M1087" s="13"/>
      <c r="N1087" s="14"/>
      <c r="O1087" s="14"/>
      <c r="P1087" s="4"/>
    </row>
    <row r="1088" spans="2:16">
      <c r="B1088" s="7"/>
      <c r="C1088" s="7"/>
      <c r="D1088" s="18"/>
      <c r="E1088" s="19"/>
      <c r="F1088" s="20"/>
      <c r="G1088" s="21"/>
      <c r="H1088" s="21"/>
      <c r="I1088" s="21"/>
      <c r="J1088" s="21"/>
      <c r="K1088" s="19"/>
      <c r="L1088" s="19"/>
      <c r="M1088" s="13"/>
      <c r="N1088" s="14"/>
      <c r="O1088" s="14"/>
      <c r="P1088" s="4"/>
    </row>
    <row r="1089" spans="2:16">
      <c r="B1089" s="7"/>
      <c r="C1089" s="7"/>
      <c r="D1089" s="18"/>
      <c r="E1089" s="19"/>
      <c r="F1089" s="20"/>
      <c r="G1089" s="21"/>
      <c r="H1089" s="21"/>
      <c r="I1089" s="21"/>
      <c r="J1089" s="21"/>
      <c r="K1089" s="19"/>
      <c r="L1089" s="19"/>
      <c r="M1089" s="13"/>
      <c r="N1089" s="14"/>
      <c r="O1089" s="14"/>
      <c r="P1089" s="4"/>
    </row>
    <row r="1090" spans="2:16">
      <c r="B1090" s="7"/>
      <c r="C1090" s="7"/>
      <c r="D1090" s="18"/>
      <c r="E1090" s="19"/>
      <c r="F1090" s="20"/>
      <c r="G1090" s="21"/>
      <c r="H1090" s="21"/>
      <c r="I1090" s="21"/>
      <c r="J1090" s="21"/>
      <c r="K1090" s="19"/>
      <c r="L1090" s="19"/>
      <c r="M1090" s="13"/>
      <c r="N1090" s="14"/>
      <c r="O1090" s="14"/>
      <c r="P1090" s="4"/>
    </row>
    <row r="1091" spans="2:16">
      <c r="B1091" s="7"/>
      <c r="C1091" s="7"/>
      <c r="D1091" s="18"/>
      <c r="E1091" s="19"/>
      <c r="F1091" s="20"/>
      <c r="G1091" s="21"/>
      <c r="H1091" s="21"/>
      <c r="I1091" s="21"/>
      <c r="J1091" s="21"/>
      <c r="K1091" s="19"/>
      <c r="L1091" s="19"/>
      <c r="M1091" s="13"/>
      <c r="N1091" s="14"/>
      <c r="O1091" s="14"/>
      <c r="P1091" s="4"/>
    </row>
    <row r="1092" spans="2:16">
      <c r="B1092" s="7"/>
      <c r="C1092" s="7"/>
      <c r="D1092" s="18"/>
      <c r="E1092" s="19"/>
      <c r="F1092" s="20"/>
      <c r="G1092" s="21"/>
      <c r="H1092" s="21"/>
      <c r="I1092" s="21"/>
      <c r="J1092" s="21"/>
      <c r="K1092" s="19"/>
      <c r="L1092" s="19"/>
      <c r="M1092" s="13"/>
      <c r="N1092" s="14"/>
      <c r="O1092" s="14"/>
      <c r="P1092" s="4"/>
    </row>
    <row r="1093" spans="2:16">
      <c r="B1093" s="7"/>
      <c r="C1093" s="7"/>
      <c r="D1093" s="18"/>
      <c r="E1093" s="19"/>
      <c r="F1093" s="20"/>
      <c r="G1093" s="21"/>
      <c r="H1093" s="21"/>
      <c r="I1093" s="21"/>
      <c r="J1093" s="21"/>
      <c r="K1093" s="19"/>
      <c r="L1093" s="19"/>
      <c r="M1093" s="13"/>
      <c r="N1093" s="14"/>
      <c r="O1093" s="14"/>
      <c r="P1093" s="4"/>
    </row>
    <row r="1094" spans="2:16">
      <c r="B1094" s="7"/>
      <c r="C1094" s="7"/>
      <c r="D1094" s="18"/>
      <c r="E1094" s="19"/>
      <c r="F1094" s="20"/>
      <c r="G1094" s="21"/>
      <c r="H1094" s="21"/>
      <c r="I1094" s="21"/>
      <c r="J1094" s="21"/>
      <c r="K1094" s="19"/>
      <c r="L1094" s="19"/>
      <c r="M1094" s="13"/>
      <c r="N1094" s="14"/>
      <c r="O1094" s="14"/>
      <c r="P1094" s="4"/>
    </row>
    <row r="1095" spans="2:16">
      <c r="B1095" s="7"/>
      <c r="C1095" s="7"/>
      <c r="D1095" s="18"/>
      <c r="E1095" s="19"/>
      <c r="F1095" s="20"/>
      <c r="G1095" s="21"/>
      <c r="H1095" s="21"/>
      <c r="I1095" s="21"/>
      <c r="J1095" s="21"/>
      <c r="K1095" s="19"/>
      <c r="L1095" s="19"/>
      <c r="M1095" s="13"/>
      <c r="N1095" s="14"/>
      <c r="O1095" s="14"/>
      <c r="P1095" s="4"/>
    </row>
    <row r="1096" spans="2:16">
      <c r="B1096" s="7"/>
      <c r="C1096" s="7"/>
      <c r="D1096" s="18"/>
      <c r="E1096" s="19"/>
      <c r="F1096" s="20"/>
      <c r="G1096" s="21"/>
      <c r="H1096" s="21"/>
      <c r="I1096" s="21"/>
      <c r="J1096" s="21"/>
      <c r="K1096" s="19"/>
      <c r="L1096" s="19"/>
      <c r="M1096" s="13"/>
      <c r="N1096" s="14"/>
      <c r="O1096" s="14"/>
      <c r="P1096" s="4"/>
    </row>
    <row r="1097" spans="2:16">
      <c r="B1097" s="7"/>
      <c r="C1097" s="7"/>
      <c r="D1097" s="18"/>
      <c r="E1097" s="19"/>
      <c r="F1097" s="20"/>
      <c r="G1097" s="21"/>
      <c r="H1097" s="21"/>
      <c r="I1097" s="21"/>
      <c r="J1097" s="21"/>
      <c r="K1097" s="19"/>
      <c r="L1097" s="19"/>
      <c r="M1097" s="13"/>
      <c r="N1097" s="14"/>
      <c r="O1097" s="14"/>
      <c r="P1097" s="4"/>
    </row>
    <row r="1098" spans="2:16">
      <c r="B1098" s="7"/>
      <c r="C1098" s="7"/>
      <c r="D1098" s="18"/>
      <c r="E1098" s="19"/>
      <c r="F1098" s="20"/>
      <c r="G1098" s="21"/>
      <c r="H1098" s="21"/>
      <c r="I1098" s="21"/>
      <c r="J1098" s="21"/>
      <c r="K1098" s="19"/>
      <c r="L1098" s="19"/>
      <c r="M1098" s="13"/>
      <c r="N1098" s="14"/>
      <c r="O1098" s="14"/>
      <c r="P1098" s="4"/>
    </row>
    <row r="1099" spans="2:16">
      <c r="B1099" s="7"/>
      <c r="C1099" s="7"/>
      <c r="D1099" s="18"/>
      <c r="E1099" s="19"/>
      <c r="F1099" s="20"/>
      <c r="G1099" s="21"/>
      <c r="H1099" s="21"/>
      <c r="I1099" s="21"/>
      <c r="J1099" s="21"/>
      <c r="K1099" s="19"/>
      <c r="L1099" s="19"/>
      <c r="M1099" s="13"/>
      <c r="N1099" s="14"/>
      <c r="O1099" s="14"/>
      <c r="P1099" s="4"/>
    </row>
    <row r="1100" spans="2:16">
      <c r="B1100" s="7"/>
      <c r="C1100" s="7"/>
      <c r="D1100" s="18"/>
      <c r="E1100" s="19"/>
      <c r="F1100" s="20"/>
      <c r="G1100" s="21"/>
      <c r="H1100" s="21"/>
      <c r="I1100" s="21"/>
      <c r="J1100" s="21"/>
      <c r="K1100" s="19"/>
      <c r="L1100" s="19"/>
      <c r="M1100" s="13"/>
      <c r="N1100" s="14"/>
      <c r="O1100" s="14"/>
      <c r="P1100" s="4"/>
    </row>
    <row r="1101" spans="2:16">
      <c r="B1101" s="7"/>
      <c r="C1101" s="7"/>
      <c r="D1101" s="18"/>
      <c r="E1101" s="19"/>
      <c r="F1101" s="20"/>
      <c r="G1101" s="21"/>
      <c r="H1101" s="21"/>
      <c r="I1101" s="21"/>
      <c r="J1101" s="21"/>
      <c r="K1101" s="19"/>
      <c r="L1101" s="19"/>
      <c r="M1101" s="13"/>
      <c r="N1101" s="14"/>
      <c r="O1101" s="14"/>
      <c r="P1101" s="4"/>
    </row>
    <row r="1102" spans="2:16">
      <c r="B1102" s="7"/>
      <c r="C1102" s="7"/>
      <c r="D1102" s="18"/>
      <c r="E1102" s="19"/>
      <c r="F1102" s="20"/>
      <c r="G1102" s="21"/>
      <c r="H1102" s="21"/>
      <c r="I1102" s="21"/>
      <c r="J1102" s="21"/>
      <c r="K1102" s="19"/>
      <c r="L1102" s="19"/>
      <c r="M1102" s="13"/>
      <c r="N1102" s="14"/>
      <c r="O1102" s="14"/>
      <c r="P1102" s="4"/>
    </row>
    <row r="1103" spans="2:16">
      <c r="B1103" s="7"/>
      <c r="C1103" s="7"/>
      <c r="D1103" s="18"/>
      <c r="E1103" s="19"/>
      <c r="F1103" s="20"/>
      <c r="G1103" s="21"/>
      <c r="H1103" s="21"/>
      <c r="I1103" s="21"/>
      <c r="J1103" s="21"/>
      <c r="K1103" s="19"/>
      <c r="L1103" s="19"/>
      <c r="M1103" s="13"/>
      <c r="N1103" s="14"/>
      <c r="O1103" s="14"/>
      <c r="P1103" s="4"/>
    </row>
    <row r="1104" spans="2:16">
      <c r="B1104" s="7"/>
      <c r="C1104" s="7"/>
      <c r="D1104" s="18"/>
      <c r="E1104" s="19"/>
      <c r="F1104" s="20"/>
      <c r="G1104" s="21"/>
      <c r="H1104" s="21"/>
      <c r="I1104" s="21"/>
      <c r="J1104" s="21"/>
      <c r="K1104" s="19"/>
      <c r="L1104" s="19"/>
      <c r="M1104" s="13"/>
      <c r="N1104" s="14"/>
      <c r="O1104" s="14"/>
      <c r="P1104" s="4"/>
    </row>
    <row r="1105" spans="2:16">
      <c r="B1105" s="7"/>
      <c r="C1105" s="7"/>
      <c r="D1105" s="18"/>
      <c r="E1105" s="19"/>
      <c r="F1105" s="20"/>
      <c r="G1105" s="21"/>
      <c r="H1105" s="21"/>
      <c r="I1105" s="21"/>
      <c r="J1105" s="21"/>
      <c r="K1105" s="19"/>
      <c r="L1105" s="19"/>
      <c r="M1105" s="13"/>
      <c r="N1105" s="14"/>
      <c r="O1105" s="14"/>
      <c r="P1105" s="4"/>
    </row>
    <row r="1106" spans="2:16">
      <c r="B1106" s="7"/>
      <c r="C1106" s="7"/>
      <c r="D1106" s="18"/>
      <c r="E1106" s="19"/>
      <c r="F1106" s="20"/>
      <c r="G1106" s="21"/>
      <c r="H1106" s="21"/>
      <c r="I1106" s="21"/>
      <c r="J1106" s="21"/>
      <c r="K1106" s="19"/>
      <c r="L1106" s="19"/>
      <c r="M1106" s="13"/>
      <c r="N1106" s="14"/>
      <c r="O1106" s="14"/>
      <c r="P1106" s="4"/>
    </row>
    <row r="1107" spans="2:16">
      <c r="B1107" s="7"/>
      <c r="C1107" s="7"/>
      <c r="D1107" s="18"/>
      <c r="E1107" s="19"/>
      <c r="F1107" s="20"/>
      <c r="G1107" s="21"/>
      <c r="H1107" s="21"/>
      <c r="I1107" s="21"/>
      <c r="J1107" s="21"/>
      <c r="K1107" s="19"/>
      <c r="L1107" s="19"/>
      <c r="M1107" s="13"/>
      <c r="N1107" s="14"/>
      <c r="O1107" s="14"/>
      <c r="P1107" s="4"/>
    </row>
    <row r="1108" spans="2:16">
      <c r="B1108" s="7"/>
      <c r="C1108" s="7"/>
      <c r="D1108" s="18"/>
      <c r="E1108" s="19"/>
      <c r="F1108" s="20"/>
      <c r="G1108" s="21"/>
      <c r="H1108" s="21"/>
      <c r="I1108" s="21"/>
      <c r="J1108" s="21"/>
      <c r="K1108" s="19"/>
      <c r="L1108" s="19"/>
      <c r="M1108" s="13"/>
      <c r="N1108" s="14"/>
      <c r="O1108" s="14"/>
      <c r="P1108" s="4"/>
    </row>
    <row r="1109" spans="2:16">
      <c r="B1109" s="7"/>
      <c r="C1109" s="7"/>
      <c r="D1109" s="18"/>
      <c r="E1109" s="19"/>
      <c r="F1109" s="20"/>
      <c r="G1109" s="21"/>
      <c r="H1109" s="21"/>
      <c r="I1109" s="21"/>
      <c r="J1109" s="21"/>
      <c r="K1109" s="19"/>
      <c r="L1109" s="19"/>
      <c r="M1109" s="13"/>
      <c r="N1109" s="14"/>
      <c r="O1109" s="14"/>
      <c r="P1109" s="4"/>
    </row>
    <row r="1110" spans="2:16">
      <c r="B1110" s="7"/>
      <c r="C1110" s="7"/>
      <c r="D1110" s="18"/>
      <c r="E1110" s="19"/>
      <c r="F1110" s="20"/>
      <c r="G1110" s="21"/>
      <c r="H1110" s="21"/>
      <c r="I1110" s="21"/>
      <c r="J1110" s="21"/>
      <c r="K1110" s="19"/>
      <c r="L1110" s="19"/>
      <c r="M1110" s="13"/>
      <c r="N1110" s="14"/>
      <c r="O1110" s="14"/>
      <c r="P1110" s="4"/>
    </row>
    <row r="1111" spans="2:16">
      <c r="B1111" s="7"/>
      <c r="C1111" s="7"/>
      <c r="D1111" s="18"/>
      <c r="E1111" s="19"/>
      <c r="F1111" s="20"/>
      <c r="G1111" s="21"/>
      <c r="H1111" s="21"/>
      <c r="I1111" s="21"/>
      <c r="J1111" s="21"/>
      <c r="K1111" s="19"/>
      <c r="L1111" s="19"/>
      <c r="M1111" s="13"/>
      <c r="N1111" s="14"/>
      <c r="O1111" s="14"/>
      <c r="P1111" s="4"/>
    </row>
    <row r="1112" spans="2:16">
      <c r="B1112" s="7"/>
      <c r="C1112" s="7"/>
      <c r="D1112" s="18"/>
      <c r="E1112" s="19"/>
      <c r="F1112" s="20"/>
      <c r="G1112" s="21"/>
      <c r="H1112" s="21"/>
      <c r="I1112" s="21"/>
      <c r="J1112" s="21"/>
      <c r="K1112" s="19"/>
      <c r="L1112" s="19"/>
      <c r="M1112" s="13"/>
      <c r="N1112" s="14"/>
      <c r="O1112" s="14"/>
      <c r="P1112" s="4"/>
    </row>
    <row r="1113" spans="2:16">
      <c r="B1113" s="7"/>
      <c r="C1113" s="7"/>
      <c r="D1113" s="18"/>
      <c r="E1113" s="19"/>
      <c r="F1113" s="20"/>
      <c r="G1113" s="21"/>
      <c r="H1113" s="21"/>
      <c r="I1113" s="21"/>
      <c r="J1113" s="21"/>
      <c r="K1113" s="19"/>
      <c r="L1113" s="19"/>
      <c r="M1113" s="13"/>
      <c r="N1113" s="14"/>
      <c r="O1113" s="14"/>
      <c r="P1113" s="4"/>
    </row>
    <row r="1114" spans="2:16">
      <c r="B1114" s="7"/>
      <c r="C1114" s="7"/>
      <c r="D1114" s="18"/>
      <c r="E1114" s="19"/>
      <c r="F1114" s="20"/>
      <c r="G1114" s="21"/>
      <c r="H1114" s="21"/>
      <c r="I1114" s="21"/>
      <c r="J1114" s="21"/>
      <c r="K1114" s="19"/>
      <c r="L1114" s="19"/>
      <c r="M1114" s="13"/>
      <c r="N1114" s="14"/>
      <c r="O1114" s="14"/>
      <c r="P1114" s="4"/>
    </row>
    <row r="1115" spans="2:16">
      <c r="B1115" s="7"/>
      <c r="C1115" s="7"/>
      <c r="D1115" s="18"/>
      <c r="E1115" s="19"/>
      <c r="F1115" s="20"/>
      <c r="G1115" s="21"/>
      <c r="H1115" s="21"/>
      <c r="I1115" s="21"/>
      <c r="J1115" s="21"/>
      <c r="K1115" s="19"/>
      <c r="L1115" s="19"/>
      <c r="M1115" s="13"/>
      <c r="N1115" s="14"/>
      <c r="O1115" s="14"/>
      <c r="P1115" s="4"/>
    </row>
    <row r="1116" spans="2:16">
      <c r="B1116" s="7"/>
      <c r="C1116" s="7"/>
      <c r="D1116" s="18"/>
      <c r="E1116" s="19"/>
      <c r="F1116" s="20"/>
      <c r="G1116" s="21"/>
      <c r="H1116" s="21"/>
      <c r="I1116" s="21"/>
      <c r="J1116" s="21"/>
      <c r="K1116" s="19"/>
      <c r="L1116" s="19"/>
      <c r="M1116" s="13"/>
      <c r="N1116" s="14"/>
      <c r="O1116" s="14"/>
      <c r="P1116" s="4"/>
    </row>
    <row r="1117" spans="2:16">
      <c r="B1117" s="7"/>
      <c r="C1117" s="7"/>
      <c r="D1117" s="18"/>
      <c r="E1117" s="19"/>
      <c r="F1117" s="20"/>
      <c r="G1117" s="21"/>
      <c r="H1117" s="21"/>
      <c r="I1117" s="21"/>
      <c r="J1117" s="21"/>
      <c r="K1117" s="19"/>
      <c r="L1117" s="19"/>
      <c r="M1117" s="13"/>
      <c r="N1117" s="14"/>
      <c r="O1117" s="14"/>
      <c r="P1117" s="4"/>
    </row>
    <row r="1118" spans="2:16">
      <c r="B1118" s="7"/>
      <c r="C1118" s="7"/>
      <c r="D1118" s="18"/>
      <c r="E1118" s="19"/>
      <c r="F1118" s="20"/>
      <c r="G1118" s="21"/>
      <c r="H1118" s="21"/>
      <c r="I1118" s="21"/>
      <c r="J1118" s="21"/>
      <c r="K1118" s="19"/>
      <c r="L1118" s="19"/>
      <c r="M1118" s="13"/>
      <c r="N1118" s="14"/>
      <c r="O1118" s="14"/>
      <c r="P1118" s="4"/>
    </row>
    <row r="1119" spans="2:16">
      <c r="B1119" s="7"/>
      <c r="C1119" s="7"/>
      <c r="D1119" s="18"/>
      <c r="E1119" s="19"/>
      <c r="F1119" s="20"/>
      <c r="G1119" s="21"/>
      <c r="H1119" s="21"/>
      <c r="I1119" s="21"/>
      <c r="J1119" s="21"/>
      <c r="K1119" s="19"/>
      <c r="L1119" s="19"/>
      <c r="M1119" s="13"/>
      <c r="N1119" s="14"/>
      <c r="O1119" s="14"/>
      <c r="P1119" s="4"/>
    </row>
    <row r="1120" spans="2:16">
      <c r="B1120" s="7"/>
      <c r="C1120" s="7"/>
      <c r="D1120" s="18"/>
      <c r="E1120" s="19"/>
      <c r="F1120" s="20"/>
      <c r="G1120" s="21"/>
      <c r="H1120" s="21"/>
      <c r="I1120" s="21"/>
      <c r="J1120" s="21"/>
      <c r="K1120" s="19"/>
      <c r="L1120" s="19"/>
      <c r="M1120" s="13"/>
      <c r="N1120" s="14"/>
      <c r="O1120" s="14"/>
      <c r="P1120" s="4"/>
    </row>
    <row r="1121" spans="2:16">
      <c r="B1121" s="7"/>
      <c r="C1121" s="7"/>
      <c r="D1121" s="18"/>
      <c r="E1121" s="19"/>
      <c r="F1121" s="20"/>
      <c r="G1121" s="21"/>
      <c r="H1121" s="21"/>
      <c r="I1121" s="21"/>
      <c r="J1121" s="21"/>
      <c r="K1121" s="19"/>
      <c r="L1121" s="19"/>
      <c r="M1121" s="13"/>
      <c r="N1121" s="14"/>
      <c r="O1121" s="14"/>
      <c r="P1121" s="4"/>
    </row>
    <row r="1122" spans="2:16">
      <c r="B1122" s="7"/>
      <c r="C1122" s="7"/>
      <c r="D1122" s="18"/>
      <c r="E1122" s="19"/>
      <c r="F1122" s="20"/>
      <c r="G1122" s="21"/>
      <c r="H1122" s="21"/>
      <c r="I1122" s="21"/>
      <c r="J1122" s="21"/>
      <c r="K1122" s="19"/>
      <c r="L1122" s="19"/>
      <c r="M1122" s="13"/>
      <c r="N1122" s="14"/>
      <c r="O1122" s="14"/>
      <c r="P1122" s="4"/>
    </row>
    <row r="1123" spans="2:16">
      <c r="B1123" s="7"/>
      <c r="C1123" s="7"/>
      <c r="D1123" s="18"/>
      <c r="E1123" s="19"/>
      <c r="F1123" s="20"/>
      <c r="G1123" s="21"/>
      <c r="H1123" s="21"/>
      <c r="I1123" s="21"/>
      <c r="J1123" s="21"/>
      <c r="K1123" s="19"/>
      <c r="L1123" s="19"/>
      <c r="M1123" s="13"/>
      <c r="N1123" s="14"/>
      <c r="O1123" s="14"/>
      <c r="P1123" s="4"/>
    </row>
    <row r="1124" spans="2:16">
      <c r="B1124" s="7"/>
      <c r="C1124" s="7"/>
      <c r="D1124" s="18"/>
      <c r="E1124" s="19"/>
      <c r="F1124" s="20"/>
      <c r="G1124" s="21"/>
      <c r="H1124" s="21"/>
      <c r="I1124" s="21"/>
      <c r="J1124" s="21"/>
      <c r="K1124" s="19"/>
      <c r="L1124" s="19"/>
      <c r="M1124" s="13"/>
      <c r="N1124" s="14"/>
      <c r="O1124" s="14"/>
      <c r="P1124" s="4"/>
    </row>
    <row r="1125" spans="2:16">
      <c r="B1125" s="7"/>
      <c r="C1125" s="7"/>
      <c r="D1125" s="18"/>
      <c r="E1125" s="19"/>
      <c r="F1125" s="20"/>
      <c r="G1125" s="21"/>
      <c r="H1125" s="21"/>
      <c r="I1125" s="21"/>
      <c r="J1125" s="21"/>
      <c r="K1125" s="19"/>
      <c r="L1125" s="19"/>
      <c r="M1125" s="13"/>
      <c r="N1125" s="14"/>
      <c r="O1125" s="14"/>
      <c r="P1125" s="4"/>
    </row>
    <row r="1126" spans="2:16">
      <c r="B1126" s="7"/>
      <c r="C1126" s="7"/>
      <c r="D1126" s="18"/>
      <c r="E1126" s="19"/>
      <c r="F1126" s="20"/>
      <c r="G1126" s="21"/>
      <c r="H1126" s="21"/>
      <c r="I1126" s="21"/>
      <c r="J1126" s="21"/>
      <c r="K1126" s="19"/>
      <c r="L1126" s="19"/>
      <c r="M1126" s="13"/>
      <c r="N1126" s="14"/>
      <c r="O1126" s="14"/>
      <c r="P1126" s="4"/>
    </row>
    <row r="1127" spans="2:16">
      <c r="B1127" s="7"/>
      <c r="C1127" s="7"/>
      <c r="D1127" s="18"/>
      <c r="E1127" s="19"/>
      <c r="F1127" s="20"/>
      <c r="G1127" s="21"/>
      <c r="H1127" s="21"/>
      <c r="I1127" s="21"/>
      <c r="J1127" s="21"/>
      <c r="K1127" s="19"/>
      <c r="L1127" s="19"/>
      <c r="M1127" s="13"/>
      <c r="N1127" s="14"/>
      <c r="O1127" s="14"/>
      <c r="P1127" s="4"/>
    </row>
    <row r="1128" spans="2:16">
      <c r="B1128" s="7"/>
      <c r="C1128" s="7"/>
      <c r="D1128" s="18"/>
      <c r="E1128" s="19"/>
      <c r="F1128" s="20"/>
      <c r="G1128" s="21"/>
      <c r="H1128" s="21"/>
      <c r="I1128" s="21"/>
      <c r="J1128" s="21"/>
      <c r="K1128" s="19"/>
      <c r="L1128" s="19"/>
      <c r="M1128" s="13"/>
      <c r="N1128" s="14"/>
      <c r="O1128" s="14"/>
      <c r="P1128" s="4"/>
    </row>
    <row r="1129" spans="2:16">
      <c r="B1129" s="7"/>
      <c r="C1129" s="7"/>
      <c r="D1129" s="18"/>
      <c r="E1129" s="19"/>
      <c r="F1129" s="20"/>
      <c r="G1129" s="21"/>
      <c r="H1129" s="21"/>
      <c r="I1129" s="21"/>
      <c r="J1129" s="21"/>
      <c r="K1129" s="19"/>
      <c r="L1129" s="19"/>
      <c r="M1129" s="13"/>
      <c r="N1129" s="14"/>
      <c r="O1129" s="14"/>
      <c r="P1129" s="4"/>
    </row>
    <row r="1130" spans="2:16">
      <c r="B1130" s="7"/>
      <c r="C1130" s="7"/>
      <c r="D1130" s="18"/>
      <c r="E1130" s="19"/>
      <c r="F1130" s="20"/>
      <c r="G1130" s="21"/>
      <c r="H1130" s="21"/>
      <c r="I1130" s="21"/>
      <c r="J1130" s="21"/>
      <c r="K1130" s="19"/>
      <c r="L1130" s="19"/>
      <c r="M1130" s="13"/>
      <c r="N1130" s="14"/>
      <c r="O1130" s="14"/>
      <c r="P1130" s="4"/>
    </row>
    <row r="1131" spans="2:16">
      <c r="B1131" s="7"/>
      <c r="C1131" s="7"/>
      <c r="D1131" s="18"/>
      <c r="E1131" s="19"/>
      <c r="F1131" s="20"/>
      <c r="G1131" s="21"/>
      <c r="H1131" s="21"/>
      <c r="I1131" s="21"/>
      <c r="J1131" s="21"/>
      <c r="K1131" s="19"/>
      <c r="L1131" s="19"/>
      <c r="M1131" s="13"/>
      <c r="N1131" s="14"/>
      <c r="O1131" s="14"/>
      <c r="P1131" s="4"/>
    </row>
    <row r="1132" spans="2:16">
      <c r="B1132" s="7"/>
      <c r="C1132" s="7"/>
      <c r="D1132" s="18"/>
      <c r="E1132" s="19"/>
      <c r="F1132" s="20"/>
      <c r="G1132" s="21"/>
      <c r="H1132" s="21"/>
      <c r="I1132" s="21"/>
      <c r="J1132" s="21"/>
      <c r="K1132" s="19"/>
      <c r="L1132" s="19"/>
      <c r="M1132" s="13"/>
      <c r="N1132" s="14"/>
      <c r="O1132" s="14"/>
      <c r="P1132" s="4"/>
    </row>
    <row r="1133" spans="2:16">
      <c r="B1133" s="7"/>
      <c r="C1133" s="7"/>
      <c r="D1133" s="18"/>
      <c r="E1133" s="19"/>
      <c r="F1133" s="20"/>
      <c r="G1133" s="21"/>
      <c r="H1133" s="21"/>
      <c r="I1133" s="21"/>
      <c r="J1133" s="21"/>
      <c r="K1133" s="19"/>
      <c r="L1133" s="19"/>
      <c r="M1133" s="13"/>
      <c r="N1133" s="14"/>
      <c r="O1133" s="14"/>
      <c r="P1133" s="4"/>
    </row>
    <row r="1134" spans="2:16">
      <c r="B1134" s="7"/>
      <c r="C1134" s="7"/>
      <c r="D1134" s="18"/>
      <c r="E1134" s="19"/>
      <c r="F1134" s="20"/>
      <c r="G1134" s="21"/>
      <c r="H1134" s="21"/>
      <c r="I1134" s="21"/>
      <c r="J1134" s="21"/>
      <c r="K1134" s="19"/>
      <c r="L1134" s="19"/>
      <c r="M1134" s="13"/>
      <c r="N1134" s="14"/>
      <c r="O1134" s="14"/>
      <c r="P1134" s="4"/>
    </row>
    <row r="1135" spans="2:16">
      <c r="B1135" s="7"/>
      <c r="C1135" s="7"/>
      <c r="D1135" s="18"/>
      <c r="E1135" s="19"/>
      <c r="F1135" s="20"/>
      <c r="G1135" s="21"/>
      <c r="H1135" s="21"/>
      <c r="I1135" s="21"/>
      <c r="J1135" s="21"/>
      <c r="K1135" s="19"/>
      <c r="L1135" s="19"/>
      <c r="M1135" s="13"/>
      <c r="N1135" s="14"/>
      <c r="O1135" s="14"/>
      <c r="P1135" s="4"/>
    </row>
    <row r="1136" spans="2:16">
      <c r="B1136" s="7"/>
      <c r="C1136" s="7"/>
      <c r="D1136" s="18"/>
      <c r="E1136" s="19"/>
      <c r="F1136" s="20"/>
      <c r="G1136" s="21"/>
      <c r="H1136" s="21"/>
      <c r="I1136" s="21"/>
      <c r="J1136" s="21"/>
      <c r="K1136" s="19"/>
      <c r="L1136" s="19"/>
      <c r="M1136" s="13"/>
      <c r="N1136" s="14"/>
      <c r="O1136" s="14"/>
      <c r="P1136" s="4"/>
    </row>
    <row r="1137" spans="2:16">
      <c r="B1137" s="7"/>
      <c r="C1137" s="7"/>
      <c r="D1137" s="18"/>
      <c r="E1137" s="19"/>
      <c r="F1137" s="20"/>
      <c r="G1137" s="21"/>
      <c r="H1137" s="21"/>
      <c r="I1137" s="21"/>
      <c r="J1137" s="21"/>
      <c r="K1137" s="19"/>
      <c r="L1137" s="19"/>
      <c r="M1137" s="13"/>
      <c r="N1137" s="14"/>
      <c r="O1137" s="14"/>
      <c r="P1137" s="4"/>
    </row>
    <row r="1138" spans="2:16">
      <c r="B1138" s="7"/>
      <c r="C1138" s="7"/>
      <c r="D1138" s="18"/>
      <c r="E1138" s="19"/>
      <c r="F1138" s="20"/>
      <c r="G1138" s="21"/>
      <c r="H1138" s="21"/>
      <c r="I1138" s="21"/>
      <c r="J1138" s="21"/>
      <c r="K1138" s="19"/>
      <c r="L1138" s="19"/>
      <c r="M1138" s="13"/>
      <c r="N1138" s="14"/>
      <c r="O1138" s="14"/>
      <c r="P1138" s="4"/>
    </row>
    <row r="1139" spans="2:16">
      <c r="B1139" s="7"/>
      <c r="C1139" s="7"/>
      <c r="D1139" s="18"/>
      <c r="E1139" s="19"/>
      <c r="F1139" s="20"/>
      <c r="G1139" s="21"/>
      <c r="H1139" s="21"/>
      <c r="I1139" s="21"/>
      <c r="J1139" s="21"/>
      <c r="K1139" s="19"/>
      <c r="L1139" s="19"/>
      <c r="M1139" s="13"/>
      <c r="N1139" s="14"/>
      <c r="O1139" s="14"/>
      <c r="P1139" s="4"/>
    </row>
    <row r="1140" spans="2:16">
      <c r="B1140" s="7"/>
      <c r="C1140" s="7"/>
      <c r="D1140" s="18"/>
      <c r="E1140" s="19"/>
      <c r="F1140" s="20"/>
      <c r="G1140" s="21"/>
      <c r="H1140" s="21"/>
      <c r="I1140" s="21"/>
      <c r="J1140" s="21"/>
      <c r="K1140" s="19"/>
      <c r="L1140" s="19"/>
      <c r="M1140" s="13"/>
      <c r="N1140" s="14"/>
      <c r="O1140" s="14"/>
      <c r="P1140" s="4"/>
    </row>
    <row r="1141" spans="2:16">
      <c r="B1141" s="7"/>
      <c r="C1141" s="7"/>
      <c r="D1141" s="18"/>
      <c r="E1141" s="19"/>
      <c r="F1141" s="20"/>
      <c r="G1141" s="21"/>
      <c r="H1141" s="21"/>
      <c r="I1141" s="21"/>
      <c r="J1141" s="21"/>
      <c r="K1141" s="19"/>
      <c r="L1141" s="19"/>
      <c r="M1141" s="13"/>
      <c r="N1141" s="14"/>
      <c r="O1141" s="14"/>
      <c r="P1141" s="4"/>
    </row>
    <row r="1142" spans="2:16">
      <c r="B1142" s="7"/>
      <c r="C1142" s="7"/>
      <c r="D1142" s="18"/>
      <c r="E1142" s="19"/>
      <c r="F1142" s="20"/>
      <c r="G1142" s="21"/>
      <c r="H1142" s="21"/>
      <c r="I1142" s="21"/>
      <c r="J1142" s="21"/>
      <c r="K1142" s="19"/>
      <c r="L1142" s="19"/>
      <c r="M1142" s="13"/>
      <c r="N1142" s="14"/>
      <c r="O1142" s="14"/>
      <c r="P1142" s="4"/>
    </row>
    <row r="1143" spans="2:16">
      <c r="B1143" s="7"/>
      <c r="C1143" s="7"/>
      <c r="D1143" s="18"/>
      <c r="E1143" s="19"/>
      <c r="F1143" s="20"/>
      <c r="G1143" s="21"/>
      <c r="H1143" s="21"/>
      <c r="I1143" s="21"/>
      <c r="J1143" s="21"/>
      <c r="K1143" s="19"/>
      <c r="L1143" s="19"/>
      <c r="M1143" s="13"/>
      <c r="N1143" s="14"/>
      <c r="O1143" s="14"/>
      <c r="P1143" s="4"/>
    </row>
    <row r="1144" spans="2:16">
      <c r="B1144" s="7"/>
      <c r="C1144" s="7"/>
      <c r="D1144" s="18"/>
      <c r="E1144" s="19"/>
      <c r="F1144" s="20"/>
      <c r="G1144" s="21"/>
      <c r="H1144" s="21"/>
      <c r="I1144" s="21"/>
      <c r="J1144" s="21"/>
      <c r="K1144" s="19"/>
      <c r="L1144" s="19"/>
      <c r="M1144" s="13"/>
      <c r="N1144" s="14"/>
      <c r="O1144" s="14"/>
      <c r="P1144" s="4"/>
    </row>
    <row r="1145" spans="2:16">
      <c r="B1145" s="7"/>
      <c r="C1145" s="7"/>
      <c r="D1145" s="18"/>
      <c r="E1145" s="19"/>
      <c r="F1145" s="20"/>
      <c r="G1145" s="21"/>
      <c r="H1145" s="21"/>
      <c r="I1145" s="21"/>
      <c r="J1145" s="21"/>
      <c r="K1145" s="19"/>
      <c r="L1145" s="19"/>
      <c r="M1145" s="13"/>
      <c r="N1145" s="14"/>
      <c r="O1145" s="14"/>
      <c r="P1145" s="4"/>
    </row>
    <row r="1146" spans="2:16">
      <c r="B1146" s="7"/>
      <c r="C1146" s="7"/>
      <c r="D1146" s="18"/>
      <c r="E1146" s="19"/>
      <c r="F1146" s="20"/>
      <c r="G1146" s="21"/>
      <c r="H1146" s="21"/>
      <c r="I1146" s="21"/>
      <c r="J1146" s="21"/>
      <c r="K1146" s="19"/>
      <c r="L1146" s="19"/>
      <c r="M1146" s="13"/>
      <c r="N1146" s="14"/>
      <c r="O1146" s="14"/>
      <c r="P1146" s="4"/>
    </row>
    <row r="1147" spans="2:16">
      <c r="B1147" s="7"/>
      <c r="C1147" s="7"/>
      <c r="D1147" s="18"/>
      <c r="E1147" s="19"/>
      <c r="F1147" s="20"/>
      <c r="G1147" s="21"/>
      <c r="H1147" s="21"/>
      <c r="I1147" s="21"/>
      <c r="J1147" s="21"/>
      <c r="K1147" s="19"/>
      <c r="L1147" s="19"/>
      <c r="M1147" s="13"/>
      <c r="N1147" s="14"/>
      <c r="O1147" s="14"/>
      <c r="P1147" s="4"/>
    </row>
    <row r="1148" spans="2:16">
      <c r="B1148" s="7"/>
      <c r="C1148" s="7"/>
      <c r="D1148" s="18"/>
      <c r="E1148" s="19"/>
      <c r="F1148" s="20"/>
      <c r="G1148" s="21"/>
      <c r="H1148" s="21"/>
      <c r="I1148" s="21"/>
      <c r="J1148" s="21"/>
      <c r="K1148" s="19"/>
      <c r="L1148" s="19"/>
      <c r="M1148" s="13"/>
      <c r="N1148" s="14"/>
      <c r="O1148" s="14"/>
      <c r="P1148" s="4"/>
    </row>
    <row r="1149" spans="2:16">
      <c r="B1149" s="7"/>
      <c r="C1149" s="7"/>
      <c r="D1149" s="18"/>
      <c r="E1149" s="19"/>
      <c r="F1149" s="20"/>
      <c r="G1149" s="21"/>
      <c r="H1149" s="21"/>
      <c r="I1149" s="21"/>
      <c r="J1149" s="21"/>
      <c r="K1149" s="19"/>
      <c r="L1149" s="19"/>
      <c r="M1149" s="13"/>
      <c r="N1149" s="14"/>
      <c r="O1149" s="14"/>
      <c r="P1149" s="4"/>
    </row>
    <row r="1150" spans="2:16">
      <c r="B1150" s="7"/>
      <c r="C1150" s="7"/>
      <c r="D1150" s="18"/>
      <c r="E1150" s="19"/>
      <c r="F1150" s="20"/>
      <c r="G1150" s="21"/>
      <c r="H1150" s="21"/>
      <c r="I1150" s="21"/>
      <c r="J1150" s="21"/>
      <c r="K1150" s="19"/>
      <c r="L1150" s="19"/>
      <c r="M1150" s="13"/>
      <c r="N1150" s="14"/>
      <c r="O1150" s="14"/>
      <c r="P1150" s="4"/>
    </row>
    <row r="1151" spans="2:16">
      <c r="B1151" s="7"/>
      <c r="C1151" s="7"/>
      <c r="D1151" s="18"/>
      <c r="E1151" s="19"/>
      <c r="F1151" s="20"/>
      <c r="G1151" s="21"/>
      <c r="H1151" s="21"/>
      <c r="I1151" s="21"/>
      <c r="J1151" s="21"/>
      <c r="K1151" s="19"/>
      <c r="L1151" s="19"/>
      <c r="M1151" s="13"/>
      <c r="N1151" s="14"/>
      <c r="O1151" s="14"/>
      <c r="P1151" s="4"/>
    </row>
    <row r="1152" spans="2:16">
      <c r="B1152" s="7"/>
      <c r="C1152" s="7"/>
      <c r="D1152" s="18"/>
      <c r="E1152" s="19"/>
      <c r="F1152" s="20"/>
      <c r="G1152" s="21"/>
      <c r="H1152" s="21"/>
      <c r="I1152" s="21"/>
      <c r="J1152" s="21"/>
      <c r="K1152" s="19"/>
      <c r="L1152" s="19"/>
      <c r="M1152" s="13"/>
      <c r="N1152" s="14"/>
      <c r="O1152" s="14"/>
      <c r="P1152" s="4"/>
    </row>
    <row r="1153" spans="2:16">
      <c r="B1153" s="7"/>
      <c r="C1153" s="7"/>
      <c r="D1153" s="18"/>
      <c r="E1153" s="19"/>
      <c r="F1153" s="20"/>
      <c r="G1153" s="21"/>
      <c r="H1153" s="21"/>
      <c r="I1153" s="21"/>
      <c r="J1153" s="21"/>
      <c r="K1153" s="19"/>
      <c r="L1153" s="19"/>
      <c r="M1153" s="13"/>
      <c r="N1153" s="14"/>
      <c r="O1153" s="14"/>
      <c r="P1153" s="4"/>
    </row>
    <row r="1154" spans="2:16">
      <c r="B1154" s="7"/>
      <c r="C1154" s="7"/>
      <c r="D1154" s="18"/>
      <c r="E1154" s="19"/>
      <c r="F1154" s="20"/>
      <c r="G1154" s="21"/>
      <c r="H1154" s="21"/>
      <c r="I1154" s="21"/>
      <c r="J1154" s="21"/>
      <c r="K1154" s="19"/>
      <c r="L1154" s="19"/>
      <c r="M1154" s="13"/>
      <c r="N1154" s="14"/>
      <c r="O1154" s="14"/>
      <c r="P1154" s="4"/>
    </row>
    <row r="1155" spans="2:16">
      <c r="B1155" s="7"/>
      <c r="C1155" s="7"/>
      <c r="D1155" s="18"/>
      <c r="E1155" s="19"/>
      <c r="F1155" s="20"/>
      <c r="G1155" s="21"/>
      <c r="H1155" s="21"/>
      <c r="I1155" s="21"/>
      <c r="J1155" s="21"/>
      <c r="K1155" s="19"/>
      <c r="L1155" s="19"/>
      <c r="M1155" s="13"/>
      <c r="N1155" s="14"/>
      <c r="O1155" s="14"/>
      <c r="P1155" s="4"/>
    </row>
    <row r="1156" spans="2:16">
      <c r="B1156" s="7"/>
      <c r="C1156" s="7"/>
      <c r="D1156" s="18"/>
      <c r="E1156" s="19"/>
      <c r="F1156" s="20"/>
      <c r="G1156" s="21"/>
      <c r="H1156" s="21"/>
      <c r="I1156" s="21"/>
      <c r="J1156" s="21"/>
      <c r="K1156" s="19"/>
      <c r="L1156" s="19"/>
      <c r="M1156" s="13"/>
      <c r="N1156" s="14"/>
      <c r="O1156" s="14"/>
      <c r="P1156" s="4"/>
    </row>
    <row r="1157" spans="2:16">
      <c r="B1157" s="7"/>
      <c r="C1157" s="7"/>
      <c r="D1157" s="18"/>
      <c r="E1157" s="19"/>
      <c r="F1157" s="20"/>
      <c r="G1157" s="21"/>
      <c r="H1157" s="21"/>
      <c r="I1157" s="21"/>
      <c r="J1157" s="21"/>
      <c r="K1157" s="19"/>
      <c r="L1157" s="19"/>
      <c r="M1157" s="13"/>
      <c r="N1157" s="14"/>
      <c r="O1157" s="14"/>
      <c r="P1157" s="4"/>
    </row>
    <row r="1158" spans="2:16">
      <c r="B1158" s="7"/>
      <c r="C1158" s="7"/>
      <c r="D1158" s="18"/>
      <c r="E1158" s="19"/>
      <c r="F1158" s="20"/>
      <c r="G1158" s="21"/>
      <c r="H1158" s="21"/>
      <c r="I1158" s="21"/>
      <c r="J1158" s="21"/>
      <c r="K1158" s="19"/>
      <c r="L1158" s="19"/>
      <c r="M1158" s="13"/>
      <c r="N1158" s="14"/>
      <c r="O1158" s="14"/>
      <c r="P1158" s="4"/>
    </row>
    <row r="1159" spans="2:16">
      <c r="B1159" s="7"/>
      <c r="C1159" s="7"/>
      <c r="D1159" s="18"/>
      <c r="E1159" s="19"/>
      <c r="F1159" s="20"/>
      <c r="G1159" s="21"/>
      <c r="H1159" s="21"/>
      <c r="I1159" s="21"/>
      <c r="J1159" s="21"/>
      <c r="K1159" s="19"/>
      <c r="L1159" s="19"/>
      <c r="M1159" s="13"/>
      <c r="N1159" s="14"/>
      <c r="O1159" s="14"/>
      <c r="P1159" s="4"/>
    </row>
    <row r="1160" spans="2:16">
      <c r="B1160" s="7"/>
      <c r="C1160" s="7"/>
      <c r="D1160" s="18"/>
      <c r="E1160" s="19"/>
      <c r="F1160" s="20"/>
      <c r="G1160" s="21"/>
      <c r="H1160" s="21"/>
      <c r="I1160" s="21"/>
      <c r="J1160" s="21"/>
      <c r="K1160" s="19"/>
      <c r="L1160" s="19"/>
      <c r="M1160" s="13"/>
      <c r="N1160" s="14"/>
      <c r="O1160" s="14"/>
      <c r="P1160" s="4"/>
    </row>
    <row r="1161" spans="2:16">
      <c r="B1161" s="7"/>
      <c r="C1161" s="7"/>
      <c r="D1161" s="18"/>
      <c r="E1161" s="19"/>
      <c r="F1161" s="20"/>
      <c r="G1161" s="21"/>
      <c r="H1161" s="21"/>
      <c r="I1161" s="21"/>
      <c r="J1161" s="21"/>
      <c r="K1161" s="19"/>
      <c r="L1161" s="19"/>
      <c r="M1161" s="13"/>
      <c r="N1161" s="14"/>
      <c r="O1161" s="14"/>
      <c r="P1161" s="4"/>
    </row>
    <row r="1162" spans="2:16">
      <c r="B1162" s="7"/>
      <c r="C1162" s="7"/>
      <c r="D1162" s="18"/>
      <c r="E1162" s="19"/>
      <c r="F1162" s="20"/>
      <c r="G1162" s="21"/>
      <c r="H1162" s="21"/>
      <c r="I1162" s="21"/>
      <c r="J1162" s="21"/>
      <c r="K1162" s="19"/>
      <c r="L1162" s="19"/>
      <c r="M1162" s="13"/>
      <c r="N1162" s="14"/>
      <c r="O1162" s="14"/>
      <c r="P1162" s="4"/>
    </row>
    <row r="1163" spans="2:16">
      <c r="B1163" s="7"/>
      <c r="C1163" s="7"/>
      <c r="D1163" s="18"/>
      <c r="E1163" s="19"/>
      <c r="F1163" s="20"/>
      <c r="G1163" s="21"/>
      <c r="H1163" s="21"/>
      <c r="I1163" s="21"/>
      <c r="J1163" s="21"/>
      <c r="K1163" s="19"/>
      <c r="L1163" s="19"/>
      <c r="M1163" s="13"/>
      <c r="N1163" s="14"/>
      <c r="O1163" s="14"/>
      <c r="P1163" s="4"/>
    </row>
    <row r="1164" spans="2:16">
      <c r="B1164" s="7"/>
      <c r="C1164" s="7"/>
      <c r="D1164" s="18"/>
      <c r="E1164" s="19"/>
      <c r="F1164" s="20"/>
      <c r="G1164" s="21"/>
      <c r="H1164" s="21"/>
      <c r="I1164" s="21"/>
      <c r="J1164" s="21"/>
      <c r="K1164" s="19"/>
      <c r="L1164" s="19"/>
      <c r="M1164" s="13"/>
      <c r="N1164" s="14"/>
      <c r="O1164" s="14"/>
      <c r="P1164" s="4"/>
    </row>
    <row r="1165" spans="2:16">
      <c r="B1165" s="7"/>
      <c r="C1165" s="7"/>
      <c r="D1165" s="18"/>
      <c r="E1165" s="19"/>
      <c r="F1165" s="20"/>
      <c r="G1165" s="21"/>
      <c r="H1165" s="21"/>
      <c r="I1165" s="21"/>
      <c r="J1165" s="21"/>
      <c r="K1165" s="19"/>
      <c r="L1165" s="19"/>
      <c r="M1165" s="13"/>
      <c r="N1165" s="14"/>
      <c r="O1165" s="14"/>
      <c r="P1165" s="4"/>
    </row>
    <row r="1166" spans="2:16">
      <c r="B1166" s="7"/>
      <c r="C1166" s="7"/>
      <c r="D1166" s="18"/>
      <c r="E1166" s="19"/>
      <c r="F1166" s="20"/>
      <c r="G1166" s="21"/>
      <c r="H1166" s="21"/>
      <c r="I1166" s="21"/>
      <c r="J1166" s="21"/>
      <c r="K1166" s="19"/>
      <c r="L1166" s="19"/>
      <c r="M1166" s="13"/>
      <c r="N1166" s="14"/>
      <c r="O1166" s="14"/>
      <c r="P1166" s="4"/>
    </row>
    <row r="1167" spans="2:16">
      <c r="B1167" s="7"/>
      <c r="C1167" s="7"/>
      <c r="D1167" s="18"/>
      <c r="E1167" s="19"/>
      <c r="F1167" s="20"/>
      <c r="G1167" s="21"/>
      <c r="H1167" s="21"/>
      <c r="I1167" s="21"/>
      <c r="J1167" s="21"/>
      <c r="K1167" s="19"/>
      <c r="L1167" s="19"/>
      <c r="M1167" s="13"/>
      <c r="N1167" s="14"/>
      <c r="O1167" s="14"/>
      <c r="P1167" s="4"/>
    </row>
    <row r="1168" spans="2:16">
      <c r="B1168" s="7"/>
      <c r="C1168" s="7"/>
      <c r="D1168" s="18"/>
      <c r="E1168" s="19"/>
      <c r="F1168" s="20"/>
      <c r="G1168" s="21"/>
      <c r="H1168" s="21"/>
      <c r="I1168" s="21"/>
      <c r="J1168" s="21"/>
      <c r="K1168" s="19"/>
      <c r="L1168" s="19"/>
      <c r="M1168" s="13"/>
      <c r="N1168" s="14"/>
      <c r="O1168" s="14"/>
      <c r="P1168" s="4"/>
    </row>
    <row r="1169" spans="2:16">
      <c r="B1169" s="7"/>
      <c r="C1169" s="7"/>
      <c r="D1169" s="18"/>
      <c r="E1169" s="19"/>
      <c r="F1169" s="20"/>
      <c r="G1169" s="21"/>
      <c r="H1169" s="21"/>
      <c r="I1169" s="21"/>
      <c r="J1169" s="21"/>
      <c r="K1169" s="19"/>
      <c r="L1169" s="19"/>
      <c r="M1169" s="13"/>
      <c r="N1169" s="14"/>
      <c r="O1169" s="14"/>
      <c r="P1169" s="4"/>
    </row>
    <row r="1170" spans="2:16">
      <c r="B1170" s="7"/>
      <c r="C1170" s="7"/>
      <c r="D1170" s="18"/>
      <c r="E1170" s="19"/>
      <c r="F1170" s="20"/>
      <c r="G1170" s="21"/>
      <c r="H1170" s="21"/>
      <c r="I1170" s="21"/>
      <c r="J1170" s="21"/>
      <c r="K1170" s="19"/>
      <c r="L1170" s="19"/>
      <c r="M1170" s="13"/>
      <c r="N1170" s="14"/>
      <c r="O1170" s="14"/>
      <c r="P1170" s="4"/>
    </row>
    <row r="1171" spans="2:16">
      <c r="B1171" s="7"/>
      <c r="C1171" s="7"/>
      <c r="D1171" s="18"/>
      <c r="E1171" s="19"/>
      <c r="F1171" s="20"/>
      <c r="G1171" s="21"/>
      <c r="H1171" s="21"/>
      <c r="I1171" s="21"/>
      <c r="J1171" s="21"/>
      <c r="K1171" s="19"/>
      <c r="L1171" s="19"/>
      <c r="M1171" s="13"/>
      <c r="N1171" s="14"/>
      <c r="O1171" s="14"/>
      <c r="P1171" s="4"/>
    </row>
    <row r="1172" spans="2:16">
      <c r="B1172" s="7"/>
      <c r="C1172" s="7"/>
      <c r="D1172" s="18"/>
      <c r="E1172" s="19"/>
      <c r="F1172" s="20"/>
      <c r="G1172" s="21"/>
      <c r="H1172" s="21"/>
      <c r="I1172" s="21"/>
      <c r="J1172" s="21"/>
      <c r="K1172" s="19"/>
      <c r="L1172" s="19"/>
      <c r="M1172" s="13"/>
      <c r="N1172" s="14"/>
      <c r="O1172" s="14"/>
      <c r="P1172" s="4"/>
    </row>
    <row r="1173" spans="2:16">
      <c r="B1173" s="7"/>
      <c r="C1173" s="7"/>
      <c r="D1173" s="18"/>
      <c r="E1173" s="19"/>
      <c r="F1173" s="20"/>
      <c r="G1173" s="21"/>
      <c r="H1173" s="21"/>
      <c r="I1173" s="21"/>
      <c r="J1173" s="21"/>
      <c r="K1173" s="19"/>
      <c r="L1173" s="19"/>
      <c r="M1173" s="13"/>
      <c r="N1173" s="14"/>
      <c r="O1173" s="14"/>
      <c r="P1173" s="4"/>
    </row>
    <row r="1174" spans="2:16">
      <c r="B1174" s="7"/>
      <c r="C1174" s="7"/>
      <c r="D1174" s="18"/>
      <c r="E1174" s="19"/>
      <c r="F1174" s="20"/>
      <c r="G1174" s="21"/>
      <c r="H1174" s="21"/>
      <c r="I1174" s="21"/>
      <c r="J1174" s="21"/>
      <c r="K1174" s="19"/>
      <c r="L1174" s="19"/>
      <c r="M1174" s="13"/>
      <c r="N1174" s="14"/>
      <c r="O1174" s="14"/>
      <c r="P1174" s="4"/>
    </row>
    <row r="1175" spans="2:16">
      <c r="B1175" s="7"/>
      <c r="C1175" s="7"/>
      <c r="D1175" s="18"/>
      <c r="E1175" s="19"/>
      <c r="F1175" s="20"/>
      <c r="G1175" s="21"/>
      <c r="H1175" s="21"/>
      <c r="I1175" s="21"/>
      <c r="J1175" s="21"/>
      <c r="K1175" s="19"/>
      <c r="L1175" s="19"/>
      <c r="M1175" s="13"/>
      <c r="N1175" s="14"/>
      <c r="O1175" s="14"/>
      <c r="P1175" s="4"/>
    </row>
    <row r="1176" spans="2:16">
      <c r="B1176" s="7"/>
      <c r="C1176" s="7"/>
      <c r="D1176" s="18"/>
      <c r="E1176" s="19"/>
      <c r="F1176" s="20"/>
      <c r="G1176" s="21"/>
      <c r="H1176" s="21"/>
      <c r="I1176" s="21"/>
      <c r="J1176" s="21"/>
      <c r="K1176" s="19"/>
      <c r="L1176" s="19"/>
      <c r="M1176" s="13"/>
      <c r="N1176" s="14"/>
      <c r="O1176" s="14"/>
      <c r="P1176" s="4"/>
    </row>
    <row r="1177" spans="2:16">
      <c r="B1177" s="7"/>
      <c r="C1177" s="7"/>
      <c r="D1177" s="18"/>
      <c r="E1177" s="19"/>
      <c r="F1177" s="20"/>
      <c r="G1177" s="21"/>
      <c r="H1177" s="21"/>
      <c r="I1177" s="21"/>
      <c r="J1177" s="21"/>
      <c r="K1177" s="19"/>
      <c r="L1177" s="19"/>
      <c r="M1177" s="13"/>
      <c r="N1177" s="14"/>
      <c r="O1177" s="14"/>
      <c r="P1177" s="4"/>
    </row>
    <row r="1178" spans="2:16">
      <c r="B1178" s="7"/>
      <c r="C1178" s="7"/>
      <c r="D1178" s="18"/>
      <c r="E1178" s="19"/>
      <c r="F1178" s="20"/>
      <c r="G1178" s="21"/>
      <c r="H1178" s="21"/>
      <c r="I1178" s="21"/>
      <c r="J1178" s="21"/>
      <c r="K1178" s="19"/>
      <c r="L1178" s="19"/>
      <c r="M1178" s="13"/>
      <c r="N1178" s="14"/>
      <c r="O1178" s="14"/>
      <c r="P1178" s="4"/>
    </row>
    <row r="1179" spans="2:16">
      <c r="B1179" s="7"/>
      <c r="C1179" s="7"/>
      <c r="D1179" s="18"/>
      <c r="E1179" s="19"/>
      <c r="F1179" s="20"/>
      <c r="G1179" s="21"/>
      <c r="H1179" s="21"/>
      <c r="I1179" s="21"/>
      <c r="J1179" s="21"/>
      <c r="K1179" s="19"/>
      <c r="L1179" s="19"/>
      <c r="M1179" s="13"/>
      <c r="N1179" s="14"/>
      <c r="O1179" s="14"/>
      <c r="P1179" s="4"/>
    </row>
    <row r="1180" spans="2:16">
      <c r="B1180" s="7"/>
      <c r="C1180" s="7"/>
      <c r="D1180" s="18"/>
      <c r="E1180" s="19"/>
      <c r="F1180" s="20"/>
      <c r="G1180" s="21"/>
      <c r="H1180" s="21"/>
      <c r="I1180" s="21"/>
      <c r="J1180" s="21"/>
      <c r="K1180" s="19"/>
      <c r="L1180" s="19"/>
      <c r="M1180" s="13"/>
      <c r="N1180" s="14"/>
      <c r="O1180" s="14"/>
      <c r="P1180" s="4"/>
    </row>
    <row r="1181" spans="2:16">
      <c r="B1181" s="7"/>
      <c r="C1181" s="7"/>
      <c r="D1181" s="18"/>
      <c r="E1181" s="19"/>
      <c r="F1181" s="20"/>
      <c r="G1181" s="21"/>
      <c r="H1181" s="21"/>
      <c r="I1181" s="21"/>
      <c r="J1181" s="21"/>
      <c r="K1181" s="19"/>
      <c r="L1181" s="19"/>
      <c r="M1181" s="13"/>
      <c r="N1181" s="14"/>
      <c r="O1181" s="14"/>
      <c r="P1181" s="4"/>
    </row>
    <row r="1182" spans="2:16">
      <c r="B1182" s="7"/>
      <c r="C1182" s="7"/>
      <c r="D1182" s="18"/>
      <c r="E1182" s="19"/>
      <c r="F1182" s="20"/>
      <c r="G1182" s="21"/>
      <c r="H1182" s="21"/>
      <c r="I1182" s="21"/>
      <c r="J1182" s="21"/>
      <c r="K1182" s="19"/>
      <c r="L1182" s="19"/>
      <c r="M1182" s="13"/>
      <c r="N1182" s="14"/>
      <c r="O1182" s="14"/>
      <c r="P1182" s="4"/>
    </row>
    <row r="1183" spans="2:16">
      <c r="B1183" s="7"/>
      <c r="C1183" s="7"/>
      <c r="D1183" s="18"/>
      <c r="E1183" s="19"/>
      <c r="F1183" s="20"/>
      <c r="G1183" s="21"/>
      <c r="H1183" s="21"/>
      <c r="I1183" s="21"/>
      <c r="J1183" s="21"/>
      <c r="K1183" s="19"/>
      <c r="L1183" s="19"/>
      <c r="M1183" s="13"/>
      <c r="N1183" s="14"/>
      <c r="O1183" s="14"/>
      <c r="P1183" s="4"/>
    </row>
    <row r="1184" spans="2:16">
      <c r="B1184" s="7"/>
      <c r="C1184" s="7"/>
      <c r="D1184" s="18"/>
      <c r="E1184" s="19"/>
      <c r="F1184" s="20"/>
      <c r="G1184" s="21"/>
      <c r="H1184" s="21"/>
      <c r="I1184" s="21"/>
      <c r="J1184" s="21"/>
      <c r="K1184" s="19"/>
      <c r="L1184" s="19"/>
      <c r="M1184" s="13"/>
      <c r="N1184" s="14"/>
      <c r="O1184" s="14"/>
      <c r="P1184" s="4"/>
    </row>
    <row r="1185" spans="2:16">
      <c r="B1185" s="7"/>
      <c r="C1185" s="7"/>
      <c r="D1185" s="18"/>
      <c r="E1185" s="19"/>
      <c r="F1185" s="20"/>
      <c r="G1185" s="21"/>
      <c r="H1185" s="21"/>
      <c r="I1185" s="21"/>
      <c r="J1185" s="21"/>
      <c r="K1185" s="19"/>
      <c r="L1185" s="19"/>
      <c r="M1185" s="13"/>
      <c r="N1185" s="14"/>
      <c r="O1185" s="14"/>
      <c r="P1185" s="4"/>
    </row>
    <row r="1186" spans="2:16">
      <c r="B1186" s="7"/>
      <c r="C1186" s="7"/>
      <c r="D1186" s="18"/>
      <c r="E1186" s="19"/>
      <c r="F1186" s="20"/>
      <c r="G1186" s="21"/>
      <c r="H1186" s="21"/>
      <c r="I1186" s="21"/>
      <c r="J1186" s="21"/>
      <c r="K1186" s="19"/>
      <c r="L1186" s="19"/>
      <c r="M1186" s="13"/>
      <c r="N1186" s="14"/>
      <c r="O1186" s="14"/>
      <c r="P1186" s="4"/>
    </row>
    <row r="1187" spans="2:16">
      <c r="B1187" s="7"/>
      <c r="C1187" s="7"/>
      <c r="D1187" s="18"/>
      <c r="E1187" s="19"/>
      <c r="F1187" s="20"/>
      <c r="G1187" s="21"/>
      <c r="H1187" s="21"/>
      <c r="I1187" s="21"/>
      <c r="J1187" s="21"/>
      <c r="K1187" s="19"/>
      <c r="L1187" s="19"/>
      <c r="M1187" s="13"/>
      <c r="N1187" s="14"/>
      <c r="O1187" s="14"/>
      <c r="P1187" s="4"/>
    </row>
    <row r="1188" spans="2:16">
      <c r="B1188" s="7"/>
      <c r="C1188" s="7"/>
      <c r="D1188" s="18"/>
      <c r="E1188" s="19"/>
      <c r="F1188" s="20"/>
      <c r="G1188" s="21"/>
      <c r="H1188" s="21"/>
      <c r="I1188" s="21"/>
      <c r="J1188" s="21"/>
      <c r="K1188" s="19"/>
      <c r="L1188" s="19"/>
      <c r="M1188" s="13"/>
      <c r="N1188" s="14"/>
      <c r="O1188" s="14"/>
      <c r="P1188" s="4"/>
    </row>
    <row r="1189" spans="2:16">
      <c r="B1189" s="7"/>
      <c r="C1189" s="7"/>
      <c r="D1189" s="18"/>
      <c r="E1189" s="19"/>
      <c r="F1189" s="20"/>
      <c r="G1189" s="21"/>
      <c r="H1189" s="21"/>
      <c r="I1189" s="21"/>
      <c r="J1189" s="21"/>
      <c r="K1189" s="19"/>
      <c r="L1189" s="19"/>
      <c r="M1189" s="13"/>
      <c r="N1189" s="14"/>
      <c r="O1189" s="14"/>
      <c r="P1189" s="4"/>
    </row>
    <row r="1190" spans="2:16">
      <c r="B1190" s="7"/>
      <c r="C1190" s="7"/>
      <c r="D1190" s="18"/>
      <c r="E1190" s="19"/>
      <c r="F1190" s="20"/>
      <c r="G1190" s="21"/>
      <c r="H1190" s="21"/>
      <c r="I1190" s="21"/>
      <c r="J1190" s="21"/>
      <c r="K1190" s="19"/>
      <c r="L1190" s="19"/>
      <c r="M1190" s="13"/>
      <c r="N1190" s="14"/>
      <c r="O1190" s="14"/>
      <c r="P1190" s="4"/>
    </row>
    <row r="1191" spans="2:16">
      <c r="B1191" s="7"/>
      <c r="C1191" s="7"/>
      <c r="D1191" s="18"/>
      <c r="E1191" s="19"/>
      <c r="F1191" s="20"/>
      <c r="G1191" s="21"/>
      <c r="H1191" s="21"/>
      <c r="I1191" s="21"/>
      <c r="J1191" s="21"/>
      <c r="K1191" s="19"/>
      <c r="L1191" s="19"/>
      <c r="M1191" s="13"/>
      <c r="N1191" s="14"/>
      <c r="O1191" s="14"/>
      <c r="P1191" s="4"/>
    </row>
    <row r="1192" spans="2:16">
      <c r="B1192" s="7"/>
      <c r="C1192" s="7"/>
      <c r="D1192" s="18"/>
      <c r="E1192" s="19"/>
      <c r="F1192" s="20"/>
      <c r="G1192" s="21"/>
      <c r="H1192" s="21"/>
      <c r="I1192" s="21"/>
      <c r="J1192" s="21"/>
      <c r="K1192" s="19"/>
      <c r="L1192" s="19"/>
      <c r="M1192" s="13"/>
      <c r="N1192" s="14"/>
      <c r="O1192" s="14"/>
      <c r="P1192" s="4"/>
    </row>
    <row r="1193" spans="2:16">
      <c r="B1193" s="7"/>
      <c r="C1193" s="7"/>
      <c r="D1193" s="18"/>
      <c r="E1193" s="19"/>
      <c r="F1193" s="20"/>
      <c r="G1193" s="21"/>
      <c r="H1193" s="21"/>
      <c r="I1193" s="21"/>
      <c r="J1193" s="21"/>
      <c r="K1193" s="19"/>
      <c r="L1193" s="19"/>
      <c r="M1193" s="13"/>
      <c r="N1193" s="14"/>
      <c r="O1193" s="14"/>
      <c r="P1193" s="4"/>
    </row>
    <row r="1194" spans="2:16">
      <c r="B1194" s="7"/>
      <c r="C1194" s="7"/>
      <c r="D1194" s="18"/>
      <c r="E1194" s="19"/>
      <c r="F1194" s="20"/>
      <c r="G1194" s="21"/>
      <c r="H1194" s="21"/>
      <c r="I1194" s="21"/>
      <c r="J1194" s="21"/>
      <c r="K1194" s="19"/>
      <c r="L1194" s="19"/>
      <c r="M1194" s="13"/>
      <c r="N1194" s="14"/>
      <c r="O1194" s="14"/>
      <c r="P1194" s="4"/>
    </row>
    <row r="1195" spans="2:16">
      <c r="B1195" s="7"/>
      <c r="C1195" s="7"/>
      <c r="D1195" s="18"/>
      <c r="E1195" s="19"/>
      <c r="F1195" s="20"/>
      <c r="G1195" s="21"/>
      <c r="H1195" s="21"/>
      <c r="I1195" s="21"/>
      <c r="J1195" s="21"/>
      <c r="K1195" s="19"/>
      <c r="L1195" s="19"/>
      <c r="M1195" s="13"/>
      <c r="N1195" s="14"/>
      <c r="O1195" s="14"/>
      <c r="P1195" s="4"/>
    </row>
    <row r="1196" spans="2:16">
      <c r="B1196" s="7"/>
      <c r="C1196" s="7"/>
      <c r="D1196" s="18"/>
      <c r="E1196" s="19"/>
      <c r="F1196" s="20"/>
      <c r="G1196" s="21"/>
      <c r="H1196" s="21"/>
      <c r="I1196" s="21"/>
      <c r="J1196" s="21"/>
      <c r="K1196" s="19"/>
      <c r="L1196" s="19"/>
      <c r="M1196" s="13"/>
      <c r="N1196" s="14"/>
      <c r="O1196" s="14"/>
      <c r="P1196" s="4"/>
    </row>
    <row r="1197" spans="2:16">
      <c r="B1197" s="7"/>
      <c r="C1197" s="7"/>
      <c r="D1197" s="18"/>
      <c r="E1197" s="19"/>
      <c r="F1197" s="20"/>
      <c r="G1197" s="21"/>
      <c r="H1197" s="21"/>
      <c r="I1197" s="21"/>
      <c r="J1197" s="21"/>
      <c r="K1197" s="19"/>
      <c r="L1197" s="19"/>
      <c r="M1197" s="13"/>
      <c r="N1197" s="14"/>
      <c r="O1197" s="14"/>
      <c r="P1197" s="4"/>
    </row>
    <row r="1198" spans="2:16">
      <c r="B1198" s="7"/>
      <c r="C1198" s="7"/>
      <c r="D1198" s="18"/>
      <c r="E1198" s="19"/>
      <c r="F1198" s="20"/>
      <c r="G1198" s="21"/>
      <c r="H1198" s="21"/>
      <c r="I1198" s="21"/>
      <c r="J1198" s="21"/>
      <c r="K1198" s="19"/>
      <c r="L1198" s="19"/>
      <c r="M1198" s="13"/>
      <c r="N1198" s="14"/>
      <c r="O1198" s="14"/>
      <c r="P1198" s="4"/>
    </row>
    <row r="1199" spans="2:16">
      <c r="B1199" s="7"/>
      <c r="C1199" s="7"/>
      <c r="D1199" s="18"/>
      <c r="E1199" s="19"/>
      <c r="F1199" s="20"/>
      <c r="G1199" s="21"/>
      <c r="H1199" s="21"/>
      <c r="I1199" s="21"/>
      <c r="J1199" s="21"/>
      <c r="K1199" s="19"/>
      <c r="L1199" s="19"/>
      <c r="M1199" s="13"/>
      <c r="N1199" s="14"/>
      <c r="O1199" s="14"/>
      <c r="P1199" s="4"/>
    </row>
    <row r="1200" spans="2:16">
      <c r="B1200" s="7"/>
      <c r="C1200" s="7"/>
      <c r="D1200" s="18"/>
      <c r="E1200" s="19"/>
      <c r="F1200" s="20"/>
      <c r="G1200" s="21"/>
      <c r="H1200" s="21"/>
      <c r="I1200" s="21"/>
      <c r="J1200" s="21"/>
      <c r="K1200" s="19"/>
      <c r="L1200" s="19"/>
      <c r="M1200" s="13"/>
      <c r="N1200" s="14"/>
      <c r="O1200" s="14"/>
      <c r="P1200" s="4"/>
    </row>
    <row r="1201" spans="2:16">
      <c r="B1201" s="7"/>
      <c r="C1201" s="7"/>
      <c r="D1201" s="18"/>
      <c r="E1201" s="19"/>
      <c r="F1201" s="20"/>
      <c r="G1201" s="21"/>
      <c r="H1201" s="21"/>
      <c r="I1201" s="21"/>
      <c r="J1201" s="21"/>
      <c r="K1201" s="19"/>
      <c r="L1201" s="19"/>
      <c r="M1201" s="13"/>
      <c r="N1201" s="14"/>
      <c r="O1201" s="14"/>
      <c r="P1201" s="4"/>
    </row>
    <row r="1202" spans="2:16">
      <c r="B1202" s="7"/>
      <c r="C1202" s="7"/>
      <c r="D1202" s="18"/>
      <c r="E1202" s="19"/>
      <c r="F1202" s="20"/>
      <c r="G1202" s="21"/>
      <c r="H1202" s="21"/>
      <c r="I1202" s="21"/>
      <c r="J1202" s="21"/>
      <c r="K1202" s="19"/>
      <c r="L1202" s="19"/>
      <c r="M1202" s="13"/>
      <c r="N1202" s="14"/>
      <c r="O1202" s="14"/>
      <c r="P1202" s="4"/>
    </row>
    <row r="1203" spans="2:16">
      <c r="B1203" s="7"/>
      <c r="C1203" s="7"/>
      <c r="D1203" s="18"/>
      <c r="E1203" s="19"/>
      <c r="F1203" s="20"/>
      <c r="G1203" s="21"/>
      <c r="H1203" s="21"/>
      <c r="I1203" s="21"/>
      <c r="J1203" s="21"/>
      <c r="K1203" s="19"/>
      <c r="L1203" s="19"/>
      <c r="M1203" s="13"/>
      <c r="N1203" s="14"/>
      <c r="O1203" s="14"/>
      <c r="P1203" s="4"/>
    </row>
    <row r="1204" spans="2:16">
      <c r="B1204" s="7"/>
      <c r="C1204" s="7"/>
      <c r="D1204" s="18"/>
      <c r="E1204" s="19"/>
      <c r="F1204" s="20"/>
      <c r="G1204" s="21"/>
      <c r="H1204" s="21"/>
      <c r="I1204" s="21"/>
      <c r="J1204" s="21"/>
      <c r="K1204" s="19"/>
      <c r="L1204" s="19"/>
      <c r="M1204" s="13"/>
      <c r="N1204" s="14"/>
      <c r="O1204" s="14"/>
      <c r="P1204" s="4"/>
    </row>
    <row r="1205" spans="2:16">
      <c r="B1205" s="7"/>
      <c r="C1205" s="7"/>
      <c r="D1205" s="18"/>
      <c r="E1205" s="19"/>
      <c r="F1205" s="20"/>
      <c r="G1205" s="21"/>
      <c r="H1205" s="21"/>
      <c r="I1205" s="21"/>
      <c r="J1205" s="21"/>
      <c r="K1205" s="19"/>
      <c r="L1205" s="19"/>
      <c r="M1205" s="13"/>
      <c r="N1205" s="14"/>
      <c r="O1205" s="14"/>
      <c r="P1205" s="4"/>
    </row>
    <row r="1206" spans="2:16">
      <c r="B1206" s="7"/>
      <c r="C1206" s="7"/>
      <c r="D1206" s="18"/>
      <c r="E1206" s="19"/>
      <c r="F1206" s="20"/>
      <c r="G1206" s="21"/>
      <c r="H1206" s="21"/>
      <c r="I1206" s="21"/>
      <c r="J1206" s="21"/>
      <c r="K1206" s="19"/>
      <c r="L1206" s="19"/>
      <c r="M1206" s="13"/>
      <c r="N1206" s="14"/>
      <c r="O1206" s="14"/>
      <c r="P1206" s="4"/>
    </row>
    <row r="1207" spans="2:16">
      <c r="B1207" s="7"/>
      <c r="C1207" s="7"/>
      <c r="D1207" s="18"/>
      <c r="E1207" s="19"/>
      <c r="F1207" s="20"/>
      <c r="G1207" s="21"/>
      <c r="H1207" s="21"/>
      <c r="I1207" s="21"/>
      <c r="J1207" s="21"/>
      <c r="K1207" s="19"/>
      <c r="L1207" s="19"/>
      <c r="M1207" s="13"/>
      <c r="N1207" s="14"/>
      <c r="O1207" s="14"/>
      <c r="P1207" s="4"/>
    </row>
    <row r="1208" spans="2:16">
      <c r="B1208" s="7"/>
      <c r="C1208" s="7"/>
      <c r="D1208" s="18"/>
      <c r="E1208" s="19"/>
      <c r="F1208" s="20"/>
      <c r="G1208" s="21"/>
      <c r="H1208" s="21"/>
      <c r="I1208" s="21"/>
      <c r="J1208" s="21"/>
      <c r="K1208" s="19"/>
      <c r="L1208" s="19"/>
      <c r="M1208" s="13"/>
      <c r="N1208" s="14"/>
      <c r="O1208" s="14"/>
      <c r="P1208" s="4"/>
    </row>
    <row r="1209" spans="2:16">
      <c r="B1209" s="7"/>
      <c r="C1209" s="7"/>
      <c r="D1209" s="18"/>
      <c r="E1209" s="19"/>
      <c r="F1209" s="20"/>
      <c r="G1209" s="21"/>
      <c r="H1209" s="21"/>
      <c r="I1209" s="21"/>
      <c r="J1209" s="21"/>
      <c r="K1209" s="19"/>
      <c r="L1209" s="19"/>
      <c r="M1209" s="13"/>
      <c r="N1209" s="14"/>
      <c r="O1209" s="14"/>
      <c r="P1209" s="4"/>
    </row>
    <row r="1210" spans="2:16">
      <c r="B1210" s="7"/>
      <c r="C1210" s="7"/>
      <c r="D1210" s="18"/>
      <c r="E1210" s="19"/>
      <c r="F1210" s="20"/>
      <c r="G1210" s="21"/>
      <c r="H1210" s="21"/>
      <c r="I1210" s="21"/>
      <c r="J1210" s="21"/>
      <c r="K1210" s="19"/>
      <c r="L1210" s="19"/>
      <c r="M1210" s="13"/>
      <c r="N1210" s="14"/>
      <c r="O1210" s="14"/>
      <c r="P1210" s="4"/>
    </row>
    <row r="1211" spans="2:16">
      <c r="B1211" s="7"/>
      <c r="C1211" s="7"/>
      <c r="D1211" s="18"/>
      <c r="E1211" s="19"/>
      <c r="F1211" s="20"/>
      <c r="G1211" s="21"/>
      <c r="H1211" s="21"/>
      <c r="I1211" s="21"/>
      <c r="J1211" s="21"/>
      <c r="K1211" s="19"/>
      <c r="L1211" s="19"/>
      <c r="M1211" s="13"/>
      <c r="N1211" s="14"/>
      <c r="O1211" s="14"/>
      <c r="P1211" s="4"/>
    </row>
    <row r="1212" spans="2:16">
      <c r="B1212" s="7"/>
      <c r="C1212" s="7"/>
      <c r="D1212" s="18"/>
      <c r="E1212" s="19"/>
      <c r="F1212" s="20"/>
      <c r="G1212" s="21"/>
      <c r="H1212" s="21"/>
      <c r="I1212" s="21"/>
      <c r="J1212" s="21"/>
      <c r="K1212" s="19"/>
      <c r="L1212" s="19"/>
      <c r="M1212" s="13"/>
      <c r="N1212" s="14"/>
      <c r="O1212" s="14"/>
      <c r="P1212" s="4"/>
    </row>
    <row r="1213" spans="2:16">
      <c r="B1213" s="7"/>
      <c r="C1213" s="7"/>
      <c r="D1213" s="18"/>
      <c r="E1213" s="19"/>
      <c r="F1213" s="20"/>
      <c r="G1213" s="21"/>
      <c r="H1213" s="21"/>
      <c r="I1213" s="21"/>
      <c r="J1213" s="21"/>
      <c r="K1213" s="19"/>
      <c r="L1213" s="19"/>
      <c r="M1213" s="13"/>
      <c r="N1213" s="14"/>
      <c r="O1213" s="14"/>
      <c r="P1213" s="4"/>
    </row>
    <row r="1214" spans="2:16">
      <c r="B1214" s="7"/>
      <c r="C1214" s="7"/>
      <c r="D1214" s="18"/>
      <c r="E1214" s="19"/>
      <c r="F1214" s="20"/>
      <c r="G1214" s="21"/>
      <c r="H1214" s="21"/>
      <c r="I1214" s="21"/>
      <c r="J1214" s="21"/>
      <c r="K1214" s="19"/>
      <c r="L1214" s="19"/>
      <c r="M1214" s="13"/>
      <c r="N1214" s="14"/>
      <c r="O1214" s="14"/>
      <c r="P1214" s="4"/>
    </row>
    <row r="1215" spans="2:16">
      <c r="B1215" s="7"/>
      <c r="C1215" s="7"/>
      <c r="D1215" s="18"/>
      <c r="E1215" s="19"/>
      <c r="F1215" s="20"/>
      <c r="G1215" s="21"/>
      <c r="H1215" s="21"/>
      <c r="I1215" s="21"/>
      <c r="J1215" s="21"/>
      <c r="K1215" s="19"/>
      <c r="L1215" s="19"/>
      <c r="M1215" s="13"/>
      <c r="N1215" s="14"/>
      <c r="O1215" s="14"/>
      <c r="P1215" s="4"/>
    </row>
    <row r="1216" spans="2:16">
      <c r="B1216" s="7"/>
      <c r="C1216" s="7"/>
      <c r="D1216" s="18"/>
      <c r="E1216" s="19"/>
      <c r="F1216" s="20"/>
      <c r="G1216" s="21"/>
      <c r="H1216" s="21"/>
      <c r="I1216" s="21"/>
      <c r="J1216" s="21"/>
      <c r="K1216" s="19"/>
      <c r="L1216" s="19"/>
      <c r="M1216" s="13"/>
      <c r="N1216" s="14"/>
      <c r="O1216" s="14"/>
      <c r="P1216" s="4"/>
    </row>
    <row r="1217" spans="2:16">
      <c r="B1217" s="7"/>
      <c r="C1217" s="7"/>
      <c r="D1217" s="18"/>
      <c r="E1217" s="19"/>
      <c r="F1217" s="20"/>
      <c r="G1217" s="21"/>
      <c r="H1217" s="21"/>
      <c r="I1217" s="21"/>
      <c r="J1217" s="21"/>
      <c r="K1217" s="19"/>
      <c r="L1217" s="19"/>
      <c r="M1217" s="13"/>
      <c r="N1217" s="14"/>
      <c r="O1217" s="14"/>
      <c r="P1217" s="4"/>
    </row>
    <row r="1218" spans="2:16">
      <c r="B1218" s="7"/>
      <c r="C1218" s="7"/>
      <c r="D1218" s="18"/>
      <c r="E1218" s="19"/>
      <c r="F1218" s="20"/>
      <c r="G1218" s="21"/>
      <c r="H1218" s="21"/>
      <c r="I1218" s="21"/>
      <c r="J1218" s="21"/>
      <c r="K1218" s="19"/>
      <c r="L1218" s="19"/>
      <c r="M1218" s="13"/>
      <c r="N1218" s="14"/>
      <c r="O1218" s="14"/>
      <c r="P1218" s="4"/>
    </row>
    <row r="1219" spans="2:16">
      <c r="B1219" s="7"/>
      <c r="C1219" s="7"/>
      <c r="D1219" s="18"/>
      <c r="E1219" s="19"/>
      <c r="F1219" s="20"/>
      <c r="G1219" s="21"/>
      <c r="H1219" s="21"/>
      <c r="I1219" s="21"/>
      <c r="J1219" s="21"/>
      <c r="K1219" s="19"/>
      <c r="L1219" s="19"/>
      <c r="M1219" s="13"/>
      <c r="N1219" s="14"/>
      <c r="O1219" s="14"/>
      <c r="P1219" s="4"/>
    </row>
    <row r="1220" spans="2:16">
      <c r="B1220" s="7"/>
      <c r="C1220" s="7"/>
      <c r="D1220" s="18"/>
      <c r="E1220" s="19"/>
      <c r="F1220" s="20"/>
      <c r="G1220" s="21"/>
      <c r="H1220" s="21"/>
      <c r="I1220" s="21"/>
      <c r="J1220" s="21"/>
      <c r="K1220" s="19"/>
      <c r="L1220" s="19"/>
      <c r="M1220" s="13"/>
      <c r="N1220" s="14"/>
      <c r="O1220" s="14"/>
      <c r="P1220" s="4"/>
    </row>
    <row r="1221" spans="2:16">
      <c r="B1221" s="7"/>
      <c r="C1221" s="7"/>
      <c r="D1221" s="18"/>
      <c r="E1221" s="19"/>
      <c r="F1221" s="20"/>
      <c r="G1221" s="21"/>
      <c r="H1221" s="21"/>
      <c r="I1221" s="21"/>
      <c r="J1221" s="21"/>
      <c r="K1221" s="19"/>
      <c r="L1221" s="19"/>
      <c r="M1221" s="13"/>
      <c r="N1221" s="14"/>
      <c r="O1221" s="14"/>
      <c r="P1221" s="4"/>
    </row>
    <row r="1222" spans="2:16">
      <c r="B1222" s="7"/>
      <c r="C1222" s="7"/>
      <c r="D1222" s="18"/>
      <c r="E1222" s="19"/>
      <c r="F1222" s="20"/>
      <c r="G1222" s="21"/>
      <c r="H1222" s="21"/>
      <c r="I1222" s="21"/>
      <c r="J1222" s="21"/>
      <c r="K1222" s="19"/>
      <c r="L1222" s="19"/>
      <c r="M1222" s="13"/>
      <c r="N1222" s="14"/>
      <c r="O1222" s="14"/>
      <c r="P1222" s="4"/>
    </row>
    <row r="1223" spans="2:16">
      <c r="B1223" s="7"/>
      <c r="C1223" s="7"/>
      <c r="D1223" s="18"/>
      <c r="E1223" s="19"/>
      <c r="F1223" s="20"/>
      <c r="G1223" s="21"/>
      <c r="H1223" s="21"/>
      <c r="I1223" s="21"/>
      <c r="J1223" s="21"/>
      <c r="K1223" s="19"/>
      <c r="L1223" s="19"/>
      <c r="M1223" s="13"/>
      <c r="N1223" s="14"/>
      <c r="O1223" s="14"/>
      <c r="P1223" s="4"/>
    </row>
    <row r="1224" spans="2:16">
      <c r="B1224" s="7"/>
      <c r="C1224" s="7"/>
      <c r="D1224" s="18"/>
      <c r="E1224" s="19"/>
      <c r="F1224" s="20"/>
      <c r="G1224" s="21"/>
      <c r="H1224" s="21"/>
      <c r="I1224" s="21"/>
      <c r="J1224" s="21"/>
      <c r="K1224" s="19"/>
      <c r="L1224" s="19"/>
      <c r="M1224" s="13"/>
      <c r="N1224" s="14"/>
      <c r="O1224" s="14"/>
      <c r="P1224" s="4"/>
    </row>
    <row r="1225" spans="2:16">
      <c r="B1225" s="7"/>
      <c r="C1225" s="7"/>
      <c r="D1225" s="18"/>
      <c r="E1225" s="19"/>
      <c r="F1225" s="20"/>
      <c r="G1225" s="21"/>
      <c r="H1225" s="21"/>
      <c r="I1225" s="21"/>
      <c r="J1225" s="21"/>
      <c r="K1225" s="19"/>
      <c r="L1225" s="19"/>
      <c r="M1225" s="13"/>
      <c r="N1225" s="14"/>
      <c r="O1225" s="14"/>
      <c r="P1225" s="4"/>
    </row>
    <row r="1226" spans="2:16">
      <c r="B1226" s="7"/>
      <c r="C1226" s="7"/>
      <c r="D1226" s="18"/>
      <c r="E1226" s="19"/>
      <c r="F1226" s="20"/>
      <c r="G1226" s="21"/>
      <c r="H1226" s="21"/>
      <c r="I1226" s="21"/>
      <c r="J1226" s="21"/>
      <c r="K1226" s="19"/>
      <c r="L1226" s="19"/>
      <c r="M1226" s="13"/>
      <c r="N1226" s="14"/>
      <c r="O1226" s="14"/>
      <c r="P1226" s="4"/>
    </row>
    <row r="1227" spans="2:16">
      <c r="B1227" s="7"/>
      <c r="C1227" s="7"/>
      <c r="D1227" s="18"/>
      <c r="E1227" s="19"/>
      <c r="F1227" s="20"/>
      <c r="G1227" s="21"/>
      <c r="H1227" s="21"/>
      <c r="I1227" s="21"/>
      <c r="J1227" s="21"/>
      <c r="K1227" s="19"/>
      <c r="L1227" s="19"/>
      <c r="M1227" s="13"/>
      <c r="N1227" s="14"/>
      <c r="O1227" s="14"/>
      <c r="P1227" s="4"/>
    </row>
    <row r="1228" spans="2:16">
      <c r="B1228" s="7"/>
      <c r="C1228" s="7"/>
      <c r="D1228" s="18"/>
      <c r="E1228" s="19"/>
      <c r="F1228" s="20"/>
      <c r="G1228" s="21"/>
      <c r="H1228" s="21"/>
      <c r="I1228" s="21"/>
      <c r="J1228" s="21"/>
      <c r="K1228" s="19"/>
      <c r="L1228" s="19"/>
      <c r="M1228" s="13"/>
      <c r="N1228" s="14"/>
      <c r="O1228" s="14"/>
      <c r="P1228" s="4"/>
    </row>
    <row r="1229" spans="2:16">
      <c r="B1229" s="7"/>
      <c r="C1229" s="7"/>
      <c r="D1229" s="18"/>
      <c r="E1229" s="19"/>
      <c r="F1229" s="20"/>
      <c r="G1229" s="21"/>
      <c r="H1229" s="21"/>
      <c r="I1229" s="21"/>
      <c r="J1229" s="21"/>
      <c r="K1229" s="19"/>
      <c r="L1229" s="19"/>
      <c r="M1229" s="13"/>
      <c r="N1229" s="14"/>
      <c r="O1229" s="14"/>
      <c r="P1229" s="4"/>
    </row>
    <row r="1230" spans="2:16">
      <c r="B1230" s="7"/>
      <c r="C1230" s="7"/>
      <c r="D1230" s="18"/>
      <c r="E1230" s="19"/>
      <c r="F1230" s="20"/>
      <c r="G1230" s="21"/>
      <c r="H1230" s="21"/>
      <c r="I1230" s="21"/>
      <c r="J1230" s="21"/>
      <c r="K1230" s="19"/>
      <c r="L1230" s="19"/>
      <c r="M1230" s="13"/>
      <c r="N1230" s="14"/>
      <c r="O1230" s="14"/>
      <c r="P1230" s="4"/>
    </row>
    <row r="1231" spans="2:16">
      <c r="B1231" s="7"/>
      <c r="C1231" s="7"/>
      <c r="D1231" s="18"/>
      <c r="E1231" s="19"/>
      <c r="F1231" s="20"/>
      <c r="G1231" s="21"/>
      <c r="H1231" s="21"/>
      <c r="I1231" s="21"/>
      <c r="J1231" s="21"/>
      <c r="K1231" s="19"/>
      <c r="L1231" s="19"/>
      <c r="M1231" s="13"/>
      <c r="N1231" s="14"/>
      <c r="O1231" s="14"/>
      <c r="P1231" s="4"/>
    </row>
    <row r="1232" spans="2:16">
      <c r="B1232" s="7"/>
      <c r="C1232" s="7"/>
      <c r="D1232" s="18"/>
      <c r="E1232" s="19"/>
      <c r="F1232" s="20"/>
      <c r="G1232" s="21"/>
      <c r="H1232" s="21"/>
      <c r="I1232" s="21"/>
      <c r="J1232" s="21"/>
      <c r="K1232" s="19"/>
      <c r="L1232" s="19"/>
      <c r="M1232" s="13"/>
      <c r="N1232" s="14"/>
      <c r="O1232" s="14"/>
      <c r="P1232" s="4"/>
    </row>
    <row r="1233" spans="2:16">
      <c r="B1233" s="7"/>
      <c r="C1233" s="7"/>
      <c r="D1233" s="18"/>
      <c r="E1233" s="19"/>
      <c r="F1233" s="20"/>
      <c r="G1233" s="21"/>
      <c r="H1233" s="21"/>
      <c r="I1233" s="21"/>
      <c r="J1233" s="21"/>
      <c r="K1233" s="19"/>
      <c r="L1233" s="19"/>
      <c r="M1233" s="13"/>
      <c r="N1233" s="14"/>
      <c r="O1233" s="14"/>
      <c r="P1233" s="4"/>
    </row>
    <row r="1234" spans="2:16">
      <c r="B1234" s="7"/>
      <c r="C1234" s="7"/>
      <c r="D1234" s="18"/>
      <c r="E1234" s="19"/>
      <c r="F1234" s="20"/>
      <c r="G1234" s="21"/>
      <c r="H1234" s="21"/>
      <c r="I1234" s="21"/>
      <c r="J1234" s="21"/>
      <c r="K1234" s="19"/>
      <c r="L1234" s="19"/>
      <c r="M1234" s="13"/>
      <c r="N1234" s="14"/>
      <c r="O1234" s="14"/>
      <c r="P1234" s="4"/>
    </row>
    <row r="1235" spans="2:16">
      <c r="B1235" s="7"/>
      <c r="C1235" s="7"/>
      <c r="D1235" s="18"/>
      <c r="E1235" s="19"/>
      <c r="F1235" s="20"/>
      <c r="G1235" s="21"/>
      <c r="H1235" s="21"/>
      <c r="I1235" s="21"/>
      <c r="J1235" s="21"/>
      <c r="K1235" s="19"/>
      <c r="L1235" s="19"/>
      <c r="M1235" s="13"/>
      <c r="N1235" s="14"/>
      <c r="O1235" s="14"/>
      <c r="P1235" s="4"/>
    </row>
    <row r="1236" spans="2:16">
      <c r="B1236" s="7"/>
      <c r="C1236" s="7"/>
      <c r="D1236" s="18"/>
      <c r="E1236" s="19"/>
      <c r="F1236" s="20"/>
      <c r="G1236" s="21"/>
      <c r="H1236" s="21"/>
      <c r="I1236" s="21"/>
      <c r="J1236" s="21"/>
      <c r="K1236" s="19"/>
      <c r="L1236" s="19"/>
      <c r="M1236" s="13"/>
      <c r="N1236" s="14"/>
      <c r="O1236" s="14"/>
      <c r="P1236" s="4"/>
    </row>
    <row r="1237" spans="2:16">
      <c r="B1237" s="7"/>
      <c r="C1237" s="7"/>
      <c r="D1237" s="18"/>
      <c r="E1237" s="19"/>
      <c r="F1237" s="20"/>
      <c r="G1237" s="21"/>
      <c r="H1237" s="21"/>
      <c r="I1237" s="21"/>
      <c r="J1237" s="21"/>
      <c r="K1237" s="19"/>
      <c r="L1237" s="19"/>
      <c r="M1237" s="13"/>
      <c r="N1237" s="14"/>
      <c r="O1237" s="14"/>
      <c r="P1237" s="4"/>
    </row>
    <row r="1238" spans="2:16">
      <c r="B1238" s="7"/>
      <c r="C1238" s="7"/>
      <c r="D1238" s="18"/>
      <c r="E1238" s="19"/>
      <c r="F1238" s="20"/>
      <c r="G1238" s="21"/>
      <c r="H1238" s="21"/>
      <c r="I1238" s="21"/>
      <c r="J1238" s="21"/>
      <c r="K1238" s="19"/>
      <c r="L1238" s="19"/>
      <c r="M1238" s="13"/>
      <c r="N1238" s="14"/>
      <c r="O1238" s="14"/>
      <c r="P1238" s="4"/>
    </row>
    <row r="1239" spans="2:16">
      <c r="B1239" s="7"/>
      <c r="C1239" s="7"/>
      <c r="D1239" s="18"/>
      <c r="E1239" s="19"/>
      <c r="F1239" s="20"/>
      <c r="G1239" s="21"/>
      <c r="H1239" s="21"/>
      <c r="I1239" s="21"/>
      <c r="J1239" s="21"/>
      <c r="K1239" s="19"/>
      <c r="L1239" s="19"/>
      <c r="M1239" s="13"/>
      <c r="N1239" s="14"/>
      <c r="O1239" s="14"/>
      <c r="P1239" s="4"/>
    </row>
    <row r="1240" spans="2:16">
      <c r="B1240" s="7"/>
      <c r="C1240" s="7"/>
      <c r="D1240" s="18"/>
      <c r="E1240" s="19"/>
      <c r="F1240" s="20"/>
      <c r="G1240" s="21"/>
      <c r="H1240" s="21"/>
      <c r="I1240" s="21"/>
      <c r="J1240" s="21"/>
      <c r="K1240" s="19"/>
      <c r="L1240" s="19"/>
      <c r="M1240" s="13"/>
      <c r="N1240" s="14"/>
      <c r="O1240" s="14"/>
      <c r="P1240" s="4"/>
    </row>
    <row r="1241" spans="2:16">
      <c r="B1241" s="7"/>
      <c r="C1241" s="7"/>
      <c r="D1241" s="18"/>
      <c r="E1241" s="19"/>
      <c r="F1241" s="20"/>
      <c r="G1241" s="21"/>
      <c r="H1241" s="21"/>
      <c r="I1241" s="21"/>
      <c r="J1241" s="21"/>
      <c r="K1241" s="19"/>
      <c r="L1241" s="19"/>
      <c r="M1241" s="13"/>
      <c r="N1241" s="14"/>
      <c r="O1241" s="14"/>
      <c r="P1241" s="4"/>
    </row>
    <row r="1242" spans="2:16">
      <c r="B1242" s="7"/>
      <c r="C1242" s="7"/>
      <c r="D1242" s="18"/>
      <c r="E1242" s="19"/>
      <c r="F1242" s="20"/>
      <c r="G1242" s="21"/>
      <c r="H1242" s="21"/>
      <c r="I1242" s="21"/>
      <c r="J1242" s="21"/>
      <c r="K1242" s="19"/>
      <c r="L1242" s="19"/>
      <c r="M1242" s="13"/>
      <c r="N1242" s="14"/>
      <c r="O1242" s="14"/>
      <c r="P1242" s="4"/>
    </row>
    <row r="1243" spans="2:16">
      <c r="B1243" s="7"/>
      <c r="C1243" s="7"/>
      <c r="D1243" s="18"/>
      <c r="E1243" s="19"/>
      <c r="F1243" s="20"/>
      <c r="G1243" s="21"/>
      <c r="H1243" s="21"/>
      <c r="I1243" s="21"/>
      <c r="J1243" s="21"/>
      <c r="K1243" s="19"/>
      <c r="L1243" s="19"/>
      <c r="M1243" s="13"/>
      <c r="N1243" s="14"/>
      <c r="O1243" s="14"/>
      <c r="P1243" s="4"/>
    </row>
    <row r="1244" spans="2:16">
      <c r="B1244" s="7"/>
      <c r="C1244" s="7"/>
      <c r="D1244" s="18"/>
      <c r="E1244" s="19"/>
      <c r="F1244" s="20"/>
      <c r="G1244" s="21"/>
      <c r="H1244" s="21"/>
      <c r="I1244" s="21"/>
      <c r="J1244" s="21"/>
      <c r="K1244" s="19"/>
      <c r="L1244" s="19"/>
      <c r="M1244" s="13"/>
      <c r="N1244" s="14"/>
      <c r="O1244" s="14"/>
      <c r="P1244" s="4"/>
    </row>
    <row r="1245" spans="2:16">
      <c r="B1245" s="7"/>
      <c r="C1245" s="7"/>
      <c r="D1245" s="18"/>
      <c r="E1245" s="19"/>
      <c r="F1245" s="20"/>
      <c r="G1245" s="21"/>
      <c r="H1245" s="21"/>
      <c r="I1245" s="21"/>
      <c r="J1245" s="21"/>
      <c r="K1245" s="19"/>
      <c r="L1245" s="19"/>
      <c r="M1245" s="13"/>
      <c r="N1245" s="14"/>
      <c r="O1245" s="14"/>
      <c r="P1245" s="4"/>
    </row>
    <row r="1246" spans="2:16">
      <c r="B1246" s="7"/>
      <c r="C1246" s="7"/>
      <c r="D1246" s="18"/>
      <c r="E1246" s="19"/>
      <c r="F1246" s="20"/>
      <c r="G1246" s="21"/>
      <c r="H1246" s="21"/>
      <c r="I1246" s="21"/>
      <c r="J1246" s="21"/>
      <c r="K1246" s="19"/>
      <c r="L1246" s="19"/>
      <c r="M1246" s="13"/>
      <c r="N1246" s="14"/>
      <c r="O1246" s="14"/>
      <c r="P1246" s="4"/>
    </row>
    <row r="1247" spans="2:16">
      <c r="B1247" s="7"/>
      <c r="C1247" s="7"/>
      <c r="D1247" s="18"/>
      <c r="E1247" s="19"/>
      <c r="F1247" s="20"/>
      <c r="G1247" s="21"/>
      <c r="H1247" s="21"/>
      <c r="I1247" s="21"/>
      <c r="J1247" s="21"/>
      <c r="K1247" s="19"/>
      <c r="L1247" s="19"/>
      <c r="M1247" s="13"/>
      <c r="N1247" s="14"/>
      <c r="O1247" s="14"/>
      <c r="P1247" s="4"/>
    </row>
    <row r="1248" spans="2:16">
      <c r="B1248" s="7"/>
      <c r="C1248" s="7"/>
      <c r="D1248" s="18"/>
      <c r="E1248" s="19"/>
      <c r="F1248" s="20"/>
      <c r="G1248" s="21"/>
      <c r="H1248" s="21"/>
      <c r="I1248" s="21"/>
      <c r="J1248" s="21"/>
      <c r="K1248" s="19"/>
      <c r="L1248" s="19"/>
      <c r="M1248" s="13"/>
      <c r="N1248" s="14"/>
      <c r="O1248" s="14"/>
      <c r="P1248" s="4"/>
    </row>
    <row r="1249" spans="2:16">
      <c r="B1249" s="7"/>
      <c r="C1249" s="7"/>
      <c r="D1249" s="18"/>
      <c r="E1249" s="19"/>
      <c r="F1249" s="20"/>
      <c r="G1249" s="21"/>
      <c r="H1249" s="21"/>
      <c r="I1249" s="21"/>
      <c r="J1249" s="21"/>
      <c r="K1249" s="19"/>
      <c r="L1249" s="19"/>
      <c r="M1249" s="13"/>
      <c r="N1249" s="14"/>
      <c r="O1249" s="14"/>
      <c r="P1249" s="4"/>
    </row>
    <row r="1250" spans="2:16">
      <c r="B1250" s="7"/>
      <c r="C1250" s="7"/>
      <c r="D1250" s="18"/>
      <c r="E1250" s="19"/>
      <c r="F1250" s="20"/>
      <c r="G1250" s="21"/>
      <c r="H1250" s="21"/>
      <c r="I1250" s="21"/>
      <c r="J1250" s="21"/>
      <c r="K1250" s="19"/>
      <c r="L1250" s="19"/>
      <c r="M1250" s="13"/>
      <c r="N1250" s="14"/>
      <c r="O1250" s="14"/>
      <c r="P1250" s="4"/>
    </row>
    <row r="1251" spans="2:16">
      <c r="B1251" s="7"/>
      <c r="C1251" s="7"/>
      <c r="D1251" s="18"/>
      <c r="E1251" s="19"/>
      <c r="F1251" s="20"/>
      <c r="G1251" s="21"/>
      <c r="H1251" s="21"/>
      <c r="I1251" s="21"/>
      <c r="J1251" s="21"/>
      <c r="K1251" s="19"/>
      <c r="L1251" s="19"/>
      <c r="M1251" s="13"/>
      <c r="N1251" s="14"/>
      <c r="O1251" s="14"/>
      <c r="P1251" s="4"/>
    </row>
    <row r="1252" spans="2:16">
      <c r="B1252" s="7"/>
      <c r="C1252" s="7"/>
      <c r="D1252" s="18"/>
      <c r="E1252" s="19"/>
      <c r="F1252" s="20"/>
      <c r="G1252" s="21"/>
      <c r="H1252" s="21"/>
      <c r="I1252" s="21"/>
      <c r="J1252" s="21"/>
      <c r="K1252" s="19"/>
      <c r="L1252" s="19"/>
      <c r="M1252" s="13"/>
      <c r="N1252" s="14"/>
      <c r="O1252" s="14"/>
      <c r="P1252" s="4"/>
    </row>
    <row r="1253" spans="2:16">
      <c r="B1253" s="7"/>
      <c r="C1253" s="7"/>
      <c r="D1253" s="18"/>
      <c r="E1253" s="19"/>
      <c r="F1253" s="20"/>
      <c r="G1253" s="21"/>
      <c r="H1253" s="21"/>
      <c r="I1253" s="21"/>
      <c r="J1253" s="21"/>
      <c r="K1253" s="19"/>
      <c r="L1253" s="19"/>
      <c r="M1253" s="13"/>
      <c r="N1253" s="14"/>
      <c r="O1253" s="14"/>
      <c r="P1253" s="4"/>
    </row>
    <row r="1254" spans="2:16">
      <c r="B1254" s="7"/>
      <c r="C1254" s="7"/>
      <c r="D1254" s="18"/>
      <c r="E1254" s="19"/>
      <c r="F1254" s="20"/>
      <c r="G1254" s="21"/>
      <c r="H1254" s="21"/>
      <c r="I1254" s="21"/>
      <c r="J1254" s="21"/>
      <c r="K1254" s="19"/>
      <c r="L1254" s="19"/>
      <c r="M1254" s="13"/>
      <c r="N1254" s="14"/>
      <c r="O1254" s="14"/>
      <c r="P1254" s="4"/>
    </row>
    <row r="1255" spans="2:16">
      <c r="B1255" s="7"/>
      <c r="C1255" s="7"/>
      <c r="D1255" s="18"/>
      <c r="E1255" s="19"/>
      <c r="F1255" s="20"/>
      <c r="G1255" s="21"/>
      <c r="H1255" s="21"/>
      <c r="I1255" s="21"/>
      <c r="J1255" s="21"/>
      <c r="K1255" s="19"/>
      <c r="L1255" s="19"/>
      <c r="M1255" s="13"/>
      <c r="N1255" s="14"/>
      <c r="O1255" s="14"/>
      <c r="P1255" s="4"/>
    </row>
    <row r="1256" spans="2:16">
      <c r="B1256" s="7"/>
      <c r="C1256" s="7"/>
      <c r="D1256" s="18"/>
      <c r="E1256" s="19"/>
      <c r="F1256" s="20"/>
      <c r="G1256" s="21"/>
      <c r="H1256" s="21"/>
      <c r="I1256" s="21"/>
      <c r="J1256" s="21"/>
      <c r="K1256" s="19"/>
      <c r="L1256" s="19"/>
      <c r="M1256" s="13"/>
      <c r="N1256" s="14"/>
      <c r="O1256" s="14"/>
      <c r="P1256" s="4"/>
    </row>
    <row r="1257" spans="2:16">
      <c r="B1257" s="7"/>
      <c r="C1257" s="7"/>
      <c r="D1257" s="18"/>
      <c r="E1257" s="19"/>
      <c r="F1257" s="20"/>
      <c r="G1257" s="21"/>
      <c r="H1257" s="21"/>
      <c r="I1257" s="21"/>
      <c r="J1257" s="21"/>
      <c r="K1257" s="19"/>
      <c r="L1257" s="19"/>
      <c r="M1257" s="13"/>
      <c r="N1257" s="14"/>
      <c r="O1257" s="14"/>
      <c r="P1257" s="4"/>
    </row>
    <row r="1258" spans="2:16">
      <c r="B1258" s="7"/>
      <c r="C1258" s="7"/>
      <c r="D1258" s="18"/>
      <c r="E1258" s="19"/>
      <c r="F1258" s="20"/>
      <c r="G1258" s="21"/>
      <c r="H1258" s="21"/>
      <c r="I1258" s="21"/>
      <c r="J1258" s="21"/>
      <c r="K1258" s="19"/>
      <c r="L1258" s="19"/>
      <c r="M1258" s="13"/>
      <c r="N1258" s="14"/>
      <c r="O1258" s="14"/>
      <c r="P1258" s="4"/>
    </row>
    <row r="1259" spans="2:16">
      <c r="B1259" s="7"/>
      <c r="C1259" s="7"/>
      <c r="D1259" s="18"/>
      <c r="E1259" s="19"/>
      <c r="F1259" s="20"/>
      <c r="G1259" s="21"/>
      <c r="H1259" s="21"/>
      <c r="I1259" s="21"/>
      <c r="J1259" s="21"/>
      <c r="K1259" s="19"/>
      <c r="L1259" s="19"/>
      <c r="M1259" s="13"/>
      <c r="N1259" s="14"/>
      <c r="O1259" s="14"/>
      <c r="P1259" s="4"/>
    </row>
    <row r="1260" spans="2:16">
      <c r="B1260" s="7"/>
      <c r="C1260" s="7"/>
      <c r="D1260" s="18"/>
      <c r="E1260" s="19"/>
      <c r="F1260" s="20"/>
      <c r="G1260" s="21"/>
      <c r="H1260" s="21"/>
      <c r="I1260" s="21"/>
      <c r="J1260" s="21"/>
      <c r="K1260" s="19"/>
      <c r="L1260" s="19"/>
      <c r="M1260" s="13"/>
      <c r="N1260" s="14"/>
      <c r="O1260" s="14"/>
      <c r="P1260" s="4"/>
    </row>
    <row r="1261" spans="2:16">
      <c r="B1261" s="7"/>
      <c r="C1261" s="7"/>
      <c r="D1261" s="18"/>
      <c r="E1261" s="19"/>
      <c r="F1261" s="20"/>
      <c r="G1261" s="21"/>
      <c r="H1261" s="21"/>
      <c r="I1261" s="21"/>
      <c r="J1261" s="21"/>
      <c r="K1261" s="19"/>
      <c r="L1261" s="19"/>
      <c r="M1261" s="13"/>
      <c r="N1261" s="14"/>
      <c r="O1261" s="14"/>
      <c r="P1261" s="4"/>
    </row>
    <row r="1262" spans="2:16">
      <c r="B1262" s="7"/>
      <c r="C1262" s="7"/>
      <c r="D1262" s="18"/>
      <c r="E1262" s="19"/>
      <c r="F1262" s="20"/>
      <c r="G1262" s="21"/>
      <c r="H1262" s="21"/>
      <c r="I1262" s="21"/>
      <c r="J1262" s="21"/>
      <c r="K1262" s="19"/>
      <c r="L1262" s="19"/>
      <c r="M1262" s="13"/>
      <c r="N1262" s="14"/>
      <c r="O1262" s="14"/>
      <c r="P1262" s="4"/>
    </row>
    <row r="1263" spans="2:16">
      <c r="B1263" s="7"/>
      <c r="C1263" s="7"/>
      <c r="D1263" s="18"/>
      <c r="E1263" s="19"/>
      <c r="F1263" s="20"/>
      <c r="G1263" s="21"/>
      <c r="H1263" s="21"/>
      <c r="I1263" s="21"/>
      <c r="J1263" s="21"/>
      <c r="K1263" s="19"/>
      <c r="L1263" s="19"/>
      <c r="M1263" s="13"/>
      <c r="N1263" s="14"/>
      <c r="O1263" s="14"/>
      <c r="P1263" s="4"/>
    </row>
    <row r="1264" spans="2:16">
      <c r="B1264" s="7"/>
      <c r="C1264" s="7"/>
      <c r="D1264" s="18"/>
      <c r="E1264" s="19"/>
      <c r="F1264" s="20"/>
      <c r="G1264" s="21"/>
      <c r="H1264" s="21"/>
      <c r="I1264" s="21"/>
      <c r="J1264" s="21"/>
      <c r="K1264" s="19"/>
      <c r="L1264" s="19"/>
      <c r="M1264" s="13"/>
      <c r="N1264" s="14"/>
      <c r="O1264" s="14"/>
      <c r="P1264" s="4"/>
    </row>
    <row r="1265" spans="2:16">
      <c r="B1265" s="7"/>
      <c r="C1265" s="7"/>
      <c r="D1265" s="18"/>
      <c r="E1265" s="19"/>
      <c r="F1265" s="20"/>
      <c r="G1265" s="21"/>
      <c r="H1265" s="21"/>
      <c r="I1265" s="21"/>
      <c r="J1265" s="21"/>
      <c r="K1265" s="19"/>
      <c r="L1265" s="19"/>
      <c r="M1265" s="13"/>
      <c r="N1265" s="14"/>
      <c r="O1265" s="14"/>
      <c r="P1265" s="4"/>
    </row>
    <row r="1266" spans="2:16">
      <c r="B1266" s="7"/>
      <c r="C1266" s="7"/>
      <c r="D1266" s="18"/>
      <c r="E1266" s="19"/>
      <c r="F1266" s="20"/>
      <c r="G1266" s="21"/>
      <c r="H1266" s="21"/>
      <c r="I1266" s="21"/>
      <c r="J1266" s="21"/>
      <c r="K1266" s="19"/>
      <c r="L1266" s="19"/>
      <c r="M1266" s="13"/>
      <c r="N1266" s="14"/>
      <c r="O1266" s="14"/>
      <c r="P1266" s="4"/>
    </row>
    <row r="1267" spans="2:16">
      <c r="B1267" s="7"/>
      <c r="C1267" s="7"/>
      <c r="D1267" s="18"/>
      <c r="E1267" s="19"/>
      <c r="F1267" s="20"/>
      <c r="G1267" s="21"/>
      <c r="H1267" s="21"/>
      <c r="I1267" s="21"/>
      <c r="J1267" s="21"/>
      <c r="K1267" s="19"/>
      <c r="L1267" s="19"/>
      <c r="M1267" s="13"/>
      <c r="N1267" s="14"/>
      <c r="O1267" s="14"/>
      <c r="P1267" s="4"/>
    </row>
    <row r="1268" spans="2:16">
      <c r="B1268" s="7"/>
      <c r="C1268" s="7"/>
      <c r="D1268" s="18"/>
      <c r="E1268" s="19"/>
      <c r="F1268" s="20"/>
      <c r="G1268" s="21"/>
      <c r="H1268" s="21"/>
      <c r="I1268" s="21"/>
      <c r="J1268" s="21"/>
      <c r="K1268" s="19"/>
      <c r="L1268" s="19"/>
      <c r="M1268" s="13"/>
      <c r="N1268" s="14"/>
      <c r="O1268" s="14"/>
      <c r="P1268" s="4"/>
    </row>
    <row r="1269" spans="2:16">
      <c r="B1269" s="7"/>
      <c r="C1269" s="7"/>
      <c r="D1269" s="18"/>
      <c r="E1269" s="19"/>
      <c r="F1269" s="20"/>
      <c r="G1269" s="21"/>
      <c r="H1269" s="21"/>
      <c r="I1269" s="21"/>
      <c r="J1269" s="21"/>
      <c r="K1269" s="19"/>
      <c r="L1269" s="19"/>
      <c r="M1269" s="13"/>
      <c r="N1269" s="14"/>
      <c r="O1269" s="14"/>
      <c r="P1269" s="4"/>
    </row>
    <row r="1270" spans="2:16">
      <c r="B1270" s="7"/>
      <c r="C1270" s="7"/>
      <c r="D1270" s="18"/>
      <c r="E1270" s="19"/>
      <c r="F1270" s="20"/>
      <c r="G1270" s="21"/>
      <c r="H1270" s="21"/>
      <c r="I1270" s="21"/>
      <c r="J1270" s="21"/>
      <c r="K1270" s="19"/>
      <c r="L1270" s="19"/>
      <c r="M1270" s="13"/>
      <c r="N1270" s="14"/>
      <c r="O1270" s="14"/>
      <c r="P1270" s="4"/>
    </row>
    <row r="1271" spans="2:16">
      <c r="B1271" s="7"/>
      <c r="C1271" s="7"/>
      <c r="D1271" s="18"/>
      <c r="E1271" s="19"/>
      <c r="F1271" s="20"/>
      <c r="G1271" s="21"/>
      <c r="H1271" s="21"/>
      <c r="I1271" s="21"/>
      <c r="J1271" s="21"/>
      <c r="K1271" s="19"/>
      <c r="L1271" s="19"/>
      <c r="M1271" s="13"/>
      <c r="N1271" s="14"/>
      <c r="O1271" s="14"/>
      <c r="P1271" s="4"/>
    </row>
    <row r="1272" spans="2:16">
      <c r="B1272" s="7"/>
      <c r="C1272" s="7"/>
      <c r="D1272" s="18"/>
      <c r="E1272" s="19"/>
      <c r="F1272" s="20"/>
      <c r="G1272" s="21"/>
      <c r="H1272" s="21"/>
      <c r="I1272" s="21"/>
      <c r="J1272" s="21"/>
      <c r="K1272" s="19"/>
      <c r="L1272" s="19"/>
      <c r="M1272" s="13"/>
      <c r="N1272" s="14"/>
      <c r="O1272" s="14"/>
      <c r="P1272" s="4"/>
    </row>
    <row r="1273" spans="2:16">
      <c r="B1273" s="7"/>
      <c r="C1273" s="7"/>
      <c r="D1273" s="18"/>
      <c r="E1273" s="19"/>
      <c r="F1273" s="20"/>
      <c r="G1273" s="21"/>
      <c r="H1273" s="21"/>
      <c r="I1273" s="21"/>
      <c r="J1273" s="21"/>
      <c r="K1273" s="19"/>
      <c r="L1273" s="19"/>
      <c r="M1273" s="13"/>
      <c r="N1273" s="14"/>
      <c r="O1273" s="14"/>
      <c r="P1273" s="4"/>
    </row>
    <row r="1274" spans="2:16">
      <c r="B1274" s="7"/>
      <c r="C1274" s="7"/>
      <c r="D1274" s="18"/>
      <c r="E1274" s="19"/>
      <c r="F1274" s="20"/>
      <c r="G1274" s="21"/>
      <c r="H1274" s="21"/>
      <c r="I1274" s="21"/>
      <c r="J1274" s="21"/>
      <c r="K1274" s="19"/>
      <c r="L1274" s="19"/>
      <c r="M1274" s="13"/>
      <c r="N1274" s="14"/>
      <c r="O1274" s="14"/>
      <c r="P1274" s="4"/>
    </row>
    <row r="1275" spans="2:16">
      <c r="B1275" s="7"/>
      <c r="C1275" s="7"/>
      <c r="D1275" s="18"/>
      <c r="E1275" s="19"/>
      <c r="F1275" s="20"/>
      <c r="G1275" s="21"/>
      <c r="H1275" s="21"/>
      <c r="I1275" s="21"/>
      <c r="J1275" s="21"/>
      <c r="K1275" s="19"/>
      <c r="L1275" s="19"/>
      <c r="M1275" s="13"/>
      <c r="N1275" s="14"/>
      <c r="O1275" s="14"/>
      <c r="P1275" s="4"/>
    </row>
    <row r="1276" spans="2:16">
      <c r="B1276" s="7"/>
      <c r="C1276" s="7"/>
      <c r="D1276" s="18"/>
      <c r="E1276" s="19"/>
      <c r="F1276" s="20"/>
      <c r="G1276" s="21"/>
      <c r="H1276" s="21"/>
      <c r="I1276" s="21"/>
      <c r="J1276" s="21"/>
      <c r="K1276" s="19"/>
      <c r="L1276" s="19"/>
      <c r="M1276" s="13"/>
      <c r="N1276" s="14"/>
      <c r="O1276" s="14"/>
      <c r="P1276" s="4"/>
    </row>
    <row r="1277" spans="2:16">
      <c r="B1277" s="7"/>
      <c r="C1277" s="7"/>
      <c r="D1277" s="18"/>
      <c r="E1277" s="19"/>
      <c r="F1277" s="20"/>
      <c r="G1277" s="21"/>
      <c r="H1277" s="21"/>
      <c r="I1277" s="21"/>
      <c r="J1277" s="21"/>
      <c r="K1277" s="19"/>
      <c r="L1277" s="19"/>
      <c r="M1277" s="13"/>
      <c r="N1277" s="14"/>
      <c r="O1277" s="14"/>
      <c r="P1277" s="4"/>
    </row>
    <row r="1278" spans="2:16">
      <c r="B1278" s="7"/>
      <c r="C1278" s="7"/>
      <c r="D1278" s="18"/>
      <c r="E1278" s="19"/>
      <c r="F1278" s="20"/>
      <c r="G1278" s="21"/>
      <c r="H1278" s="21"/>
      <c r="I1278" s="21"/>
      <c r="J1278" s="21"/>
      <c r="K1278" s="19"/>
      <c r="L1278" s="19"/>
      <c r="M1278" s="13"/>
      <c r="N1278" s="14"/>
      <c r="O1278" s="14"/>
      <c r="P1278" s="4"/>
    </row>
    <row r="1279" spans="2:16">
      <c r="B1279" s="7"/>
      <c r="C1279" s="7"/>
      <c r="D1279" s="18"/>
      <c r="E1279" s="19"/>
      <c r="F1279" s="20"/>
      <c r="G1279" s="21"/>
      <c r="H1279" s="21"/>
      <c r="I1279" s="21"/>
      <c r="J1279" s="21"/>
      <c r="K1279" s="19"/>
      <c r="L1279" s="19"/>
      <c r="M1279" s="13"/>
      <c r="N1279" s="14"/>
      <c r="O1279" s="14"/>
      <c r="P1279" s="4"/>
    </row>
    <row r="1280" spans="2:16">
      <c r="B1280" s="7"/>
      <c r="C1280" s="7"/>
      <c r="D1280" s="18"/>
      <c r="E1280" s="19"/>
      <c r="F1280" s="20"/>
      <c r="G1280" s="21"/>
      <c r="H1280" s="21"/>
      <c r="I1280" s="21"/>
      <c r="J1280" s="21"/>
      <c r="K1280" s="19"/>
      <c r="L1280" s="19"/>
      <c r="M1280" s="13"/>
      <c r="N1280" s="14"/>
      <c r="O1280" s="14"/>
      <c r="P1280" s="4"/>
    </row>
    <row r="1281" spans="2:16">
      <c r="B1281" s="7"/>
      <c r="C1281" s="7"/>
      <c r="D1281" s="18"/>
      <c r="E1281" s="19"/>
      <c r="F1281" s="20"/>
      <c r="G1281" s="21"/>
      <c r="H1281" s="21"/>
      <c r="I1281" s="21"/>
      <c r="J1281" s="21"/>
      <c r="K1281" s="19"/>
      <c r="L1281" s="19"/>
      <c r="M1281" s="13"/>
      <c r="N1281" s="14"/>
      <c r="O1281" s="14"/>
      <c r="P1281" s="4"/>
    </row>
    <row r="1282" spans="2:16">
      <c r="B1282" s="7"/>
      <c r="C1282" s="7"/>
      <c r="D1282" s="18"/>
      <c r="E1282" s="19"/>
      <c r="F1282" s="20"/>
      <c r="G1282" s="21"/>
      <c r="H1282" s="21"/>
      <c r="I1282" s="21"/>
      <c r="J1282" s="21"/>
      <c r="K1282" s="19"/>
      <c r="L1282" s="19"/>
      <c r="M1282" s="13"/>
      <c r="N1282" s="14"/>
      <c r="O1282" s="14"/>
      <c r="P1282" s="4"/>
    </row>
    <row r="1283" spans="2:16">
      <c r="B1283" s="7"/>
      <c r="C1283" s="7"/>
      <c r="D1283" s="18"/>
      <c r="E1283" s="19"/>
      <c r="F1283" s="20"/>
      <c r="G1283" s="21"/>
      <c r="H1283" s="21"/>
      <c r="I1283" s="21"/>
      <c r="J1283" s="21"/>
      <c r="K1283" s="19"/>
      <c r="L1283" s="19"/>
      <c r="M1283" s="13"/>
      <c r="N1283" s="14"/>
      <c r="O1283" s="14"/>
      <c r="P1283" s="4"/>
    </row>
    <row r="1284" spans="2:16">
      <c r="B1284" s="7"/>
      <c r="C1284" s="7"/>
      <c r="D1284" s="18"/>
      <c r="E1284" s="19"/>
      <c r="F1284" s="20"/>
      <c r="G1284" s="21"/>
      <c r="H1284" s="21"/>
      <c r="I1284" s="21"/>
      <c r="J1284" s="21"/>
      <c r="K1284" s="19"/>
      <c r="L1284" s="19"/>
      <c r="M1284" s="13"/>
      <c r="N1284" s="14"/>
      <c r="O1284" s="14"/>
      <c r="P1284" s="4"/>
    </row>
    <row r="1285" spans="2:16">
      <c r="B1285" s="7"/>
      <c r="C1285" s="7"/>
      <c r="D1285" s="18"/>
      <c r="E1285" s="19"/>
      <c r="F1285" s="20"/>
      <c r="G1285" s="21"/>
      <c r="H1285" s="21"/>
      <c r="I1285" s="21"/>
      <c r="J1285" s="21"/>
      <c r="K1285" s="19"/>
      <c r="L1285" s="19"/>
      <c r="M1285" s="13"/>
      <c r="N1285" s="14"/>
      <c r="O1285" s="14"/>
      <c r="P1285" s="4"/>
    </row>
    <row r="1286" spans="2:16">
      <c r="B1286" s="7"/>
      <c r="C1286" s="7"/>
      <c r="D1286" s="18"/>
      <c r="E1286" s="19"/>
      <c r="F1286" s="20"/>
      <c r="G1286" s="21"/>
      <c r="H1286" s="21"/>
      <c r="I1286" s="21"/>
      <c r="J1286" s="21"/>
      <c r="K1286" s="19"/>
      <c r="L1286" s="19"/>
      <c r="M1286" s="13"/>
      <c r="N1286" s="14"/>
      <c r="O1286" s="14"/>
      <c r="P1286" s="4"/>
    </row>
    <row r="1287" spans="2:16">
      <c r="B1287" s="7"/>
      <c r="C1287" s="7"/>
      <c r="D1287" s="18"/>
      <c r="E1287" s="19"/>
      <c r="F1287" s="20"/>
      <c r="G1287" s="21"/>
      <c r="H1287" s="21"/>
      <c r="I1287" s="21"/>
      <c r="J1287" s="21"/>
      <c r="K1287" s="19"/>
      <c r="L1287" s="19"/>
      <c r="M1287" s="13"/>
      <c r="N1287" s="14"/>
      <c r="O1287" s="14"/>
      <c r="P1287" s="4"/>
    </row>
    <row r="1288" spans="2:16">
      <c r="B1288" s="7"/>
      <c r="C1288" s="7"/>
      <c r="D1288" s="18"/>
      <c r="E1288" s="19"/>
      <c r="F1288" s="20"/>
      <c r="G1288" s="21"/>
      <c r="H1288" s="21"/>
      <c r="I1288" s="21"/>
      <c r="J1288" s="21"/>
      <c r="K1288" s="19"/>
      <c r="L1288" s="19"/>
      <c r="M1288" s="13"/>
      <c r="N1288" s="14"/>
      <c r="O1288" s="14"/>
      <c r="P1288" s="4"/>
    </row>
    <row r="1289" spans="2:16">
      <c r="B1289" s="7"/>
      <c r="C1289" s="7"/>
      <c r="D1289" s="18"/>
      <c r="E1289" s="19"/>
      <c r="F1289" s="20"/>
      <c r="G1289" s="21"/>
      <c r="H1289" s="21"/>
      <c r="I1289" s="21"/>
      <c r="J1289" s="21"/>
      <c r="K1289" s="19"/>
      <c r="L1289" s="19"/>
      <c r="M1289" s="13"/>
      <c r="N1289" s="14"/>
      <c r="O1289" s="14"/>
      <c r="P1289" s="4"/>
    </row>
    <row r="1290" spans="2:16">
      <c r="B1290" s="7"/>
      <c r="C1290" s="7"/>
      <c r="D1290" s="18"/>
      <c r="E1290" s="19"/>
      <c r="F1290" s="20"/>
      <c r="G1290" s="21"/>
      <c r="H1290" s="21"/>
      <c r="I1290" s="21"/>
      <c r="J1290" s="21"/>
      <c r="K1290" s="19"/>
      <c r="L1290" s="19"/>
      <c r="M1290" s="13"/>
      <c r="N1290" s="14"/>
      <c r="O1290" s="14"/>
      <c r="P1290" s="4"/>
    </row>
    <row r="1291" spans="2:16">
      <c r="B1291" s="7"/>
      <c r="C1291" s="7"/>
      <c r="D1291" s="18"/>
      <c r="E1291" s="19"/>
      <c r="F1291" s="20"/>
      <c r="G1291" s="21"/>
      <c r="H1291" s="21"/>
      <c r="I1291" s="21"/>
      <c r="J1291" s="21"/>
      <c r="K1291" s="19"/>
      <c r="L1291" s="19"/>
      <c r="M1291" s="13"/>
      <c r="N1291" s="14"/>
      <c r="O1291" s="14"/>
      <c r="P1291" s="4"/>
    </row>
    <row r="1292" spans="2:16">
      <c r="B1292" s="7"/>
      <c r="C1292" s="7"/>
      <c r="D1292" s="18"/>
      <c r="E1292" s="19"/>
      <c r="F1292" s="20"/>
      <c r="G1292" s="21"/>
      <c r="H1292" s="21"/>
      <c r="I1292" s="21"/>
      <c r="J1292" s="21"/>
      <c r="K1292" s="19"/>
      <c r="L1292" s="19"/>
      <c r="M1292" s="13"/>
      <c r="N1292" s="14"/>
      <c r="O1292" s="14"/>
      <c r="P1292" s="4"/>
    </row>
    <row r="1293" spans="2:16">
      <c r="B1293" s="7"/>
      <c r="C1293" s="7"/>
      <c r="D1293" s="18"/>
      <c r="E1293" s="19"/>
      <c r="F1293" s="20"/>
      <c r="G1293" s="21"/>
      <c r="H1293" s="21"/>
      <c r="I1293" s="21"/>
      <c r="J1293" s="21"/>
      <c r="K1293" s="19"/>
      <c r="L1293" s="19"/>
      <c r="M1293" s="13"/>
      <c r="N1293" s="14"/>
      <c r="O1293" s="14"/>
      <c r="P1293" s="4"/>
    </row>
    <row r="1294" spans="2:16">
      <c r="B1294" s="7"/>
      <c r="C1294" s="7"/>
      <c r="D1294" s="18"/>
      <c r="E1294" s="19"/>
      <c r="F1294" s="20"/>
      <c r="G1294" s="21"/>
      <c r="H1294" s="21"/>
      <c r="I1294" s="21"/>
      <c r="J1294" s="21"/>
      <c r="K1294" s="19"/>
      <c r="L1294" s="19"/>
      <c r="M1294" s="13"/>
      <c r="N1294" s="14"/>
      <c r="O1294" s="14"/>
      <c r="P1294" s="4"/>
    </row>
    <row r="1295" spans="2:16">
      <c r="B1295" s="7"/>
      <c r="C1295" s="7"/>
      <c r="D1295" s="18"/>
      <c r="E1295" s="19"/>
      <c r="F1295" s="20"/>
      <c r="G1295" s="21"/>
      <c r="H1295" s="21"/>
      <c r="I1295" s="21"/>
      <c r="J1295" s="21"/>
      <c r="K1295" s="19"/>
      <c r="L1295" s="19"/>
      <c r="M1295" s="13"/>
      <c r="N1295" s="14"/>
      <c r="O1295" s="14"/>
      <c r="P1295" s="4"/>
    </row>
    <row r="1296" spans="2:16">
      <c r="B1296" s="7"/>
      <c r="C1296" s="7"/>
      <c r="D1296" s="18"/>
      <c r="E1296" s="19"/>
      <c r="F1296" s="20"/>
      <c r="G1296" s="21"/>
      <c r="H1296" s="21"/>
      <c r="I1296" s="21"/>
      <c r="J1296" s="21"/>
      <c r="K1296" s="19"/>
      <c r="L1296" s="19"/>
      <c r="M1296" s="13"/>
      <c r="N1296" s="14"/>
      <c r="O1296" s="14"/>
      <c r="P1296" s="4"/>
    </row>
    <row r="1297" spans="2:16">
      <c r="B1297" s="7"/>
      <c r="C1297" s="7"/>
      <c r="D1297" s="18"/>
      <c r="E1297" s="19"/>
      <c r="F1297" s="20"/>
      <c r="G1297" s="21"/>
      <c r="H1297" s="21"/>
      <c r="I1297" s="21"/>
      <c r="J1297" s="21"/>
      <c r="K1297" s="19"/>
      <c r="L1297" s="19"/>
      <c r="M1297" s="13"/>
      <c r="N1297" s="14"/>
      <c r="O1297" s="14"/>
      <c r="P1297" s="4"/>
    </row>
    <row r="1298" spans="2:16">
      <c r="B1298" s="7"/>
      <c r="C1298" s="7"/>
      <c r="D1298" s="18"/>
      <c r="E1298" s="19"/>
      <c r="F1298" s="20"/>
      <c r="G1298" s="21"/>
      <c r="H1298" s="21"/>
      <c r="I1298" s="21"/>
      <c r="J1298" s="21"/>
      <c r="K1298" s="19"/>
      <c r="L1298" s="19"/>
      <c r="M1298" s="13"/>
      <c r="N1298" s="14"/>
      <c r="O1298" s="14"/>
      <c r="P1298" s="4"/>
    </row>
    <row r="1299" spans="2:16">
      <c r="B1299" s="7"/>
      <c r="C1299" s="7"/>
      <c r="D1299" s="18"/>
      <c r="E1299" s="19"/>
      <c r="F1299" s="20"/>
      <c r="G1299" s="21"/>
      <c r="H1299" s="21"/>
      <c r="I1299" s="21"/>
      <c r="J1299" s="21"/>
      <c r="K1299" s="19"/>
      <c r="L1299" s="19"/>
      <c r="M1299" s="13"/>
      <c r="N1299" s="14"/>
      <c r="O1299" s="14"/>
      <c r="P1299" s="4"/>
    </row>
    <row r="1300" spans="2:16">
      <c r="B1300" s="7"/>
      <c r="C1300" s="7"/>
      <c r="D1300" s="18"/>
      <c r="E1300" s="19"/>
      <c r="F1300" s="20"/>
      <c r="G1300" s="21"/>
      <c r="H1300" s="21"/>
      <c r="I1300" s="21"/>
      <c r="J1300" s="21"/>
      <c r="K1300" s="19"/>
      <c r="L1300" s="19"/>
      <c r="M1300" s="13"/>
      <c r="N1300" s="14"/>
      <c r="O1300" s="14"/>
      <c r="P1300" s="4"/>
    </row>
    <row r="1301" spans="2:16">
      <c r="B1301" s="7"/>
      <c r="C1301" s="7"/>
      <c r="D1301" s="18"/>
      <c r="E1301" s="19"/>
      <c r="F1301" s="20"/>
      <c r="G1301" s="21"/>
      <c r="H1301" s="21"/>
      <c r="I1301" s="21"/>
      <c r="J1301" s="21"/>
      <c r="K1301" s="19"/>
      <c r="L1301" s="19"/>
      <c r="M1301" s="13"/>
      <c r="N1301" s="14"/>
      <c r="O1301" s="14"/>
      <c r="P1301" s="4"/>
    </row>
    <row r="1302" spans="2:16">
      <c r="B1302" s="7"/>
      <c r="C1302" s="7"/>
      <c r="D1302" s="18"/>
      <c r="E1302" s="19"/>
      <c r="F1302" s="20"/>
      <c r="G1302" s="21"/>
      <c r="H1302" s="21"/>
      <c r="I1302" s="21"/>
      <c r="J1302" s="21"/>
      <c r="K1302" s="19"/>
      <c r="L1302" s="19"/>
      <c r="M1302" s="13"/>
      <c r="N1302" s="14"/>
      <c r="O1302" s="14"/>
      <c r="P1302" s="4"/>
    </row>
    <row r="1303" spans="2:16">
      <c r="B1303" s="7"/>
      <c r="C1303" s="7"/>
      <c r="D1303" s="18"/>
      <c r="E1303" s="19"/>
      <c r="F1303" s="20"/>
      <c r="G1303" s="21"/>
      <c r="H1303" s="21"/>
      <c r="I1303" s="21"/>
      <c r="J1303" s="21"/>
      <c r="K1303" s="19"/>
      <c r="L1303" s="19"/>
      <c r="M1303" s="13"/>
      <c r="N1303" s="14"/>
      <c r="O1303" s="14"/>
      <c r="P1303" s="4"/>
    </row>
    <row r="1304" spans="2:16">
      <c r="B1304" s="7"/>
      <c r="C1304" s="7"/>
      <c r="D1304" s="18"/>
      <c r="E1304" s="19"/>
      <c r="F1304" s="20"/>
      <c r="G1304" s="21"/>
      <c r="H1304" s="21"/>
      <c r="I1304" s="21"/>
      <c r="J1304" s="21"/>
      <c r="K1304" s="19"/>
      <c r="L1304" s="19"/>
      <c r="M1304" s="13"/>
      <c r="N1304" s="14"/>
      <c r="O1304" s="14"/>
      <c r="P1304" s="4"/>
    </row>
    <row r="1305" spans="2:16">
      <c r="B1305" s="7"/>
      <c r="C1305" s="7"/>
      <c r="D1305" s="18"/>
      <c r="E1305" s="19"/>
      <c r="F1305" s="20"/>
      <c r="G1305" s="21"/>
      <c r="H1305" s="21"/>
      <c r="I1305" s="21"/>
      <c r="J1305" s="21"/>
      <c r="K1305" s="19"/>
      <c r="L1305" s="19"/>
      <c r="M1305" s="13"/>
      <c r="N1305" s="14"/>
      <c r="O1305" s="14"/>
      <c r="P1305" s="4"/>
    </row>
    <row r="1306" spans="2:16">
      <c r="B1306" s="7"/>
      <c r="C1306" s="7"/>
      <c r="D1306" s="18"/>
      <c r="E1306" s="19"/>
      <c r="F1306" s="20"/>
      <c r="G1306" s="21"/>
      <c r="H1306" s="21"/>
      <c r="I1306" s="21"/>
      <c r="J1306" s="21"/>
      <c r="K1306" s="19"/>
      <c r="L1306" s="19"/>
      <c r="M1306" s="13"/>
      <c r="N1306" s="14"/>
      <c r="O1306" s="14"/>
      <c r="P1306" s="4"/>
    </row>
    <row r="1307" spans="2:16">
      <c r="B1307" s="7"/>
      <c r="C1307" s="7"/>
      <c r="D1307" s="18"/>
      <c r="E1307" s="19"/>
      <c r="F1307" s="20"/>
      <c r="G1307" s="21"/>
      <c r="H1307" s="21"/>
      <c r="I1307" s="21"/>
      <c r="J1307" s="21"/>
      <c r="K1307" s="19"/>
      <c r="L1307" s="19"/>
      <c r="M1307" s="13"/>
      <c r="N1307" s="14"/>
      <c r="O1307" s="14"/>
      <c r="P1307" s="4"/>
    </row>
    <row r="1308" spans="2:16">
      <c r="B1308" s="7"/>
      <c r="C1308" s="7"/>
      <c r="D1308" s="18"/>
      <c r="E1308" s="19"/>
      <c r="F1308" s="20"/>
      <c r="G1308" s="21"/>
      <c r="H1308" s="21"/>
      <c r="I1308" s="21"/>
      <c r="J1308" s="21"/>
      <c r="K1308" s="19"/>
      <c r="L1308" s="19"/>
      <c r="M1308" s="13"/>
      <c r="N1308" s="14"/>
      <c r="O1308" s="14"/>
      <c r="P1308" s="4"/>
    </row>
    <row r="1309" spans="2:16">
      <c r="B1309" s="7"/>
      <c r="C1309" s="7"/>
      <c r="D1309" s="18"/>
      <c r="E1309" s="19"/>
      <c r="F1309" s="20"/>
      <c r="G1309" s="21"/>
      <c r="H1309" s="21"/>
      <c r="I1309" s="21"/>
      <c r="J1309" s="21"/>
      <c r="K1309" s="19"/>
      <c r="L1309" s="19"/>
      <c r="M1309" s="13"/>
      <c r="N1309" s="14"/>
      <c r="O1309" s="14"/>
      <c r="P1309" s="4"/>
    </row>
    <row r="1310" spans="2:16">
      <c r="B1310" s="7"/>
      <c r="C1310" s="7"/>
      <c r="D1310" s="18"/>
      <c r="E1310" s="19"/>
      <c r="F1310" s="20"/>
      <c r="G1310" s="21"/>
      <c r="H1310" s="21"/>
      <c r="I1310" s="21"/>
      <c r="J1310" s="21"/>
      <c r="K1310" s="19"/>
      <c r="L1310" s="19"/>
      <c r="M1310" s="13"/>
      <c r="N1310" s="14"/>
      <c r="O1310" s="14"/>
      <c r="P1310" s="4"/>
    </row>
    <row r="1311" spans="2:16">
      <c r="B1311" s="7"/>
      <c r="C1311" s="7"/>
      <c r="D1311" s="18"/>
      <c r="E1311" s="19"/>
      <c r="F1311" s="20"/>
      <c r="G1311" s="21"/>
      <c r="H1311" s="21"/>
      <c r="I1311" s="21"/>
      <c r="J1311" s="21"/>
      <c r="K1311" s="19"/>
      <c r="L1311" s="19"/>
      <c r="M1311" s="13"/>
      <c r="N1311" s="14"/>
      <c r="O1311" s="14"/>
      <c r="P1311" s="4"/>
    </row>
    <row r="1312" spans="2:16">
      <c r="B1312" s="7"/>
      <c r="C1312" s="7"/>
      <c r="D1312" s="18"/>
      <c r="E1312" s="19"/>
      <c r="F1312" s="20"/>
      <c r="G1312" s="21"/>
      <c r="H1312" s="21"/>
      <c r="I1312" s="21"/>
      <c r="J1312" s="21"/>
      <c r="K1312" s="19"/>
      <c r="L1312" s="19"/>
      <c r="M1312" s="13"/>
      <c r="N1312" s="14"/>
      <c r="O1312" s="14"/>
      <c r="P1312" s="4"/>
    </row>
    <row r="1313" spans="2:16">
      <c r="B1313" s="7"/>
      <c r="C1313" s="7"/>
      <c r="D1313" s="18"/>
      <c r="E1313" s="19"/>
      <c r="F1313" s="20"/>
      <c r="G1313" s="21"/>
      <c r="H1313" s="21"/>
      <c r="I1313" s="21"/>
      <c r="J1313" s="21"/>
      <c r="K1313" s="19"/>
      <c r="L1313" s="19"/>
      <c r="M1313" s="13"/>
      <c r="N1313" s="14"/>
      <c r="O1313" s="14"/>
      <c r="P1313" s="4"/>
    </row>
    <row r="1314" spans="2:16">
      <c r="B1314" s="7"/>
      <c r="C1314" s="7"/>
      <c r="D1314" s="18"/>
      <c r="E1314" s="19"/>
      <c r="F1314" s="20"/>
      <c r="G1314" s="21"/>
      <c r="H1314" s="21"/>
      <c r="I1314" s="21"/>
      <c r="J1314" s="21"/>
      <c r="K1314" s="19"/>
      <c r="L1314" s="19"/>
      <c r="M1314" s="13"/>
      <c r="N1314" s="14"/>
      <c r="O1314" s="14"/>
      <c r="P1314" s="4"/>
    </row>
    <row r="1315" spans="2:16">
      <c r="B1315" s="7"/>
      <c r="C1315" s="7"/>
      <c r="D1315" s="18"/>
      <c r="E1315" s="19"/>
      <c r="F1315" s="20"/>
      <c r="G1315" s="21"/>
      <c r="H1315" s="21"/>
      <c r="I1315" s="21"/>
      <c r="J1315" s="21"/>
      <c r="K1315" s="19"/>
      <c r="L1315" s="19"/>
      <c r="M1315" s="13"/>
      <c r="N1315" s="14"/>
      <c r="O1315" s="14"/>
      <c r="P1315" s="4"/>
    </row>
    <row r="1316" spans="2:16">
      <c r="B1316" s="7"/>
      <c r="C1316" s="7"/>
      <c r="D1316" s="18"/>
      <c r="E1316" s="19"/>
      <c r="F1316" s="20"/>
      <c r="G1316" s="21"/>
      <c r="H1316" s="21"/>
      <c r="I1316" s="21"/>
      <c r="J1316" s="21"/>
      <c r="K1316" s="19"/>
      <c r="L1316" s="19"/>
      <c r="M1316" s="13"/>
      <c r="N1316" s="14"/>
      <c r="O1316" s="14"/>
      <c r="P1316" s="4"/>
    </row>
    <row r="1317" spans="2:16">
      <c r="B1317" s="7"/>
      <c r="C1317" s="7"/>
      <c r="D1317" s="18"/>
      <c r="E1317" s="19"/>
      <c r="F1317" s="20"/>
      <c r="G1317" s="21"/>
      <c r="H1317" s="21"/>
      <c r="I1317" s="21"/>
      <c r="J1317" s="21"/>
      <c r="K1317" s="19"/>
      <c r="L1317" s="19"/>
      <c r="M1317" s="13"/>
      <c r="N1317" s="14"/>
      <c r="O1317" s="14"/>
      <c r="P1317" s="4"/>
    </row>
    <row r="1318" spans="2:16">
      <c r="B1318" s="7"/>
      <c r="C1318" s="7"/>
      <c r="D1318" s="18"/>
      <c r="E1318" s="19"/>
      <c r="F1318" s="20"/>
      <c r="G1318" s="21"/>
      <c r="H1318" s="21"/>
      <c r="I1318" s="21"/>
      <c r="J1318" s="21"/>
      <c r="K1318" s="19"/>
      <c r="L1318" s="19"/>
      <c r="M1318" s="13"/>
      <c r="N1318" s="14"/>
      <c r="O1318" s="14"/>
      <c r="P1318" s="4"/>
    </row>
    <row r="1319" spans="2:16">
      <c r="B1319" s="7"/>
      <c r="C1319" s="7"/>
      <c r="D1319" s="18"/>
      <c r="E1319" s="19"/>
      <c r="F1319" s="20"/>
      <c r="G1319" s="21"/>
      <c r="H1319" s="21"/>
      <c r="I1319" s="21"/>
      <c r="J1319" s="21"/>
      <c r="K1319" s="19"/>
      <c r="L1319" s="19"/>
      <c r="M1319" s="13"/>
      <c r="N1319" s="14"/>
      <c r="O1319" s="14"/>
      <c r="P1319" s="4"/>
    </row>
    <row r="1320" spans="2:16">
      <c r="B1320" s="7"/>
      <c r="C1320" s="7"/>
      <c r="D1320" s="18"/>
      <c r="E1320" s="19"/>
      <c r="F1320" s="20"/>
      <c r="G1320" s="21"/>
      <c r="H1320" s="21"/>
      <c r="I1320" s="21"/>
      <c r="J1320" s="21"/>
      <c r="K1320" s="19"/>
      <c r="L1320" s="19"/>
      <c r="M1320" s="13"/>
      <c r="N1320" s="14"/>
      <c r="O1320" s="14"/>
      <c r="P1320" s="4"/>
    </row>
    <row r="1321" spans="2:16">
      <c r="B1321" s="7"/>
      <c r="C1321" s="7"/>
      <c r="D1321" s="18"/>
      <c r="E1321" s="19"/>
      <c r="F1321" s="20"/>
      <c r="G1321" s="21"/>
      <c r="H1321" s="21"/>
      <c r="I1321" s="21"/>
      <c r="J1321" s="21"/>
      <c r="K1321" s="19"/>
      <c r="L1321" s="19"/>
      <c r="M1321" s="13"/>
      <c r="N1321" s="14"/>
      <c r="O1321" s="14"/>
      <c r="P1321" s="4"/>
    </row>
    <row r="1322" spans="2:16">
      <c r="B1322" s="7"/>
      <c r="C1322" s="7"/>
      <c r="D1322" s="18"/>
      <c r="E1322" s="19"/>
      <c r="F1322" s="20"/>
      <c r="G1322" s="21"/>
      <c r="H1322" s="21"/>
      <c r="I1322" s="21"/>
      <c r="J1322" s="21"/>
      <c r="K1322" s="19"/>
      <c r="L1322" s="19"/>
      <c r="M1322" s="13"/>
      <c r="N1322" s="14"/>
      <c r="O1322" s="14"/>
      <c r="P1322" s="4"/>
    </row>
    <row r="1323" spans="2:16">
      <c r="B1323" s="7"/>
      <c r="C1323" s="7"/>
      <c r="D1323" s="18"/>
      <c r="E1323" s="19"/>
      <c r="F1323" s="20"/>
      <c r="G1323" s="21"/>
      <c r="H1323" s="21"/>
      <c r="I1323" s="21"/>
      <c r="J1323" s="21"/>
      <c r="K1323" s="19"/>
      <c r="L1323" s="19"/>
      <c r="M1323" s="13"/>
      <c r="N1323" s="14"/>
      <c r="O1323" s="14"/>
      <c r="P1323" s="4"/>
    </row>
    <row r="1324" spans="2:16">
      <c r="B1324" s="7"/>
      <c r="C1324" s="7"/>
      <c r="D1324" s="18"/>
      <c r="E1324" s="19"/>
      <c r="F1324" s="20"/>
      <c r="G1324" s="21"/>
      <c r="H1324" s="21"/>
      <c r="I1324" s="21"/>
      <c r="J1324" s="21"/>
      <c r="K1324" s="19"/>
      <c r="L1324" s="19"/>
      <c r="M1324" s="13"/>
      <c r="N1324" s="14"/>
      <c r="O1324" s="14"/>
      <c r="P1324" s="4"/>
    </row>
    <row r="1325" spans="2:16">
      <c r="B1325" s="7"/>
      <c r="C1325" s="7"/>
      <c r="D1325" s="18"/>
      <c r="E1325" s="19"/>
      <c r="F1325" s="20"/>
      <c r="G1325" s="21"/>
      <c r="H1325" s="21"/>
      <c r="I1325" s="21"/>
      <c r="J1325" s="21"/>
      <c r="K1325" s="19"/>
      <c r="L1325" s="19"/>
      <c r="M1325" s="13"/>
      <c r="N1325" s="14"/>
      <c r="O1325" s="14"/>
      <c r="P1325" s="4"/>
    </row>
    <row r="1326" spans="2:16">
      <c r="B1326" s="7"/>
      <c r="C1326" s="7"/>
      <c r="D1326" s="18"/>
      <c r="E1326" s="19"/>
      <c r="F1326" s="20"/>
      <c r="G1326" s="21"/>
      <c r="H1326" s="21"/>
      <c r="I1326" s="21"/>
      <c r="J1326" s="21"/>
      <c r="K1326" s="19"/>
      <c r="L1326" s="19"/>
      <c r="M1326" s="13"/>
      <c r="N1326" s="14"/>
      <c r="O1326" s="14"/>
      <c r="P1326" s="4"/>
    </row>
    <row r="1327" spans="2:16">
      <c r="B1327" s="7"/>
      <c r="C1327" s="7"/>
      <c r="D1327" s="18"/>
      <c r="E1327" s="19"/>
      <c r="F1327" s="20"/>
      <c r="G1327" s="21"/>
      <c r="H1327" s="21"/>
      <c r="I1327" s="21"/>
      <c r="J1327" s="21"/>
      <c r="K1327" s="19"/>
      <c r="L1327" s="19"/>
      <c r="M1327" s="13"/>
      <c r="N1327" s="14"/>
      <c r="O1327" s="14"/>
      <c r="P1327" s="4"/>
    </row>
    <row r="1328" spans="2:16">
      <c r="B1328" s="7"/>
      <c r="C1328" s="7"/>
      <c r="D1328" s="18"/>
      <c r="E1328" s="19"/>
      <c r="F1328" s="20"/>
      <c r="G1328" s="21"/>
      <c r="H1328" s="21"/>
      <c r="I1328" s="21"/>
      <c r="J1328" s="21"/>
      <c r="K1328" s="19"/>
      <c r="L1328" s="19"/>
      <c r="M1328" s="13"/>
      <c r="N1328" s="14"/>
      <c r="O1328" s="14"/>
      <c r="P1328" s="4"/>
    </row>
    <row r="1329" spans="2:16">
      <c r="B1329" s="7"/>
      <c r="C1329" s="7"/>
      <c r="D1329" s="18"/>
      <c r="E1329" s="19"/>
      <c r="F1329" s="20"/>
      <c r="G1329" s="21"/>
      <c r="H1329" s="21"/>
      <c r="I1329" s="21"/>
      <c r="J1329" s="21"/>
      <c r="K1329" s="19"/>
      <c r="L1329" s="19"/>
      <c r="M1329" s="13"/>
      <c r="N1329" s="14"/>
      <c r="O1329" s="14"/>
      <c r="P1329" s="4"/>
    </row>
    <row r="1330" spans="2:16">
      <c r="B1330" s="15"/>
      <c r="C1330" s="17"/>
      <c r="D1330" s="18"/>
      <c r="E1330" s="19"/>
      <c r="F1330" s="20"/>
      <c r="G1330" s="21"/>
      <c r="H1330" s="21"/>
      <c r="I1330" s="21"/>
      <c r="J1330" s="21"/>
      <c r="K1330" s="19"/>
      <c r="L1330" s="19"/>
      <c r="M1330" s="13"/>
      <c r="N1330" s="14"/>
      <c r="O1330" s="14"/>
      <c r="P1330" s="4"/>
    </row>
    <row r="1331" spans="2:16">
      <c r="B1331" s="15"/>
      <c r="C1331" s="17"/>
      <c r="D1331" s="18"/>
      <c r="E1331" s="19"/>
      <c r="F1331" s="20"/>
      <c r="G1331" s="21"/>
      <c r="H1331" s="21"/>
      <c r="I1331" s="21"/>
      <c r="J1331" s="21"/>
      <c r="K1331" s="19"/>
      <c r="L1331" s="19"/>
      <c r="M1331" s="13"/>
      <c r="N1331" s="14"/>
      <c r="O1331" s="14"/>
      <c r="P1331" s="4"/>
    </row>
    <row r="1332" spans="2:16">
      <c r="B1332" s="15"/>
      <c r="C1332" s="17"/>
      <c r="D1332" s="18"/>
      <c r="E1332" s="19"/>
      <c r="F1332" s="20"/>
      <c r="G1332" s="21"/>
      <c r="H1332" s="21"/>
      <c r="I1332" s="21"/>
      <c r="J1332" s="21"/>
      <c r="K1332" s="19"/>
      <c r="L1332" s="19"/>
      <c r="M1332" s="13"/>
      <c r="N1332" s="14"/>
      <c r="O1332" s="14"/>
      <c r="P1332" s="4"/>
    </row>
    <row r="1333" spans="2:16">
      <c r="B1333" s="15"/>
      <c r="C1333" s="17"/>
      <c r="D1333" s="18"/>
      <c r="E1333" s="19"/>
      <c r="F1333" s="20"/>
      <c r="G1333" s="21"/>
      <c r="H1333" s="21"/>
      <c r="I1333" s="21"/>
      <c r="J1333" s="21"/>
      <c r="K1333" s="19"/>
      <c r="L1333" s="19"/>
      <c r="M1333" s="13"/>
      <c r="N1333" s="14"/>
      <c r="O1333" s="14"/>
      <c r="P1333" s="4"/>
    </row>
    <row r="1334" spans="2:16">
      <c r="B1334" s="15"/>
      <c r="C1334" s="17"/>
      <c r="D1334" s="18"/>
      <c r="E1334" s="19"/>
      <c r="F1334" s="20"/>
      <c r="G1334" s="21"/>
      <c r="H1334" s="21"/>
      <c r="I1334" s="21"/>
      <c r="J1334" s="21"/>
      <c r="K1334" s="19"/>
      <c r="L1334" s="19"/>
      <c r="M1334" s="13"/>
      <c r="N1334" s="14"/>
      <c r="O1334" s="14"/>
      <c r="P1334" s="4"/>
    </row>
    <row r="1335" spans="2:16">
      <c r="B1335" s="15"/>
      <c r="C1335" s="17"/>
      <c r="D1335" s="18"/>
      <c r="E1335" s="19"/>
      <c r="F1335" s="20"/>
      <c r="G1335" s="21"/>
      <c r="H1335" s="21"/>
      <c r="I1335" s="21"/>
      <c r="J1335" s="21"/>
      <c r="K1335" s="19"/>
      <c r="L1335" s="19"/>
      <c r="M1335" s="13"/>
      <c r="N1335" s="14"/>
      <c r="O1335" s="14"/>
      <c r="P1335" s="4"/>
    </row>
    <row r="1336" spans="2:16">
      <c r="B1336" s="15"/>
      <c r="C1336" s="17"/>
      <c r="D1336" s="18"/>
      <c r="E1336" s="19"/>
      <c r="F1336" s="20"/>
      <c r="G1336" s="21"/>
      <c r="H1336" s="21"/>
      <c r="I1336" s="21"/>
      <c r="J1336" s="21"/>
      <c r="K1336" s="19"/>
      <c r="L1336" s="19"/>
      <c r="M1336" s="13"/>
      <c r="N1336" s="14"/>
      <c r="O1336" s="14"/>
      <c r="P1336" s="4"/>
    </row>
    <row r="1337" spans="2:16">
      <c r="B1337" s="15"/>
      <c r="C1337" s="17"/>
      <c r="D1337" s="18"/>
      <c r="E1337" s="19"/>
      <c r="F1337" s="20"/>
      <c r="G1337" s="21"/>
      <c r="H1337" s="21"/>
      <c r="I1337" s="21"/>
      <c r="J1337" s="21"/>
      <c r="K1337" s="19"/>
      <c r="L1337" s="19"/>
      <c r="M1337" s="13"/>
      <c r="N1337" s="14"/>
      <c r="O1337" s="14"/>
      <c r="P1337" s="4"/>
    </row>
    <row r="1338" spans="2:16">
      <c r="B1338" s="15"/>
      <c r="C1338" s="17"/>
      <c r="D1338" s="18"/>
      <c r="E1338" s="19"/>
      <c r="F1338" s="20"/>
      <c r="G1338" s="21"/>
      <c r="H1338" s="21"/>
      <c r="I1338" s="21"/>
      <c r="J1338" s="21"/>
      <c r="K1338" s="19"/>
      <c r="L1338" s="19"/>
      <c r="M1338" s="13"/>
      <c r="N1338" s="14"/>
      <c r="O1338" s="14"/>
      <c r="P1338" s="4"/>
    </row>
    <row r="1339" spans="2:16">
      <c r="B1339" s="15"/>
      <c r="C1339" s="17"/>
      <c r="D1339" s="18"/>
      <c r="E1339" s="19"/>
      <c r="F1339" s="20"/>
      <c r="G1339" s="21"/>
      <c r="H1339" s="21"/>
      <c r="I1339" s="21"/>
      <c r="J1339" s="21"/>
      <c r="K1339" s="19"/>
      <c r="L1339" s="19"/>
      <c r="M1339" s="13"/>
      <c r="N1339" s="14"/>
      <c r="O1339" s="14"/>
      <c r="P1339" s="4"/>
    </row>
    <row r="1340" spans="2:16">
      <c r="B1340" s="15"/>
      <c r="C1340" s="17"/>
      <c r="D1340" s="18"/>
      <c r="E1340" s="19"/>
      <c r="F1340" s="20"/>
      <c r="G1340" s="21"/>
      <c r="H1340" s="21"/>
      <c r="I1340" s="21"/>
      <c r="J1340" s="21"/>
      <c r="K1340" s="19"/>
      <c r="L1340" s="19"/>
      <c r="M1340" s="13"/>
      <c r="N1340" s="14"/>
      <c r="O1340" s="14"/>
      <c r="P1340" s="4"/>
    </row>
    <row r="1341" spans="2:16">
      <c r="B1341" s="15"/>
      <c r="C1341" s="17"/>
      <c r="D1341" s="18"/>
      <c r="E1341" s="19"/>
      <c r="F1341" s="20"/>
      <c r="G1341" s="21"/>
      <c r="H1341" s="21"/>
      <c r="I1341" s="21"/>
      <c r="J1341" s="21"/>
      <c r="K1341" s="19"/>
      <c r="L1341" s="19"/>
      <c r="M1341" s="13"/>
      <c r="N1341" s="14"/>
      <c r="O1341" s="14"/>
      <c r="P1341" s="4"/>
    </row>
    <row r="1342" spans="2:16">
      <c r="B1342" s="15"/>
      <c r="C1342" s="17"/>
      <c r="D1342" s="18"/>
      <c r="E1342" s="19"/>
      <c r="F1342" s="20"/>
      <c r="G1342" s="21"/>
      <c r="H1342" s="21"/>
      <c r="I1342" s="21"/>
      <c r="J1342" s="21"/>
      <c r="K1342" s="19"/>
      <c r="L1342" s="19"/>
      <c r="M1342" s="13"/>
      <c r="N1342" s="14"/>
      <c r="O1342" s="14"/>
      <c r="P1342" s="4"/>
    </row>
    <row r="1343" spans="2:16">
      <c r="B1343" s="15"/>
      <c r="C1343" s="17"/>
      <c r="D1343" s="18"/>
      <c r="E1343" s="19"/>
      <c r="F1343" s="20"/>
      <c r="G1343" s="21"/>
      <c r="H1343" s="21"/>
      <c r="I1343" s="21"/>
      <c r="J1343" s="21"/>
      <c r="K1343" s="19"/>
      <c r="L1343" s="19"/>
      <c r="M1343" s="13"/>
      <c r="N1343" s="14"/>
      <c r="O1343" s="14"/>
      <c r="P1343" s="4"/>
    </row>
    <row r="1344" spans="2:16">
      <c r="B1344" s="15"/>
      <c r="C1344" s="17"/>
      <c r="D1344" s="18"/>
      <c r="E1344" s="19"/>
      <c r="F1344" s="20"/>
      <c r="G1344" s="21"/>
      <c r="H1344" s="21"/>
      <c r="I1344" s="21"/>
      <c r="J1344" s="21"/>
      <c r="K1344" s="19"/>
      <c r="L1344" s="19"/>
      <c r="M1344" s="13"/>
      <c r="N1344" s="14"/>
      <c r="O1344" s="14"/>
      <c r="P1344" s="4"/>
    </row>
    <row r="1345" spans="2:16">
      <c r="B1345" s="15"/>
      <c r="C1345" s="17"/>
      <c r="D1345" s="18"/>
      <c r="E1345" s="19"/>
      <c r="F1345" s="20"/>
      <c r="G1345" s="21"/>
      <c r="H1345" s="21"/>
      <c r="I1345" s="21"/>
      <c r="J1345" s="21"/>
      <c r="K1345" s="19"/>
      <c r="L1345" s="19"/>
      <c r="M1345" s="13"/>
      <c r="N1345" s="14"/>
      <c r="O1345" s="14"/>
      <c r="P1345" s="4"/>
    </row>
    <row r="1346" spans="2:16">
      <c r="B1346" s="15"/>
      <c r="C1346" s="17"/>
      <c r="D1346" s="18"/>
      <c r="E1346" s="19"/>
      <c r="F1346" s="20"/>
      <c r="G1346" s="21"/>
      <c r="H1346" s="21"/>
      <c r="I1346" s="21"/>
      <c r="J1346" s="21"/>
      <c r="K1346" s="19"/>
      <c r="L1346" s="19"/>
      <c r="M1346" s="13"/>
      <c r="N1346" s="14"/>
      <c r="O1346" s="14"/>
      <c r="P1346" s="4"/>
    </row>
    <row r="1347" spans="2:16">
      <c r="B1347" s="15"/>
      <c r="C1347" s="17"/>
      <c r="D1347" s="18"/>
      <c r="E1347" s="19"/>
      <c r="F1347" s="20"/>
      <c r="G1347" s="21"/>
      <c r="H1347" s="21"/>
      <c r="I1347" s="21"/>
      <c r="J1347" s="21"/>
      <c r="K1347" s="19"/>
      <c r="L1347" s="19"/>
      <c r="M1347" s="13"/>
      <c r="N1347" s="14"/>
      <c r="O1347" s="14"/>
      <c r="P1347" s="4"/>
    </row>
    <row r="1348" spans="2:16">
      <c r="B1348" s="15"/>
      <c r="C1348" s="17"/>
      <c r="D1348" s="18"/>
      <c r="E1348" s="19"/>
      <c r="F1348" s="20"/>
      <c r="G1348" s="21"/>
      <c r="H1348" s="21"/>
      <c r="I1348" s="21"/>
      <c r="J1348" s="21"/>
      <c r="K1348" s="19"/>
      <c r="L1348" s="19"/>
      <c r="M1348" s="13"/>
      <c r="N1348" s="14"/>
      <c r="O1348" s="14"/>
      <c r="P1348" s="4"/>
    </row>
    <row r="1349" spans="2:16">
      <c r="B1349" s="15"/>
      <c r="C1349" s="17"/>
      <c r="D1349" s="18"/>
      <c r="E1349" s="19"/>
      <c r="F1349" s="20"/>
      <c r="G1349" s="21"/>
      <c r="H1349" s="21"/>
      <c r="I1349" s="21"/>
      <c r="J1349" s="21"/>
      <c r="K1349" s="19"/>
      <c r="L1349" s="19"/>
      <c r="M1349" s="13"/>
      <c r="N1349" s="14"/>
      <c r="O1349" s="14"/>
      <c r="P1349" s="4"/>
    </row>
    <row r="1350" spans="2:16">
      <c r="B1350" s="15"/>
      <c r="C1350" s="17"/>
      <c r="D1350" s="18"/>
      <c r="E1350" s="19"/>
      <c r="F1350" s="20"/>
      <c r="G1350" s="21"/>
      <c r="H1350" s="21"/>
      <c r="I1350" s="21"/>
      <c r="J1350" s="21"/>
      <c r="K1350" s="19"/>
      <c r="L1350" s="19"/>
      <c r="M1350" s="13"/>
      <c r="N1350" s="14"/>
      <c r="O1350" s="14"/>
      <c r="P1350" s="4"/>
    </row>
    <row r="1351" spans="2:16">
      <c r="B1351" s="15"/>
      <c r="C1351" s="17"/>
      <c r="D1351" s="18"/>
      <c r="E1351" s="19"/>
      <c r="F1351" s="20"/>
      <c r="G1351" s="21"/>
      <c r="H1351" s="21"/>
      <c r="I1351" s="21"/>
      <c r="J1351" s="21"/>
      <c r="K1351" s="19"/>
      <c r="L1351" s="19"/>
      <c r="M1351" s="13"/>
      <c r="N1351" s="14"/>
      <c r="O1351" s="14"/>
      <c r="P1351" s="4"/>
    </row>
    <row r="1352" spans="2:16">
      <c r="B1352" s="15"/>
      <c r="C1352" s="17"/>
      <c r="D1352" s="18"/>
      <c r="E1352" s="19"/>
      <c r="F1352" s="20"/>
      <c r="G1352" s="21"/>
      <c r="H1352" s="21"/>
      <c r="I1352" s="21"/>
      <c r="J1352" s="21"/>
      <c r="K1352" s="19"/>
      <c r="L1352" s="19"/>
      <c r="M1352" s="13"/>
      <c r="N1352" s="14"/>
      <c r="O1352" s="14"/>
      <c r="P1352" s="4"/>
    </row>
    <row r="1353" spans="2:16">
      <c r="B1353" s="15"/>
      <c r="C1353" s="17"/>
      <c r="D1353" s="18"/>
      <c r="E1353" s="19"/>
      <c r="F1353" s="20"/>
      <c r="G1353" s="21"/>
      <c r="H1353" s="21"/>
      <c r="I1353" s="21"/>
      <c r="J1353" s="21"/>
      <c r="K1353" s="19"/>
      <c r="L1353" s="19"/>
      <c r="M1353" s="13"/>
      <c r="N1353" s="14"/>
      <c r="O1353" s="14"/>
      <c r="P1353" s="4"/>
    </row>
    <row r="1354" spans="2:16">
      <c r="B1354" s="15"/>
      <c r="C1354" s="17"/>
      <c r="D1354" s="18"/>
      <c r="E1354" s="19"/>
      <c r="F1354" s="20"/>
      <c r="G1354" s="21"/>
      <c r="H1354" s="21"/>
      <c r="I1354" s="21"/>
      <c r="J1354" s="21"/>
      <c r="K1354" s="19"/>
      <c r="L1354" s="19"/>
      <c r="M1354" s="13"/>
      <c r="N1354" s="14"/>
      <c r="O1354" s="14"/>
      <c r="P1354" s="4"/>
    </row>
    <row r="1355" spans="2:16">
      <c r="B1355" s="15"/>
      <c r="C1355" s="17"/>
      <c r="D1355" s="18"/>
      <c r="E1355" s="19"/>
      <c r="F1355" s="20"/>
      <c r="G1355" s="21"/>
      <c r="H1355" s="21"/>
      <c r="I1355" s="21"/>
      <c r="J1355" s="21"/>
      <c r="K1355" s="19"/>
      <c r="L1355" s="19"/>
      <c r="M1355" s="13"/>
      <c r="N1355" s="14"/>
      <c r="O1355" s="14"/>
      <c r="P1355" s="4"/>
    </row>
    <row r="1356" spans="2:16">
      <c r="B1356" s="15"/>
      <c r="C1356" s="17"/>
      <c r="D1356" s="18"/>
      <c r="E1356" s="19"/>
      <c r="F1356" s="20"/>
      <c r="G1356" s="21"/>
      <c r="H1356" s="21"/>
      <c r="I1356" s="21"/>
      <c r="J1356" s="21"/>
      <c r="K1356" s="19"/>
      <c r="L1356" s="19"/>
      <c r="M1356" s="13"/>
      <c r="N1356" s="14"/>
      <c r="O1356" s="14"/>
      <c r="P1356" s="4"/>
    </row>
    <row r="1357" spans="2:16">
      <c r="B1357" s="15"/>
      <c r="C1357" s="17"/>
      <c r="D1357" s="18"/>
      <c r="E1357" s="19"/>
      <c r="F1357" s="20"/>
      <c r="G1357" s="21"/>
      <c r="H1357" s="21"/>
      <c r="I1357" s="21"/>
      <c r="J1357" s="21"/>
      <c r="K1357" s="19"/>
      <c r="L1357" s="19"/>
      <c r="M1357" s="13"/>
      <c r="N1357" s="14"/>
      <c r="O1357" s="14"/>
      <c r="P1357" s="4"/>
    </row>
    <row r="1358" spans="2:16">
      <c r="B1358" s="15"/>
      <c r="C1358" s="17"/>
      <c r="D1358" s="18"/>
      <c r="E1358" s="19"/>
      <c r="F1358" s="20"/>
      <c r="G1358" s="21"/>
      <c r="H1358" s="21"/>
      <c r="I1358" s="21"/>
      <c r="J1358" s="21"/>
      <c r="K1358" s="19"/>
      <c r="L1358" s="19"/>
      <c r="M1358" s="13"/>
      <c r="N1358" s="14"/>
      <c r="O1358" s="14"/>
      <c r="P1358" s="4"/>
    </row>
    <row r="1359" spans="2:16">
      <c r="B1359" s="15"/>
      <c r="C1359" s="17"/>
      <c r="D1359" s="18"/>
      <c r="E1359" s="19"/>
      <c r="F1359" s="20"/>
      <c r="G1359" s="21"/>
      <c r="H1359" s="21"/>
      <c r="I1359" s="21"/>
      <c r="J1359" s="21"/>
      <c r="K1359" s="19"/>
      <c r="L1359" s="19"/>
      <c r="M1359" s="13"/>
      <c r="N1359" s="14"/>
      <c r="O1359" s="14"/>
      <c r="P1359" s="4"/>
    </row>
    <row r="1360" spans="2:16">
      <c r="B1360" s="15"/>
      <c r="C1360" s="17"/>
      <c r="D1360" s="18"/>
      <c r="E1360" s="19"/>
      <c r="F1360" s="20"/>
      <c r="G1360" s="21"/>
      <c r="H1360" s="21"/>
      <c r="I1360" s="21"/>
      <c r="J1360" s="21"/>
      <c r="K1360" s="19"/>
      <c r="L1360" s="19"/>
      <c r="M1360" s="13"/>
      <c r="N1360" s="14"/>
      <c r="O1360" s="14"/>
      <c r="P1360" s="4"/>
    </row>
    <row r="1361" spans="2:16">
      <c r="B1361" s="15"/>
      <c r="C1361" s="17"/>
      <c r="D1361" s="18"/>
      <c r="E1361" s="19"/>
      <c r="F1361" s="20"/>
      <c r="G1361" s="21"/>
      <c r="H1361" s="21"/>
      <c r="I1361" s="21"/>
      <c r="J1361" s="21"/>
      <c r="K1361" s="19"/>
      <c r="L1361" s="19"/>
      <c r="M1361" s="13"/>
      <c r="N1361" s="14"/>
      <c r="O1361" s="14"/>
      <c r="P1361" s="4"/>
    </row>
    <row r="1362" spans="2:16">
      <c r="B1362" s="15"/>
      <c r="C1362" s="17"/>
      <c r="D1362" s="18"/>
      <c r="E1362" s="19"/>
      <c r="F1362" s="20"/>
      <c r="G1362" s="21"/>
      <c r="H1362" s="21"/>
      <c r="I1362" s="21"/>
      <c r="J1362" s="21"/>
      <c r="K1362" s="19"/>
      <c r="L1362" s="19"/>
      <c r="M1362" s="13"/>
      <c r="N1362" s="14"/>
      <c r="O1362" s="14"/>
      <c r="P1362" s="4"/>
    </row>
    <row r="1363" spans="2:16">
      <c r="B1363" s="15"/>
      <c r="C1363" s="17"/>
      <c r="D1363" s="18"/>
      <c r="E1363" s="19"/>
      <c r="F1363" s="20"/>
      <c r="G1363" s="21"/>
      <c r="H1363" s="21"/>
      <c r="I1363" s="21"/>
      <c r="J1363" s="21"/>
      <c r="K1363" s="19"/>
      <c r="L1363" s="19"/>
      <c r="M1363" s="13"/>
      <c r="N1363" s="14"/>
      <c r="O1363" s="14"/>
      <c r="P1363" s="4"/>
    </row>
    <row r="1364" spans="2:16">
      <c r="B1364" s="15"/>
      <c r="C1364" s="17"/>
      <c r="D1364" s="18"/>
      <c r="E1364" s="19"/>
      <c r="F1364" s="20"/>
      <c r="G1364" s="21"/>
      <c r="H1364" s="21"/>
      <c r="I1364" s="21"/>
      <c r="J1364" s="21"/>
      <c r="K1364" s="19"/>
      <c r="L1364" s="19"/>
      <c r="M1364" s="13"/>
      <c r="N1364" s="14"/>
      <c r="O1364" s="14"/>
      <c r="P1364" s="4"/>
    </row>
    <row r="1365" spans="2:16">
      <c r="B1365" s="15"/>
      <c r="C1365" s="17"/>
      <c r="D1365" s="18"/>
      <c r="E1365" s="19"/>
      <c r="F1365" s="20"/>
      <c r="G1365" s="21"/>
      <c r="H1365" s="21"/>
      <c r="I1365" s="21"/>
      <c r="J1365" s="21"/>
      <c r="K1365" s="19"/>
      <c r="L1365" s="19"/>
      <c r="M1365" s="13"/>
      <c r="N1365" s="14"/>
      <c r="O1365" s="14"/>
      <c r="P1365" s="4"/>
    </row>
    <row r="1366" spans="2:16">
      <c r="B1366" s="15"/>
      <c r="C1366" s="17"/>
      <c r="D1366" s="18"/>
      <c r="E1366" s="19"/>
      <c r="F1366" s="20"/>
      <c r="G1366" s="21"/>
      <c r="H1366" s="21"/>
      <c r="I1366" s="21"/>
      <c r="J1366" s="21"/>
      <c r="K1366" s="19"/>
      <c r="L1366" s="19"/>
      <c r="M1366" s="13"/>
      <c r="N1366" s="14"/>
      <c r="O1366" s="14"/>
      <c r="P1366" s="4"/>
    </row>
    <row r="1367" spans="2:16">
      <c r="B1367" s="15"/>
      <c r="C1367" s="17"/>
      <c r="D1367" s="18"/>
      <c r="E1367" s="19"/>
      <c r="F1367" s="20"/>
      <c r="G1367" s="21"/>
      <c r="H1367" s="21"/>
      <c r="I1367" s="21"/>
      <c r="J1367" s="21"/>
      <c r="K1367" s="19"/>
      <c r="L1367" s="19"/>
      <c r="M1367" s="13"/>
      <c r="N1367" s="14"/>
      <c r="O1367" s="14"/>
      <c r="P1367" s="4"/>
    </row>
    <row r="1368" spans="2:16">
      <c r="B1368" s="15"/>
      <c r="C1368" s="17"/>
      <c r="D1368" s="18"/>
      <c r="E1368" s="19"/>
      <c r="F1368" s="20"/>
      <c r="G1368" s="21"/>
      <c r="H1368" s="21"/>
      <c r="I1368" s="21"/>
      <c r="J1368" s="21"/>
      <c r="K1368" s="19"/>
      <c r="L1368" s="19"/>
      <c r="M1368" s="13"/>
      <c r="N1368" s="14"/>
      <c r="O1368" s="14"/>
      <c r="P1368" s="4"/>
    </row>
    <row r="1369" spans="2:16">
      <c r="B1369" s="15"/>
      <c r="C1369" s="17"/>
      <c r="D1369" s="18"/>
      <c r="E1369" s="19"/>
      <c r="F1369" s="20"/>
      <c r="G1369" s="21"/>
      <c r="H1369" s="21"/>
      <c r="I1369" s="21"/>
      <c r="J1369" s="21"/>
      <c r="K1369" s="19"/>
      <c r="L1369" s="19"/>
      <c r="M1369" s="13"/>
      <c r="N1369" s="14"/>
      <c r="O1369" s="14"/>
      <c r="P1369" s="4"/>
    </row>
    <row r="1370" spans="2:16">
      <c r="B1370" s="15"/>
      <c r="C1370" s="17"/>
      <c r="D1370" s="18"/>
      <c r="E1370" s="19"/>
      <c r="F1370" s="20"/>
      <c r="G1370" s="21"/>
      <c r="H1370" s="21"/>
      <c r="I1370" s="21"/>
      <c r="J1370" s="21"/>
      <c r="K1370" s="19"/>
      <c r="L1370" s="19"/>
      <c r="M1370" s="13"/>
      <c r="N1370" s="14"/>
      <c r="O1370" s="14"/>
      <c r="P1370" s="4"/>
    </row>
    <row r="1371" spans="2:16">
      <c r="B1371" s="15"/>
      <c r="C1371" s="17"/>
      <c r="D1371" s="18"/>
      <c r="E1371" s="19"/>
      <c r="F1371" s="20"/>
      <c r="G1371" s="21"/>
      <c r="H1371" s="21"/>
      <c r="I1371" s="21"/>
      <c r="J1371" s="21"/>
      <c r="K1371" s="19"/>
      <c r="L1371" s="19"/>
      <c r="M1371" s="13"/>
      <c r="N1371" s="14"/>
      <c r="O1371" s="14"/>
      <c r="P1371" s="4"/>
    </row>
    <row r="1372" spans="2:16">
      <c r="B1372" s="15"/>
      <c r="C1372" s="17"/>
      <c r="D1372" s="18"/>
      <c r="E1372" s="19"/>
      <c r="F1372" s="20"/>
      <c r="G1372" s="21"/>
      <c r="H1372" s="21"/>
      <c r="I1372" s="21"/>
      <c r="J1372" s="21"/>
      <c r="K1372" s="19"/>
      <c r="L1372" s="19"/>
      <c r="M1372" s="13"/>
      <c r="N1372" s="14"/>
      <c r="O1372" s="14"/>
      <c r="P1372" s="4"/>
    </row>
    <row r="1373" spans="2:16">
      <c r="B1373" s="15"/>
      <c r="C1373" s="17"/>
      <c r="D1373" s="18"/>
      <c r="E1373" s="19"/>
      <c r="F1373" s="20"/>
      <c r="G1373" s="21"/>
      <c r="H1373" s="21"/>
      <c r="I1373" s="21"/>
      <c r="J1373" s="21"/>
      <c r="K1373" s="19"/>
      <c r="L1373" s="19"/>
      <c r="M1373" s="13"/>
      <c r="N1373" s="14"/>
      <c r="O1373" s="14"/>
      <c r="P1373" s="4"/>
    </row>
    <row r="1374" spans="2:16">
      <c r="B1374" s="15"/>
      <c r="C1374" s="17"/>
      <c r="D1374" s="18"/>
      <c r="E1374" s="19"/>
      <c r="F1374" s="20"/>
      <c r="G1374" s="21"/>
      <c r="H1374" s="21"/>
      <c r="I1374" s="21"/>
      <c r="J1374" s="21"/>
      <c r="K1374" s="19"/>
      <c r="L1374" s="19"/>
      <c r="M1374" s="13"/>
      <c r="N1374" s="14"/>
      <c r="O1374" s="14"/>
      <c r="P1374" s="4"/>
    </row>
    <row r="1375" spans="2:16">
      <c r="B1375" s="15"/>
      <c r="C1375" s="17"/>
      <c r="D1375" s="18"/>
      <c r="E1375" s="19"/>
      <c r="F1375" s="20"/>
      <c r="G1375" s="21"/>
      <c r="H1375" s="21"/>
      <c r="I1375" s="21"/>
      <c r="J1375" s="21"/>
      <c r="K1375" s="19"/>
      <c r="L1375" s="19"/>
      <c r="M1375" s="13"/>
      <c r="N1375" s="14"/>
      <c r="O1375" s="14"/>
      <c r="P1375" s="4"/>
    </row>
    <row r="1376" spans="2:16">
      <c r="B1376" s="15"/>
      <c r="C1376" s="17"/>
      <c r="D1376" s="18"/>
      <c r="E1376" s="19"/>
      <c r="F1376" s="20"/>
      <c r="G1376" s="21"/>
      <c r="H1376" s="21"/>
      <c r="I1376" s="21"/>
      <c r="J1376" s="21"/>
      <c r="K1376" s="19"/>
      <c r="L1376" s="19"/>
      <c r="M1376" s="13"/>
      <c r="N1376" s="14"/>
      <c r="O1376" s="14"/>
      <c r="P1376" s="4"/>
    </row>
    <row r="1377" spans="2:16">
      <c r="B1377" s="15"/>
      <c r="C1377" s="17"/>
      <c r="D1377" s="18"/>
      <c r="E1377" s="19"/>
      <c r="F1377" s="20"/>
      <c r="G1377" s="21"/>
      <c r="H1377" s="21"/>
      <c r="I1377" s="21"/>
      <c r="J1377" s="21"/>
      <c r="K1377" s="19"/>
      <c r="L1377" s="19"/>
      <c r="M1377" s="13"/>
      <c r="N1377" s="14"/>
      <c r="O1377" s="14"/>
      <c r="P1377" s="4"/>
    </row>
    <row r="1378" spans="2:16">
      <c r="B1378" s="15"/>
      <c r="C1378" s="17"/>
      <c r="D1378" s="18"/>
      <c r="E1378" s="19"/>
      <c r="F1378" s="20"/>
      <c r="G1378" s="21"/>
      <c r="H1378" s="21"/>
      <c r="I1378" s="21"/>
      <c r="J1378" s="21"/>
      <c r="K1378" s="19"/>
      <c r="L1378" s="19"/>
      <c r="M1378" s="13"/>
      <c r="N1378" s="14"/>
      <c r="O1378" s="14"/>
      <c r="P1378" s="4"/>
    </row>
    <row r="1379" spans="2:16">
      <c r="B1379" s="15"/>
      <c r="C1379" s="17"/>
      <c r="D1379" s="18"/>
      <c r="E1379" s="19"/>
      <c r="F1379" s="20"/>
      <c r="G1379" s="21"/>
      <c r="H1379" s="21"/>
      <c r="I1379" s="21"/>
      <c r="J1379" s="21"/>
      <c r="K1379" s="19"/>
      <c r="L1379" s="19"/>
      <c r="M1379" s="13"/>
      <c r="N1379" s="14"/>
      <c r="O1379" s="14"/>
      <c r="P1379" s="4"/>
    </row>
    <row r="1380" spans="2:16">
      <c r="B1380" s="15"/>
      <c r="C1380" s="17"/>
      <c r="D1380" s="18"/>
      <c r="E1380" s="19"/>
      <c r="F1380" s="20"/>
      <c r="G1380" s="21"/>
      <c r="H1380" s="21"/>
      <c r="I1380" s="21"/>
      <c r="J1380" s="21"/>
      <c r="K1380" s="19"/>
      <c r="L1380" s="19"/>
      <c r="M1380" s="13"/>
      <c r="N1380" s="14"/>
      <c r="O1380" s="14"/>
      <c r="P1380" s="4"/>
    </row>
    <row r="1381" spans="2:16">
      <c r="B1381" s="15"/>
      <c r="C1381" s="17"/>
      <c r="D1381" s="18"/>
      <c r="E1381" s="19"/>
      <c r="F1381" s="20"/>
      <c r="G1381" s="21"/>
      <c r="H1381" s="21"/>
      <c r="I1381" s="21"/>
      <c r="J1381" s="21"/>
      <c r="K1381" s="19"/>
      <c r="L1381" s="19"/>
      <c r="M1381" s="13"/>
      <c r="N1381" s="14"/>
      <c r="O1381" s="14"/>
      <c r="P1381" s="4"/>
    </row>
    <row r="1382" spans="2:16">
      <c r="B1382" s="15"/>
      <c r="C1382" s="17"/>
      <c r="D1382" s="18"/>
      <c r="E1382" s="19"/>
      <c r="F1382" s="20"/>
      <c r="G1382" s="21"/>
      <c r="H1382" s="21"/>
      <c r="I1382" s="21"/>
      <c r="J1382" s="21"/>
      <c r="K1382" s="19"/>
      <c r="L1382" s="19"/>
      <c r="M1382" s="13"/>
      <c r="N1382" s="14"/>
      <c r="O1382" s="14"/>
      <c r="P1382" s="4"/>
    </row>
    <row r="1383" spans="2:16">
      <c r="B1383" s="15"/>
      <c r="C1383" s="17"/>
      <c r="D1383" s="18"/>
      <c r="E1383" s="19"/>
      <c r="F1383" s="20"/>
      <c r="G1383" s="21"/>
      <c r="H1383" s="21"/>
      <c r="I1383" s="21"/>
      <c r="J1383" s="21"/>
      <c r="K1383" s="19"/>
      <c r="L1383" s="19"/>
      <c r="M1383" s="13"/>
      <c r="N1383" s="14"/>
      <c r="O1383" s="14"/>
      <c r="P1383" s="4"/>
    </row>
    <row r="1384" spans="2:16">
      <c r="B1384" s="15"/>
      <c r="C1384" s="17"/>
      <c r="D1384" s="18"/>
      <c r="E1384" s="19"/>
      <c r="F1384" s="20"/>
      <c r="G1384" s="21"/>
      <c r="H1384" s="21"/>
      <c r="I1384" s="21"/>
      <c r="J1384" s="21"/>
      <c r="K1384" s="19"/>
      <c r="L1384" s="19"/>
      <c r="M1384" s="13"/>
      <c r="N1384" s="14"/>
      <c r="O1384" s="14"/>
      <c r="P1384" s="4"/>
    </row>
    <row r="1385" spans="2:16">
      <c r="B1385" s="15"/>
      <c r="C1385" s="17"/>
      <c r="D1385" s="18"/>
      <c r="E1385" s="19"/>
      <c r="F1385" s="20"/>
      <c r="G1385" s="21"/>
      <c r="H1385" s="21"/>
      <c r="I1385" s="21"/>
      <c r="J1385" s="21"/>
      <c r="K1385" s="19"/>
      <c r="L1385" s="19"/>
      <c r="M1385" s="13"/>
      <c r="N1385" s="14"/>
      <c r="O1385" s="14"/>
      <c r="P1385" s="4"/>
    </row>
    <row r="1386" spans="2:16">
      <c r="B1386" s="15"/>
      <c r="C1386" s="17"/>
      <c r="D1386" s="18"/>
      <c r="E1386" s="19"/>
      <c r="F1386" s="20"/>
      <c r="G1386" s="21"/>
      <c r="H1386" s="21"/>
      <c r="I1386" s="21"/>
      <c r="J1386" s="21"/>
      <c r="K1386" s="19"/>
      <c r="L1386" s="19"/>
      <c r="M1386" s="13"/>
      <c r="N1386" s="14"/>
      <c r="O1386" s="14"/>
      <c r="P1386" s="4"/>
    </row>
    <row r="1387" spans="2:16">
      <c r="B1387" s="15"/>
      <c r="C1387" s="17"/>
      <c r="D1387" s="18"/>
      <c r="E1387" s="19"/>
      <c r="F1387" s="20"/>
      <c r="G1387" s="21"/>
      <c r="H1387" s="21"/>
      <c r="I1387" s="21"/>
      <c r="J1387" s="21"/>
      <c r="K1387" s="19"/>
      <c r="L1387" s="19"/>
      <c r="M1387" s="13"/>
      <c r="N1387" s="14"/>
      <c r="O1387" s="14"/>
      <c r="P1387" s="4"/>
    </row>
    <row r="1388" spans="2:16">
      <c r="B1388" s="15"/>
      <c r="C1388" s="17"/>
      <c r="D1388" s="18"/>
      <c r="E1388" s="19"/>
      <c r="F1388" s="20"/>
      <c r="G1388" s="21"/>
      <c r="H1388" s="21"/>
      <c r="I1388" s="21"/>
      <c r="J1388" s="21"/>
      <c r="K1388" s="19"/>
      <c r="L1388" s="19"/>
      <c r="M1388" s="13"/>
      <c r="N1388" s="14"/>
      <c r="O1388" s="14"/>
      <c r="P1388" s="4"/>
    </row>
    <row r="1389" spans="2:16">
      <c r="B1389" s="15"/>
      <c r="C1389" s="17"/>
      <c r="D1389" s="18"/>
      <c r="E1389" s="19"/>
      <c r="F1389" s="20"/>
      <c r="G1389" s="21"/>
      <c r="H1389" s="21"/>
      <c r="I1389" s="21"/>
      <c r="J1389" s="21"/>
      <c r="K1389" s="19"/>
      <c r="L1389" s="19"/>
      <c r="M1389" s="13"/>
      <c r="N1389" s="14"/>
      <c r="O1389" s="14"/>
      <c r="P1389" s="4"/>
    </row>
    <row r="1390" spans="2:16">
      <c r="B1390" s="15"/>
      <c r="C1390" s="17"/>
      <c r="D1390" s="18"/>
      <c r="E1390" s="19"/>
      <c r="F1390" s="20"/>
      <c r="G1390" s="21"/>
      <c r="H1390" s="21"/>
      <c r="I1390" s="21"/>
      <c r="J1390" s="21"/>
      <c r="K1390" s="19"/>
      <c r="L1390" s="19"/>
      <c r="M1390" s="13"/>
      <c r="N1390" s="14"/>
      <c r="O1390" s="14"/>
      <c r="P1390" s="4"/>
    </row>
    <row r="1391" spans="2:16">
      <c r="B1391" s="15"/>
      <c r="C1391" s="17"/>
      <c r="D1391" s="18"/>
      <c r="E1391" s="19"/>
      <c r="F1391" s="20"/>
      <c r="G1391" s="21"/>
      <c r="H1391" s="21"/>
      <c r="I1391" s="21"/>
      <c r="J1391" s="21"/>
      <c r="K1391" s="19"/>
      <c r="L1391" s="19"/>
      <c r="M1391" s="13"/>
      <c r="N1391" s="14"/>
      <c r="O1391" s="14"/>
      <c r="P1391" s="4"/>
    </row>
    <row r="1392" spans="2:16">
      <c r="B1392" s="15"/>
      <c r="C1392" s="17"/>
      <c r="D1392" s="18"/>
      <c r="E1392" s="19"/>
      <c r="F1392" s="20"/>
      <c r="G1392" s="21"/>
      <c r="H1392" s="21"/>
      <c r="I1392" s="21"/>
      <c r="J1392" s="21"/>
      <c r="K1392" s="19"/>
      <c r="L1392" s="19"/>
      <c r="M1392" s="13"/>
      <c r="N1392" s="14"/>
      <c r="O1392" s="14"/>
      <c r="P1392" s="4"/>
    </row>
    <row r="1393" spans="2:16">
      <c r="B1393" s="15"/>
      <c r="C1393" s="17"/>
      <c r="D1393" s="18"/>
      <c r="E1393" s="19"/>
      <c r="F1393" s="20"/>
      <c r="G1393" s="21"/>
      <c r="H1393" s="21"/>
      <c r="I1393" s="21"/>
      <c r="J1393" s="21"/>
      <c r="K1393" s="19"/>
      <c r="L1393" s="19"/>
      <c r="M1393" s="13"/>
      <c r="N1393" s="14"/>
      <c r="O1393" s="14"/>
      <c r="P1393" s="4"/>
    </row>
    <row r="1394" spans="2:16">
      <c r="B1394" s="15"/>
      <c r="C1394" s="17"/>
      <c r="D1394" s="18"/>
      <c r="E1394" s="19"/>
      <c r="F1394" s="20"/>
      <c r="G1394" s="21"/>
      <c r="H1394" s="21"/>
      <c r="I1394" s="21"/>
      <c r="J1394" s="21"/>
      <c r="K1394" s="19"/>
      <c r="L1394" s="19"/>
      <c r="M1394" s="13"/>
      <c r="N1394" s="14"/>
      <c r="O1394" s="14"/>
      <c r="P1394" s="4"/>
    </row>
    <row r="1395" spans="2:16">
      <c r="B1395" s="15"/>
      <c r="C1395" s="17"/>
      <c r="D1395" s="18"/>
      <c r="E1395" s="19"/>
      <c r="F1395" s="20"/>
      <c r="G1395" s="21"/>
      <c r="H1395" s="21"/>
      <c r="I1395" s="21"/>
      <c r="J1395" s="21"/>
      <c r="K1395" s="19"/>
      <c r="L1395" s="19"/>
      <c r="M1395" s="13"/>
      <c r="N1395" s="14"/>
      <c r="O1395" s="14"/>
      <c r="P1395" s="4"/>
    </row>
    <row r="1396" spans="2:16">
      <c r="B1396" s="15"/>
      <c r="C1396" s="17"/>
      <c r="D1396" s="18"/>
      <c r="E1396" s="19"/>
      <c r="F1396" s="20"/>
      <c r="G1396" s="21"/>
      <c r="H1396" s="21"/>
      <c r="I1396" s="21"/>
      <c r="J1396" s="21"/>
      <c r="K1396" s="19"/>
      <c r="L1396" s="19"/>
      <c r="M1396" s="13"/>
      <c r="N1396" s="14"/>
      <c r="O1396" s="14"/>
      <c r="P1396" s="4"/>
    </row>
    <row r="1397" spans="2:16">
      <c r="B1397" s="15"/>
      <c r="C1397" s="17"/>
      <c r="D1397" s="18"/>
      <c r="E1397" s="19"/>
      <c r="F1397" s="20"/>
      <c r="G1397" s="21"/>
      <c r="H1397" s="21"/>
      <c r="I1397" s="21"/>
      <c r="J1397" s="21"/>
      <c r="K1397" s="19"/>
      <c r="L1397" s="19"/>
      <c r="M1397" s="13"/>
      <c r="N1397" s="14"/>
      <c r="O1397" s="14"/>
      <c r="P1397" s="4"/>
    </row>
    <row r="1398" spans="2:16">
      <c r="B1398" s="15"/>
      <c r="C1398" s="17"/>
      <c r="D1398" s="18"/>
      <c r="E1398" s="19"/>
      <c r="F1398" s="20"/>
      <c r="G1398" s="21"/>
      <c r="H1398" s="21"/>
      <c r="I1398" s="21"/>
      <c r="J1398" s="21"/>
      <c r="K1398" s="19"/>
      <c r="L1398" s="19"/>
      <c r="M1398" s="13"/>
      <c r="N1398" s="14"/>
      <c r="O1398" s="14"/>
      <c r="P1398" s="4"/>
    </row>
    <row r="1399" spans="2:16">
      <c r="B1399" s="15"/>
      <c r="C1399" s="17"/>
      <c r="D1399" s="18"/>
      <c r="E1399" s="19"/>
      <c r="F1399" s="20"/>
      <c r="G1399" s="21"/>
      <c r="H1399" s="21"/>
      <c r="I1399" s="21"/>
      <c r="J1399" s="21"/>
      <c r="K1399" s="19"/>
      <c r="L1399" s="19"/>
      <c r="M1399" s="13"/>
      <c r="N1399" s="14"/>
      <c r="O1399" s="14"/>
      <c r="P1399" s="4"/>
    </row>
    <row r="1400" spans="2:16">
      <c r="B1400" s="15"/>
      <c r="C1400" s="17"/>
      <c r="D1400" s="18"/>
      <c r="E1400" s="19"/>
      <c r="F1400" s="20"/>
      <c r="G1400" s="21"/>
      <c r="H1400" s="21"/>
      <c r="I1400" s="21"/>
      <c r="J1400" s="21"/>
      <c r="K1400" s="19"/>
      <c r="L1400" s="19"/>
      <c r="M1400" s="13"/>
      <c r="N1400" s="14"/>
      <c r="O1400" s="14"/>
      <c r="P1400" s="4"/>
    </row>
    <row r="1401" spans="2:16">
      <c r="B1401" s="15"/>
      <c r="C1401" s="17"/>
      <c r="D1401" s="18"/>
      <c r="E1401" s="19"/>
      <c r="F1401" s="20"/>
      <c r="G1401" s="21"/>
      <c r="H1401" s="21"/>
      <c r="I1401" s="21"/>
      <c r="J1401" s="21"/>
      <c r="K1401" s="19"/>
      <c r="L1401" s="19"/>
      <c r="M1401" s="13"/>
      <c r="N1401" s="14"/>
      <c r="O1401" s="14"/>
      <c r="P1401" s="4"/>
    </row>
    <row r="1402" spans="2:16">
      <c r="B1402" s="15"/>
      <c r="C1402" s="17"/>
      <c r="D1402" s="18"/>
      <c r="E1402" s="19"/>
      <c r="F1402" s="20"/>
      <c r="G1402" s="21"/>
      <c r="H1402" s="21"/>
      <c r="I1402" s="21"/>
      <c r="J1402" s="21"/>
      <c r="K1402" s="19"/>
      <c r="L1402" s="19"/>
      <c r="M1402" s="13"/>
      <c r="N1402" s="14"/>
      <c r="O1402" s="14"/>
      <c r="P1402" s="4"/>
    </row>
    <row r="1403" spans="2:16">
      <c r="B1403" s="15"/>
      <c r="C1403" s="17"/>
      <c r="D1403" s="18"/>
      <c r="E1403" s="19"/>
      <c r="F1403" s="20"/>
      <c r="G1403" s="21"/>
      <c r="H1403" s="21"/>
      <c r="I1403" s="21"/>
      <c r="J1403" s="21"/>
      <c r="K1403" s="19"/>
      <c r="L1403" s="19"/>
      <c r="M1403" s="13"/>
      <c r="N1403" s="14"/>
      <c r="O1403" s="14"/>
      <c r="P1403" s="4"/>
    </row>
    <row r="1404" spans="2:16">
      <c r="B1404" s="15"/>
      <c r="C1404" s="17"/>
      <c r="D1404" s="18"/>
      <c r="E1404" s="19"/>
      <c r="F1404" s="20"/>
      <c r="G1404" s="21"/>
      <c r="H1404" s="21"/>
      <c r="I1404" s="21"/>
      <c r="J1404" s="21"/>
      <c r="K1404" s="19"/>
      <c r="L1404" s="19"/>
      <c r="M1404" s="13"/>
      <c r="N1404" s="14"/>
      <c r="O1404" s="14"/>
      <c r="P1404" s="4"/>
    </row>
    <row r="1405" spans="2:16">
      <c r="B1405" s="15"/>
      <c r="C1405" s="17"/>
      <c r="D1405" s="18"/>
      <c r="E1405" s="19"/>
      <c r="F1405" s="20"/>
      <c r="G1405" s="21"/>
      <c r="H1405" s="21"/>
      <c r="I1405" s="21"/>
      <c r="J1405" s="21"/>
      <c r="K1405" s="19"/>
      <c r="L1405" s="19"/>
      <c r="M1405" s="13"/>
      <c r="N1405" s="14"/>
      <c r="O1405" s="14"/>
      <c r="P1405" s="4"/>
    </row>
    <row r="1406" spans="2:16">
      <c r="B1406" s="15"/>
      <c r="C1406" s="17"/>
      <c r="D1406" s="18"/>
      <c r="E1406" s="19"/>
      <c r="F1406" s="20"/>
      <c r="G1406" s="21"/>
      <c r="H1406" s="21"/>
      <c r="I1406" s="21"/>
      <c r="J1406" s="21"/>
      <c r="K1406" s="19"/>
      <c r="L1406" s="19"/>
      <c r="M1406" s="13"/>
      <c r="N1406" s="14"/>
      <c r="O1406" s="14"/>
      <c r="P1406" s="4"/>
    </row>
    <row r="1407" spans="2:16">
      <c r="B1407" s="15"/>
      <c r="C1407" s="17"/>
      <c r="D1407" s="18"/>
      <c r="E1407" s="19"/>
      <c r="F1407" s="20"/>
      <c r="G1407" s="21"/>
      <c r="H1407" s="21"/>
      <c r="I1407" s="21"/>
      <c r="J1407" s="21"/>
      <c r="K1407" s="19"/>
      <c r="L1407" s="19"/>
      <c r="M1407" s="13"/>
      <c r="N1407" s="14"/>
      <c r="O1407" s="14"/>
      <c r="P1407" s="4"/>
    </row>
    <row r="1408" spans="2:16">
      <c r="B1408" s="15"/>
      <c r="C1408" s="17"/>
      <c r="D1408" s="18"/>
      <c r="E1408" s="19"/>
      <c r="F1408" s="20"/>
      <c r="G1408" s="21"/>
      <c r="H1408" s="21"/>
      <c r="I1408" s="21"/>
      <c r="J1408" s="21"/>
      <c r="K1408" s="19"/>
      <c r="L1408" s="19"/>
      <c r="M1408" s="13"/>
      <c r="N1408" s="14"/>
      <c r="O1408" s="14"/>
      <c r="P1408" s="4"/>
    </row>
    <row r="1409" spans="2:16">
      <c r="B1409" s="15"/>
      <c r="C1409" s="17"/>
      <c r="D1409" s="18"/>
      <c r="E1409" s="19"/>
      <c r="F1409" s="20"/>
      <c r="G1409" s="21"/>
      <c r="H1409" s="21"/>
      <c r="I1409" s="21"/>
      <c r="J1409" s="21"/>
      <c r="K1409" s="19"/>
      <c r="L1409" s="19"/>
      <c r="M1409" s="13"/>
      <c r="N1409" s="14"/>
      <c r="O1409" s="14"/>
      <c r="P1409" s="4"/>
    </row>
    <row r="1410" spans="2:16">
      <c r="B1410" s="15"/>
      <c r="C1410" s="17"/>
      <c r="D1410" s="18"/>
      <c r="E1410" s="19"/>
      <c r="F1410" s="20"/>
      <c r="G1410" s="21"/>
      <c r="H1410" s="21"/>
      <c r="I1410" s="21"/>
      <c r="J1410" s="21"/>
      <c r="K1410" s="19"/>
      <c r="L1410" s="19"/>
      <c r="M1410" s="13"/>
      <c r="N1410" s="14"/>
      <c r="O1410" s="14"/>
      <c r="P1410" s="4"/>
    </row>
    <row r="1411" spans="2:16">
      <c r="B1411" s="15"/>
      <c r="C1411" s="17"/>
      <c r="D1411" s="18"/>
      <c r="E1411" s="19"/>
      <c r="F1411" s="20"/>
      <c r="G1411" s="21"/>
      <c r="H1411" s="21"/>
      <c r="I1411" s="21"/>
      <c r="J1411" s="21"/>
      <c r="K1411" s="19"/>
      <c r="L1411" s="19"/>
      <c r="M1411" s="13"/>
      <c r="N1411" s="14"/>
      <c r="O1411" s="14"/>
      <c r="P1411" s="4"/>
    </row>
    <row r="1412" spans="2:16">
      <c r="B1412" s="15"/>
      <c r="C1412" s="17"/>
      <c r="D1412" s="18"/>
      <c r="E1412" s="19"/>
      <c r="F1412" s="20"/>
      <c r="G1412" s="21"/>
      <c r="H1412" s="21"/>
      <c r="I1412" s="21"/>
      <c r="J1412" s="21"/>
      <c r="K1412" s="19"/>
      <c r="L1412" s="19"/>
      <c r="M1412" s="13"/>
      <c r="N1412" s="14"/>
      <c r="O1412" s="14"/>
      <c r="P1412" s="4"/>
    </row>
    <row r="1413" spans="2:16">
      <c r="B1413" s="15"/>
      <c r="C1413" s="17"/>
      <c r="D1413" s="18"/>
      <c r="E1413" s="19"/>
      <c r="F1413" s="20"/>
      <c r="G1413" s="21"/>
      <c r="H1413" s="21"/>
      <c r="I1413" s="21"/>
      <c r="J1413" s="21"/>
      <c r="K1413" s="19"/>
      <c r="L1413" s="19"/>
      <c r="M1413" s="13"/>
      <c r="N1413" s="14"/>
      <c r="O1413" s="14"/>
      <c r="P1413" s="4"/>
    </row>
    <row r="1414" spans="2:16">
      <c r="B1414" s="15"/>
      <c r="C1414" s="17"/>
      <c r="D1414" s="18"/>
      <c r="E1414" s="19"/>
      <c r="F1414" s="20"/>
      <c r="G1414" s="21"/>
      <c r="H1414" s="21"/>
      <c r="I1414" s="21"/>
      <c r="J1414" s="21"/>
      <c r="K1414" s="19"/>
      <c r="L1414" s="19"/>
      <c r="M1414" s="13"/>
      <c r="N1414" s="14"/>
      <c r="O1414" s="14"/>
      <c r="P1414" s="4"/>
    </row>
    <row r="1415" spans="2:16">
      <c r="B1415" s="15"/>
      <c r="C1415" s="17"/>
      <c r="D1415" s="18"/>
      <c r="E1415" s="19"/>
      <c r="F1415" s="20"/>
      <c r="G1415" s="21"/>
      <c r="H1415" s="21"/>
      <c r="I1415" s="21"/>
      <c r="J1415" s="21"/>
      <c r="K1415" s="19"/>
      <c r="L1415" s="19"/>
      <c r="M1415" s="13"/>
      <c r="N1415" s="14"/>
      <c r="O1415" s="14"/>
      <c r="P1415" s="4"/>
    </row>
    <row r="1416" spans="2:16">
      <c r="B1416" s="15"/>
      <c r="C1416" s="17"/>
      <c r="D1416" s="18"/>
      <c r="E1416" s="19"/>
      <c r="F1416" s="20"/>
      <c r="G1416" s="21"/>
      <c r="H1416" s="21"/>
      <c r="I1416" s="21"/>
      <c r="J1416" s="21"/>
      <c r="K1416" s="19"/>
      <c r="L1416" s="19"/>
      <c r="M1416" s="13"/>
      <c r="N1416" s="14"/>
      <c r="O1416" s="14"/>
      <c r="P1416" s="4"/>
    </row>
    <row r="1417" spans="2:16">
      <c r="B1417" s="15"/>
      <c r="C1417" s="17"/>
      <c r="D1417" s="18"/>
      <c r="E1417" s="19"/>
      <c r="F1417" s="20"/>
      <c r="G1417" s="21"/>
      <c r="H1417" s="21"/>
      <c r="I1417" s="21"/>
      <c r="J1417" s="21"/>
      <c r="K1417" s="19"/>
      <c r="L1417" s="19"/>
      <c r="M1417" s="13"/>
      <c r="N1417" s="14"/>
      <c r="O1417" s="14"/>
      <c r="P1417" s="4"/>
    </row>
    <row r="1418" spans="2:16">
      <c r="B1418" s="15"/>
      <c r="C1418" s="17"/>
      <c r="D1418" s="18"/>
      <c r="E1418" s="19"/>
      <c r="F1418" s="20"/>
      <c r="G1418" s="21"/>
      <c r="H1418" s="21"/>
      <c r="I1418" s="21"/>
      <c r="J1418" s="21"/>
      <c r="K1418" s="19"/>
      <c r="L1418" s="19"/>
      <c r="M1418" s="13"/>
      <c r="N1418" s="14"/>
      <c r="O1418" s="14"/>
      <c r="P1418" s="4"/>
    </row>
    <row r="1419" spans="2:16">
      <c r="B1419" s="15"/>
      <c r="C1419" s="17"/>
      <c r="D1419" s="18"/>
      <c r="E1419" s="19"/>
      <c r="F1419" s="20"/>
      <c r="G1419" s="21"/>
      <c r="H1419" s="21"/>
      <c r="I1419" s="21"/>
      <c r="J1419" s="21"/>
      <c r="K1419" s="19"/>
      <c r="L1419" s="19"/>
      <c r="M1419" s="13"/>
      <c r="N1419" s="14"/>
      <c r="O1419" s="14"/>
      <c r="P1419" s="4"/>
    </row>
    <row r="1420" spans="2:16">
      <c r="B1420" s="15"/>
      <c r="C1420" s="17"/>
      <c r="D1420" s="18"/>
      <c r="E1420" s="19"/>
      <c r="F1420" s="20"/>
      <c r="G1420" s="21"/>
      <c r="H1420" s="21"/>
      <c r="I1420" s="21"/>
      <c r="J1420" s="21"/>
      <c r="K1420" s="19"/>
      <c r="L1420" s="19"/>
      <c r="M1420" s="13"/>
      <c r="N1420" s="14"/>
      <c r="O1420" s="14"/>
      <c r="P1420" s="4"/>
    </row>
    <row r="1421" spans="2:16">
      <c r="B1421" s="15"/>
      <c r="C1421" s="17"/>
      <c r="D1421" s="18"/>
      <c r="E1421" s="19"/>
      <c r="F1421" s="20"/>
      <c r="G1421" s="21"/>
      <c r="H1421" s="21"/>
      <c r="I1421" s="21"/>
      <c r="J1421" s="21"/>
      <c r="K1421" s="19"/>
      <c r="L1421" s="19"/>
      <c r="M1421" s="13"/>
      <c r="N1421" s="14"/>
      <c r="O1421" s="14"/>
      <c r="P1421" s="4"/>
    </row>
    <row r="1422" spans="2:16">
      <c r="B1422" s="15"/>
      <c r="C1422" s="17"/>
      <c r="D1422" s="18"/>
      <c r="E1422" s="19"/>
      <c r="F1422" s="20"/>
      <c r="G1422" s="21"/>
      <c r="H1422" s="21"/>
      <c r="I1422" s="21"/>
      <c r="J1422" s="21"/>
      <c r="K1422" s="19"/>
      <c r="L1422" s="19"/>
      <c r="M1422" s="13"/>
      <c r="N1422" s="14"/>
      <c r="O1422" s="14"/>
      <c r="P1422" s="4"/>
    </row>
    <row r="1423" spans="2:16">
      <c r="B1423" s="15"/>
      <c r="C1423" s="17"/>
      <c r="D1423" s="18"/>
      <c r="E1423" s="19"/>
      <c r="F1423" s="20"/>
      <c r="G1423" s="21"/>
      <c r="H1423" s="21"/>
      <c r="I1423" s="21"/>
      <c r="J1423" s="21"/>
      <c r="K1423" s="19"/>
      <c r="L1423" s="19"/>
      <c r="M1423" s="13"/>
      <c r="N1423" s="14"/>
      <c r="O1423" s="14"/>
      <c r="P1423" s="4"/>
    </row>
    <row r="1424" spans="2:16">
      <c r="B1424" s="15"/>
      <c r="C1424" s="17"/>
      <c r="D1424" s="18"/>
      <c r="E1424" s="19"/>
      <c r="F1424" s="20"/>
      <c r="G1424" s="21"/>
      <c r="H1424" s="21"/>
      <c r="I1424" s="21"/>
      <c r="J1424" s="21"/>
      <c r="K1424" s="19"/>
      <c r="L1424" s="19"/>
      <c r="M1424" s="13"/>
      <c r="N1424" s="14"/>
      <c r="O1424" s="14"/>
      <c r="P1424" s="4"/>
    </row>
    <row r="1425" spans="2:16">
      <c r="B1425" s="15"/>
      <c r="C1425" s="17"/>
      <c r="D1425" s="18"/>
      <c r="E1425" s="19"/>
      <c r="F1425" s="20"/>
      <c r="G1425" s="21"/>
      <c r="H1425" s="21"/>
      <c r="I1425" s="21"/>
      <c r="J1425" s="21"/>
      <c r="K1425" s="19"/>
      <c r="L1425" s="19"/>
      <c r="M1425" s="13"/>
      <c r="N1425" s="14"/>
      <c r="O1425" s="14"/>
      <c r="P1425" s="4"/>
    </row>
    <row r="1426" spans="2:16">
      <c r="B1426" s="15"/>
      <c r="C1426" s="17"/>
      <c r="D1426" s="18"/>
      <c r="E1426" s="19"/>
      <c r="F1426" s="20"/>
      <c r="G1426" s="21"/>
      <c r="H1426" s="21"/>
      <c r="I1426" s="21"/>
      <c r="J1426" s="21"/>
      <c r="K1426" s="19"/>
      <c r="L1426" s="19"/>
      <c r="M1426" s="13"/>
      <c r="N1426" s="14"/>
      <c r="O1426" s="14"/>
      <c r="P1426" s="4"/>
    </row>
    <row r="1427" spans="2:16">
      <c r="B1427" s="15"/>
      <c r="C1427" s="17"/>
      <c r="D1427" s="18"/>
      <c r="E1427" s="19"/>
      <c r="F1427" s="20"/>
      <c r="G1427" s="21"/>
      <c r="H1427" s="21"/>
      <c r="I1427" s="21"/>
      <c r="J1427" s="21"/>
      <c r="K1427" s="19"/>
      <c r="L1427" s="19"/>
      <c r="M1427" s="13"/>
      <c r="N1427" s="14"/>
      <c r="O1427" s="14"/>
      <c r="P1427" s="4"/>
    </row>
    <row r="1428" spans="2:16">
      <c r="B1428" s="15"/>
      <c r="C1428" s="17"/>
      <c r="D1428" s="18"/>
      <c r="E1428" s="19"/>
      <c r="F1428" s="20"/>
      <c r="G1428" s="21"/>
      <c r="H1428" s="21"/>
      <c r="I1428" s="21"/>
      <c r="J1428" s="21"/>
      <c r="K1428" s="19"/>
      <c r="L1428" s="19"/>
      <c r="M1428" s="13"/>
      <c r="N1428" s="14"/>
      <c r="O1428" s="14"/>
      <c r="P1428" s="4"/>
    </row>
    <row r="1429" spans="2:16">
      <c r="B1429" s="15"/>
      <c r="C1429" s="17"/>
      <c r="D1429" s="18"/>
      <c r="E1429" s="19"/>
      <c r="F1429" s="20"/>
      <c r="G1429" s="21"/>
      <c r="H1429" s="21"/>
      <c r="I1429" s="21"/>
      <c r="J1429" s="21"/>
      <c r="K1429" s="19"/>
      <c r="L1429" s="19"/>
      <c r="M1429" s="13"/>
      <c r="N1429" s="14"/>
      <c r="O1429" s="14"/>
      <c r="P1429" s="4"/>
    </row>
    <row r="1430" spans="2:16">
      <c r="B1430" s="15"/>
      <c r="C1430" s="17"/>
      <c r="D1430" s="18"/>
      <c r="E1430" s="19"/>
      <c r="F1430" s="20"/>
      <c r="G1430" s="21"/>
      <c r="H1430" s="21"/>
      <c r="I1430" s="21"/>
      <c r="J1430" s="21"/>
      <c r="K1430" s="19"/>
      <c r="L1430" s="19"/>
      <c r="M1430" s="13"/>
      <c r="N1430" s="14"/>
      <c r="O1430" s="14"/>
      <c r="P1430" s="4"/>
    </row>
    <row r="1431" spans="2:16">
      <c r="B1431" s="15"/>
      <c r="C1431" s="17"/>
      <c r="D1431" s="18"/>
      <c r="E1431" s="19"/>
      <c r="F1431" s="20"/>
      <c r="G1431" s="21"/>
      <c r="H1431" s="21"/>
      <c r="I1431" s="21"/>
      <c r="J1431" s="21"/>
      <c r="K1431" s="19"/>
      <c r="L1431" s="19"/>
      <c r="M1431" s="13"/>
      <c r="N1431" s="14"/>
      <c r="O1431" s="14"/>
      <c r="P1431" s="4"/>
    </row>
    <row r="1432" spans="2:16">
      <c r="B1432" s="15"/>
      <c r="C1432" s="17"/>
      <c r="D1432" s="18"/>
      <c r="E1432" s="19"/>
      <c r="F1432" s="20"/>
      <c r="G1432" s="21"/>
      <c r="H1432" s="21"/>
      <c r="I1432" s="21"/>
      <c r="J1432" s="21"/>
      <c r="K1432" s="19"/>
      <c r="L1432" s="19"/>
      <c r="M1432" s="13"/>
      <c r="N1432" s="14"/>
      <c r="O1432" s="14"/>
      <c r="P1432" s="4"/>
    </row>
    <row r="1433" spans="2:16">
      <c r="B1433" s="15"/>
      <c r="C1433" s="17"/>
      <c r="D1433" s="18"/>
      <c r="E1433" s="19"/>
      <c r="F1433" s="20"/>
      <c r="G1433" s="21"/>
      <c r="H1433" s="21"/>
      <c r="I1433" s="21"/>
      <c r="J1433" s="21"/>
      <c r="K1433" s="19"/>
      <c r="L1433" s="19"/>
      <c r="M1433" s="13"/>
      <c r="N1433" s="14"/>
      <c r="O1433" s="14"/>
      <c r="P1433" s="4"/>
    </row>
    <row r="1434" spans="2:16">
      <c r="B1434" s="15"/>
      <c r="C1434" s="17"/>
      <c r="D1434" s="18"/>
      <c r="E1434" s="19"/>
      <c r="F1434" s="20"/>
      <c r="G1434" s="21"/>
      <c r="H1434" s="21"/>
      <c r="I1434" s="21"/>
      <c r="J1434" s="21"/>
      <c r="K1434" s="19"/>
      <c r="L1434" s="19"/>
      <c r="M1434" s="13"/>
      <c r="N1434" s="14"/>
      <c r="O1434" s="14"/>
      <c r="P1434" s="4"/>
    </row>
    <row r="1435" spans="2:16">
      <c r="B1435" s="15"/>
      <c r="C1435" s="17"/>
      <c r="D1435" s="18"/>
      <c r="E1435" s="19"/>
      <c r="F1435" s="20"/>
      <c r="G1435" s="21"/>
      <c r="H1435" s="21"/>
      <c r="I1435" s="21"/>
      <c r="J1435" s="21"/>
      <c r="K1435" s="19"/>
      <c r="L1435" s="19"/>
      <c r="M1435" s="13"/>
      <c r="N1435" s="14"/>
      <c r="O1435" s="14"/>
      <c r="P1435" s="4"/>
    </row>
    <row r="1436" spans="2:16">
      <c r="B1436" s="15"/>
      <c r="C1436" s="17"/>
      <c r="D1436" s="18"/>
      <c r="E1436" s="19"/>
      <c r="F1436" s="20"/>
      <c r="G1436" s="21"/>
      <c r="H1436" s="21"/>
      <c r="I1436" s="21"/>
      <c r="J1436" s="21"/>
      <c r="K1436" s="19"/>
      <c r="L1436" s="19"/>
      <c r="M1436" s="13"/>
      <c r="N1436" s="14"/>
      <c r="O1436" s="14"/>
      <c r="P1436" s="4"/>
    </row>
    <row r="1437" spans="2:16">
      <c r="B1437" s="15"/>
      <c r="C1437" s="17"/>
      <c r="D1437" s="18"/>
      <c r="E1437" s="19"/>
      <c r="F1437" s="20"/>
      <c r="G1437" s="21"/>
      <c r="H1437" s="21"/>
      <c r="I1437" s="21"/>
      <c r="J1437" s="21"/>
      <c r="K1437" s="19"/>
      <c r="L1437" s="19"/>
      <c r="M1437" s="13"/>
      <c r="N1437" s="14"/>
      <c r="O1437" s="14"/>
      <c r="P1437" s="4"/>
    </row>
    <row r="1438" spans="2:16">
      <c r="B1438" s="15"/>
      <c r="C1438" s="17"/>
      <c r="D1438" s="18"/>
      <c r="E1438" s="19"/>
      <c r="F1438" s="20"/>
      <c r="G1438" s="21"/>
      <c r="H1438" s="21"/>
      <c r="I1438" s="21"/>
      <c r="J1438" s="21"/>
      <c r="K1438" s="19"/>
      <c r="L1438" s="19"/>
      <c r="M1438" s="13"/>
      <c r="N1438" s="14"/>
      <c r="O1438" s="14"/>
      <c r="P1438" s="4"/>
    </row>
    <row r="1439" spans="2:16">
      <c r="B1439" s="15"/>
      <c r="C1439" s="17"/>
      <c r="D1439" s="18"/>
      <c r="E1439" s="19"/>
      <c r="F1439" s="20"/>
      <c r="G1439" s="21"/>
      <c r="H1439" s="21"/>
      <c r="I1439" s="21"/>
      <c r="J1439" s="21"/>
      <c r="K1439" s="19"/>
      <c r="L1439" s="19"/>
      <c r="M1439" s="13"/>
      <c r="N1439" s="14"/>
      <c r="O1439" s="14"/>
      <c r="P1439" s="4"/>
    </row>
    <row r="1440" spans="2:16">
      <c r="B1440" s="15"/>
      <c r="C1440" s="17"/>
      <c r="D1440" s="18"/>
      <c r="E1440" s="19"/>
      <c r="F1440" s="20"/>
      <c r="G1440" s="21"/>
      <c r="H1440" s="21"/>
      <c r="I1440" s="21"/>
      <c r="J1440" s="21"/>
      <c r="K1440" s="19"/>
      <c r="L1440" s="19"/>
      <c r="M1440" s="13"/>
      <c r="N1440" s="14"/>
      <c r="O1440" s="14"/>
      <c r="P1440" s="4"/>
    </row>
    <row r="1441" spans="2:16">
      <c r="B1441" s="15"/>
      <c r="C1441" s="17"/>
      <c r="D1441" s="18"/>
      <c r="E1441" s="19"/>
      <c r="F1441" s="20"/>
      <c r="G1441" s="21"/>
      <c r="H1441" s="21"/>
      <c r="I1441" s="21"/>
      <c r="J1441" s="21"/>
      <c r="K1441" s="19"/>
      <c r="L1441" s="19"/>
      <c r="M1441" s="13"/>
      <c r="N1441" s="14"/>
      <c r="O1441" s="14"/>
      <c r="P1441" s="4"/>
    </row>
    <row r="1442" spans="2:16">
      <c r="B1442" s="15"/>
      <c r="C1442" s="17"/>
      <c r="D1442" s="18"/>
      <c r="E1442" s="19"/>
      <c r="F1442" s="20"/>
      <c r="G1442" s="21"/>
      <c r="H1442" s="21"/>
      <c r="I1442" s="21"/>
      <c r="J1442" s="21"/>
      <c r="K1442" s="19"/>
      <c r="L1442" s="19"/>
      <c r="M1442" s="13"/>
      <c r="N1442" s="14"/>
      <c r="O1442" s="14"/>
      <c r="P1442" s="4"/>
    </row>
    <row r="1443" spans="2:16">
      <c r="B1443" s="15"/>
      <c r="C1443" s="17"/>
      <c r="D1443" s="18"/>
      <c r="E1443" s="19"/>
      <c r="F1443" s="20"/>
      <c r="G1443" s="21"/>
      <c r="H1443" s="21"/>
      <c r="I1443" s="21"/>
      <c r="J1443" s="21"/>
      <c r="K1443" s="19"/>
      <c r="L1443" s="19"/>
      <c r="M1443" s="13"/>
      <c r="N1443" s="14"/>
      <c r="O1443" s="14"/>
      <c r="P1443" s="4"/>
    </row>
    <row r="1444" spans="2:16">
      <c r="B1444" s="15"/>
      <c r="C1444" s="17"/>
      <c r="D1444" s="18"/>
      <c r="E1444" s="19"/>
      <c r="F1444" s="20"/>
      <c r="G1444" s="21"/>
      <c r="H1444" s="21"/>
      <c r="I1444" s="21"/>
      <c r="J1444" s="21"/>
      <c r="K1444" s="19"/>
      <c r="L1444" s="19"/>
      <c r="M1444" s="13"/>
      <c r="N1444" s="14"/>
      <c r="O1444" s="14"/>
      <c r="P1444" s="4"/>
    </row>
    <row r="1445" spans="2:16">
      <c r="B1445" s="15"/>
      <c r="C1445" s="17"/>
      <c r="D1445" s="18"/>
      <c r="E1445" s="19"/>
      <c r="F1445" s="20"/>
      <c r="G1445" s="21"/>
      <c r="H1445" s="21"/>
      <c r="I1445" s="21"/>
      <c r="J1445" s="21"/>
      <c r="K1445" s="19"/>
      <c r="L1445" s="19"/>
      <c r="M1445" s="13"/>
      <c r="N1445" s="14"/>
      <c r="O1445" s="14"/>
      <c r="P1445" s="4"/>
    </row>
    <row r="1446" spans="2:16">
      <c r="B1446" s="15"/>
      <c r="C1446" s="17"/>
      <c r="D1446" s="18"/>
      <c r="E1446" s="19"/>
      <c r="F1446" s="20"/>
      <c r="G1446" s="21"/>
      <c r="H1446" s="21"/>
      <c r="I1446" s="21"/>
      <c r="J1446" s="21"/>
      <c r="K1446" s="19"/>
      <c r="L1446" s="19"/>
      <c r="M1446" s="13"/>
      <c r="N1446" s="14"/>
      <c r="O1446" s="14"/>
      <c r="P1446" s="4"/>
    </row>
    <row r="1447" spans="2:16">
      <c r="B1447" s="15"/>
      <c r="C1447" s="17"/>
      <c r="D1447" s="18"/>
      <c r="E1447" s="19"/>
      <c r="F1447" s="20"/>
      <c r="G1447" s="21"/>
      <c r="H1447" s="21"/>
      <c r="I1447" s="21"/>
      <c r="J1447" s="21"/>
      <c r="K1447" s="19"/>
      <c r="L1447" s="19"/>
      <c r="M1447" s="13"/>
      <c r="N1447" s="14"/>
      <c r="O1447" s="14"/>
      <c r="P1447" s="4"/>
    </row>
    <row r="1448" spans="2:16">
      <c r="B1448" s="15"/>
      <c r="C1448" s="17"/>
      <c r="D1448" s="18"/>
      <c r="E1448" s="19"/>
      <c r="F1448" s="20"/>
      <c r="G1448" s="21"/>
      <c r="H1448" s="21"/>
      <c r="I1448" s="21"/>
      <c r="J1448" s="21"/>
      <c r="K1448" s="19"/>
      <c r="L1448" s="19"/>
      <c r="M1448" s="13"/>
      <c r="N1448" s="14"/>
      <c r="O1448" s="14"/>
      <c r="P1448" s="4"/>
    </row>
    <row r="1449" spans="2:16">
      <c r="B1449" s="15"/>
      <c r="C1449" s="17"/>
      <c r="D1449" s="18"/>
      <c r="E1449" s="19"/>
      <c r="F1449" s="20"/>
      <c r="G1449" s="21"/>
      <c r="H1449" s="21"/>
      <c r="I1449" s="21"/>
      <c r="J1449" s="21"/>
      <c r="K1449" s="19"/>
      <c r="L1449" s="19"/>
      <c r="M1449" s="13"/>
      <c r="N1449" s="14"/>
      <c r="O1449" s="14"/>
      <c r="P1449" s="4"/>
    </row>
    <row r="1450" spans="2:16">
      <c r="B1450" s="15"/>
      <c r="C1450" s="17"/>
      <c r="D1450" s="18"/>
      <c r="E1450" s="19"/>
      <c r="F1450" s="20"/>
      <c r="G1450" s="21"/>
      <c r="H1450" s="21"/>
      <c r="I1450" s="21"/>
      <c r="J1450" s="21"/>
      <c r="K1450" s="19"/>
      <c r="L1450" s="19"/>
      <c r="M1450" s="13"/>
      <c r="N1450" s="14"/>
      <c r="O1450" s="14"/>
      <c r="P1450" s="4"/>
    </row>
    <row r="1451" spans="2:16">
      <c r="B1451" s="15"/>
      <c r="C1451" s="17"/>
      <c r="D1451" s="18"/>
      <c r="E1451" s="19"/>
      <c r="F1451" s="20"/>
      <c r="G1451" s="21"/>
      <c r="H1451" s="21"/>
      <c r="I1451" s="21"/>
      <c r="J1451" s="21"/>
      <c r="K1451" s="19"/>
      <c r="L1451" s="19"/>
      <c r="M1451" s="13"/>
      <c r="N1451" s="14"/>
      <c r="O1451" s="14"/>
      <c r="P1451" s="4"/>
    </row>
    <row r="1452" spans="2:16">
      <c r="B1452" s="15"/>
      <c r="C1452" s="17"/>
      <c r="D1452" s="18"/>
      <c r="E1452" s="19"/>
      <c r="F1452" s="20"/>
      <c r="G1452" s="21"/>
      <c r="H1452" s="21"/>
      <c r="I1452" s="21"/>
      <c r="J1452" s="21"/>
      <c r="K1452" s="19"/>
      <c r="L1452" s="19"/>
      <c r="M1452" s="13"/>
      <c r="N1452" s="14"/>
      <c r="O1452" s="14"/>
      <c r="P1452" s="4"/>
    </row>
    <row r="1453" spans="2:16">
      <c r="B1453" s="15"/>
      <c r="C1453" s="17"/>
      <c r="D1453" s="18"/>
      <c r="E1453" s="19"/>
      <c r="F1453" s="20"/>
      <c r="G1453" s="21"/>
      <c r="H1453" s="21"/>
      <c r="I1453" s="21"/>
      <c r="J1453" s="21"/>
      <c r="K1453" s="19"/>
      <c r="L1453" s="19"/>
      <c r="M1453" s="13"/>
      <c r="N1453" s="14"/>
      <c r="O1453" s="14"/>
      <c r="P1453" s="4"/>
    </row>
    <row r="1454" spans="2:16">
      <c r="B1454" s="15"/>
      <c r="C1454" s="17"/>
      <c r="D1454" s="18"/>
      <c r="E1454" s="19"/>
      <c r="F1454" s="20"/>
      <c r="G1454" s="21"/>
      <c r="H1454" s="21"/>
      <c r="I1454" s="21"/>
      <c r="J1454" s="21"/>
      <c r="K1454" s="19"/>
      <c r="L1454" s="19"/>
      <c r="M1454" s="13"/>
      <c r="N1454" s="14"/>
      <c r="O1454" s="14"/>
      <c r="P1454" s="4"/>
    </row>
    <row r="1455" spans="2:16">
      <c r="B1455" s="15"/>
      <c r="C1455" s="17"/>
      <c r="D1455" s="18"/>
      <c r="E1455" s="19"/>
      <c r="F1455" s="20"/>
      <c r="G1455" s="21"/>
      <c r="H1455" s="21"/>
      <c r="I1455" s="21"/>
      <c r="J1455" s="21"/>
      <c r="K1455" s="19"/>
      <c r="L1455" s="19"/>
      <c r="M1455" s="13"/>
      <c r="N1455" s="14"/>
      <c r="O1455" s="14"/>
      <c r="P1455" s="4"/>
    </row>
    <row r="1456" spans="2:16">
      <c r="B1456" s="15"/>
      <c r="C1456" s="17"/>
      <c r="D1456" s="18"/>
      <c r="E1456" s="19"/>
      <c r="F1456" s="20"/>
      <c r="G1456" s="21"/>
      <c r="H1456" s="21"/>
      <c r="I1456" s="21"/>
      <c r="J1456" s="21"/>
      <c r="K1456" s="19"/>
      <c r="L1456" s="19"/>
      <c r="M1456" s="13"/>
      <c r="N1456" s="14"/>
      <c r="O1456" s="14"/>
      <c r="P1456" s="4"/>
    </row>
    <row r="1457" spans="2:16">
      <c r="B1457" s="15"/>
      <c r="C1457" s="17"/>
      <c r="D1457" s="18"/>
      <c r="E1457" s="19"/>
      <c r="F1457" s="20"/>
      <c r="G1457" s="21"/>
      <c r="H1457" s="21"/>
      <c r="I1457" s="21"/>
      <c r="J1457" s="21"/>
      <c r="K1457" s="19"/>
      <c r="L1457" s="19"/>
      <c r="M1457" s="13"/>
      <c r="N1457" s="14"/>
      <c r="O1457" s="14"/>
      <c r="P1457" s="4"/>
    </row>
    <row r="1458" spans="2:16">
      <c r="B1458" s="15"/>
      <c r="C1458" s="17"/>
      <c r="D1458" s="18"/>
      <c r="E1458" s="19"/>
      <c r="F1458" s="20"/>
      <c r="G1458" s="21"/>
      <c r="H1458" s="21"/>
      <c r="I1458" s="21"/>
      <c r="J1458" s="21"/>
      <c r="K1458" s="19"/>
      <c r="L1458" s="19"/>
      <c r="M1458" s="13"/>
      <c r="N1458" s="14"/>
      <c r="O1458" s="14"/>
      <c r="P1458" s="4"/>
    </row>
    <row r="1459" spans="2:16">
      <c r="B1459" s="15"/>
      <c r="C1459" s="17"/>
      <c r="D1459" s="18"/>
      <c r="E1459" s="19"/>
      <c r="F1459" s="20"/>
      <c r="G1459" s="21"/>
      <c r="H1459" s="21"/>
      <c r="I1459" s="21"/>
      <c r="J1459" s="21"/>
      <c r="K1459" s="19"/>
      <c r="L1459" s="19"/>
      <c r="M1459" s="13"/>
      <c r="N1459" s="14"/>
      <c r="O1459" s="14"/>
      <c r="P1459" s="4"/>
    </row>
    <row r="1460" spans="2:16">
      <c r="B1460" s="15"/>
      <c r="C1460" s="17"/>
      <c r="D1460" s="18"/>
      <c r="E1460" s="19"/>
      <c r="F1460" s="20"/>
      <c r="G1460" s="21"/>
      <c r="H1460" s="21"/>
      <c r="I1460" s="21"/>
      <c r="J1460" s="21"/>
      <c r="K1460" s="19"/>
      <c r="L1460" s="19"/>
      <c r="M1460" s="13"/>
      <c r="N1460" s="14"/>
      <c r="O1460" s="14"/>
      <c r="P1460" s="4"/>
    </row>
    <row r="1461" spans="2:16">
      <c r="B1461" s="15"/>
      <c r="C1461" s="17"/>
      <c r="D1461" s="18"/>
      <c r="E1461" s="19"/>
      <c r="F1461" s="20"/>
      <c r="G1461" s="21"/>
      <c r="H1461" s="21"/>
      <c r="I1461" s="21"/>
      <c r="J1461" s="21"/>
      <c r="K1461" s="19"/>
      <c r="L1461" s="19"/>
      <c r="M1461" s="13"/>
      <c r="N1461" s="14"/>
      <c r="O1461" s="14"/>
      <c r="P1461" s="4"/>
    </row>
    <row r="1462" spans="2:16">
      <c r="B1462" s="15"/>
      <c r="C1462" s="17"/>
      <c r="D1462" s="18"/>
      <c r="E1462" s="19"/>
      <c r="F1462" s="20"/>
      <c r="G1462" s="21"/>
      <c r="H1462" s="21"/>
      <c r="I1462" s="21"/>
      <c r="J1462" s="21"/>
      <c r="K1462" s="19"/>
      <c r="L1462" s="19"/>
      <c r="M1462" s="13"/>
      <c r="N1462" s="14"/>
      <c r="O1462" s="14"/>
      <c r="P1462" s="4"/>
    </row>
    <row r="1463" spans="2:16">
      <c r="B1463" s="15"/>
      <c r="C1463" s="17"/>
      <c r="D1463" s="18"/>
      <c r="E1463" s="19"/>
      <c r="F1463" s="20"/>
      <c r="G1463" s="21"/>
      <c r="H1463" s="21"/>
      <c r="I1463" s="21"/>
      <c r="J1463" s="21"/>
      <c r="K1463" s="19"/>
      <c r="L1463" s="19"/>
      <c r="M1463" s="13"/>
      <c r="N1463" s="14"/>
      <c r="O1463" s="14"/>
      <c r="P1463" s="4"/>
    </row>
    <row r="1464" spans="2:16">
      <c r="B1464" s="15"/>
      <c r="C1464" s="17"/>
      <c r="D1464" s="18"/>
      <c r="E1464" s="19"/>
      <c r="F1464" s="20"/>
      <c r="G1464" s="21"/>
      <c r="H1464" s="21"/>
      <c r="I1464" s="21"/>
      <c r="J1464" s="21"/>
      <c r="K1464" s="19"/>
      <c r="L1464" s="19"/>
      <c r="M1464" s="13"/>
      <c r="N1464" s="14"/>
      <c r="O1464" s="14"/>
      <c r="P1464" s="4"/>
    </row>
    <row r="1465" spans="2:16">
      <c r="B1465" s="15"/>
      <c r="C1465" s="17"/>
      <c r="D1465" s="18"/>
      <c r="E1465" s="19"/>
      <c r="F1465" s="20"/>
      <c r="G1465" s="21"/>
      <c r="H1465" s="21"/>
      <c r="I1465" s="21"/>
      <c r="J1465" s="21"/>
      <c r="K1465" s="19"/>
      <c r="L1465" s="19"/>
      <c r="M1465" s="13"/>
      <c r="N1465" s="14"/>
      <c r="O1465" s="14"/>
      <c r="P1465" s="4"/>
    </row>
    <row r="1466" spans="2:16">
      <c r="B1466" s="15"/>
      <c r="C1466" s="17"/>
      <c r="D1466" s="18"/>
      <c r="E1466" s="19"/>
      <c r="F1466" s="20"/>
      <c r="G1466" s="21"/>
      <c r="H1466" s="21"/>
      <c r="I1466" s="21"/>
      <c r="J1466" s="21"/>
      <c r="K1466" s="19"/>
      <c r="L1466" s="19"/>
      <c r="M1466" s="13"/>
      <c r="N1466" s="14"/>
      <c r="O1466" s="14"/>
      <c r="P1466" s="4"/>
    </row>
    <row r="1467" spans="2:16">
      <c r="B1467" s="15"/>
      <c r="C1467" s="17"/>
      <c r="D1467" s="18"/>
      <c r="E1467" s="19"/>
      <c r="F1467" s="20"/>
      <c r="G1467" s="21"/>
      <c r="H1467" s="21"/>
      <c r="I1467" s="21"/>
      <c r="J1467" s="21"/>
      <c r="K1467" s="19"/>
      <c r="L1467" s="19"/>
      <c r="M1467" s="13"/>
      <c r="N1467" s="14"/>
      <c r="O1467" s="14"/>
      <c r="P1467" s="4"/>
    </row>
    <row r="1468" spans="2:16">
      <c r="B1468" s="15"/>
      <c r="C1468" s="17"/>
      <c r="D1468" s="18"/>
      <c r="E1468" s="19"/>
      <c r="F1468" s="20"/>
      <c r="G1468" s="21"/>
      <c r="H1468" s="21"/>
      <c r="I1468" s="21"/>
      <c r="J1468" s="21"/>
      <c r="K1468" s="19"/>
      <c r="L1468" s="19"/>
      <c r="M1468" s="13"/>
      <c r="N1468" s="14"/>
      <c r="O1468" s="14"/>
      <c r="P1468" s="4"/>
    </row>
    <row r="1469" spans="2:16">
      <c r="B1469" s="15"/>
      <c r="C1469" s="17"/>
      <c r="D1469" s="18"/>
      <c r="E1469" s="19"/>
      <c r="F1469" s="20"/>
      <c r="G1469" s="21"/>
      <c r="H1469" s="21"/>
      <c r="I1469" s="21"/>
      <c r="J1469" s="21"/>
      <c r="K1469" s="19"/>
      <c r="L1469" s="19"/>
      <c r="M1469" s="13"/>
      <c r="N1469" s="14"/>
      <c r="O1469" s="14"/>
      <c r="P1469" s="4"/>
    </row>
    <row r="1470" spans="2:16">
      <c r="B1470" s="15"/>
      <c r="C1470" s="17"/>
      <c r="D1470" s="18"/>
      <c r="E1470" s="19"/>
      <c r="F1470" s="20"/>
      <c r="G1470" s="21"/>
      <c r="H1470" s="21"/>
      <c r="I1470" s="21"/>
      <c r="J1470" s="21"/>
      <c r="K1470" s="19"/>
      <c r="L1470" s="19"/>
      <c r="M1470" s="13"/>
      <c r="N1470" s="14"/>
      <c r="O1470" s="14"/>
      <c r="P1470" s="4"/>
    </row>
    <row r="1471" spans="2:16">
      <c r="B1471" s="15"/>
      <c r="C1471" s="17"/>
      <c r="D1471" s="18"/>
      <c r="E1471" s="19"/>
      <c r="F1471" s="20"/>
      <c r="G1471" s="21"/>
      <c r="H1471" s="21"/>
      <c r="I1471" s="21"/>
      <c r="J1471" s="21"/>
      <c r="K1471" s="19"/>
      <c r="L1471" s="19"/>
      <c r="M1471" s="13"/>
      <c r="N1471" s="14"/>
      <c r="O1471" s="14"/>
      <c r="P1471" s="4"/>
    </row>
    <row r="1472" spans="2:16">
      <c r="B1472" s="15"/>
      <c r="C1472" s="17"/>
      <c r="D1472" s="18"/>
      <c r="E1472" s="19"/>
      <c r="F1472" s="20"/>
      <c r="G1472" s="21"/>
      <c r="H1472" s="21"/>
      <c r="I1472" s="21"/>
      <c r="J1472" s="21"/>
      <c r="K1472" s="19"/>
      <c r="L1472" s="19"/>
      <c r="M1472" s="13"/>
      <c r="N1472" s="14"/>
      <c r="O1472" s="14"/>
      <c r="P1472" s="4"/>
    </row>
    <row r="1473" spans="2:16">
      <c r="B1473" s="15"/>
      <c r="C1473" s="17"/>
      <c r="D1473" s="18"/>
      <c r="E1473" s="19"/>
      <c r="F1473" s="20"/>
      <c r="G1473" s="21"/>
      <c r="H1473" s="21"/>
      <c r="I1473" s="21"/>
      <c r="J1473" s="21"/>
      <c r="K1473" s="19"/>
      <c r="L1473" s="19"/>
      <c r="M1473" s="13"/>
      <c r="N1473" s="14"/>
      <c r="O1473" s="14"/>
      <c r="P1473" s="4"/>
    </row>
    <row r="1474" spans="2:16">
      <c r="B1474" s="15"/>
      <c r="C1474" s="17"/>
      <c r="D1474" s="18"/>
      <c r="E1474" s="19"/>
      <c r="F1474" s="20"/>
      <c r="G1474" s="21"/>
      <c r="H1474" s="21"/>
      <c r="I1474" s="21"/>
      <c r="J1474" s="21"/>
      <c r="K1474" s="19"/>
      <c r="L1474" s="19"/>
      <c r="M1474" s="13"/>
      <c r="N1474" s="14"/>
      <c r="O1474" s="14"/>
      <c r="P1474" s="4"/>
    </row>
    <row r="1475" spans="2:16">
      <c r="B1475" s="15"/>
      <c r="C1475" s="17"/>
      <c r="D1475" s="18"/>
      <c r="E1475" s="19"/>
      <c r="F1475" s="20"/>
      <c r="G1475" s="21"/>
      <c r="H1475" s="21"/>
      <c r="I1475" s="21"/>
      <c r="J1475" s="21"/>
      <c r="K1475" s="19"/>
      <c r="L1475" s="19"/>
      <c r="M1475" s="13"/>
      <c r="N1475" s="14"/>
      <c r="O1475" s="14"/>
      <c r="P1475" s="4"/>
    </row>
    <row r="1476" spans="2:16">
      <c r="B1476" s="15"/>
      <c r="C1476" s="17"/>
      <c r="D1476" s="18"/>
      <c r="E1476" s="19"/>
      <c r="F1476" s="20"/>
      <c r="G1476" s="21"/>
      <c r="H1476" s="21"/>
      <c r="I1476" s="21"/>
      <c r="J1476" s="21"/>
      <c r="K1476" s="19"/>
      <c r="L1476" s="19"/>
      <c r="M1476" s="13"/>
      <c r="N1476" s="14"/>
      <c r="O1476" s="14"/>
      <c r="P1476" s="4"/>
    </row>
    <row r="1477" spans="2:16">
      <c r="B1477" s="15"/>
      <c r="C1477" s="17"/>
      <c r="D1477" s="18"/>
      <c r="E1477" s="19"/>
      <c r="F1477" s="20"/>
      <c r="G1477" s="21"/>
      <c r="H1477" s="21"/>
      <c r="I1477" s="21"/>
      <c r="J1477" s="21"/>
      <c r="K1477" s="19"/>
      <c r="L1477" s="19"/>
      <c r="M1477" s="13"/>
      <c r="N1477" s="14"/>
      <c r="O1477" s="14"/>
      <c r="P1477" s="4"/>
    </row>
    <row r="1478" spans="2:16">
      <c r="B1478" s="15"/>
      <c r="C1478" s="17"/>
      <c r="D1478" s="18"/>
      <c r="E1478" s="19"/>
      <c r="F1478" s="20"/>
      <c r="G1478" s="21"/>
      <c r="H1478" s="21"/>
      <c r="I1478" s="21"/>
      <c r="J1478" s="21"/>
      <c r="K1478" s="19"/>
      <c r="L1478" s="19"/>
      <c r="M1478" s="13"/>
      <c r="N1478" s="14"/>
      <c r="O1478" s="14"/>
      <c r="P1478" s="4"/>
    </row>
    <row r="1479" spans="2:16">
      <c r="B1479" s="15"/>
      <c r="C1479" s="17"/>
      <c r="D1479" s="18"/>
      <c r="E1479" s="19"/>
      <c r="F1479" s="20"/>
      <c r="G1479" s="21"/>
      <c r="H1479" s="21"/>
      <c r="I1479" s="21"/>
      <c r="J1479" s="21"/>
      <c r="K1479" s="19"/>
      <c r="L1479" s="19"/>
      <c r="M1479" s="13"/>
      <c r="N1479" s="14"/>
      <c r="O1479" s="14"/>
      <c r="P1479" s="4"/>
    </row>
    <row r="1480" spans="2:16">
      <c r="B1480" s="15"/>
      <c r="C1480" s="17"/>
      <c r="D1480" s="18"/>
      <c r="E1480" s="19"/>
      <c r="F1480" s="20"/>
      <c r="G1480" s="21"/>
      <c r="H1480" s="21"/>
      <c r="I1480" s="21"/>
      <c r="J1480" s="21"/>
      <c r="K1480" s="19"/>
      <c r="L1480" s="19"/>
      <c r="M1480" s="13"/>
      <c r="N1480" s="14"/>
      <c r="O1480" s="14"/>
      <c r="P1480" s="4"/>
    </row>
    <row r="1481" spans="2:16">
      <c r="B1481" s="15"/>
      <c r="C1481" s="17"/>
      <c r="D1481" s="18"/>
      <c r="E1481" s="19"/>
      <c r="F1481" s="20"/>
      <c r="G1481" s="21"/>
      <c r="H1481" s="21"/>
      <c r="I1481" s="21"/>
      <c r="J1481" s="21"/>
      <c r="K1481" s="19"/>
      <c r="L1481" s="19"/>
      <c r="M1481" s="13"/>
      <c r="N1481" s="14"/>
      <c r="O1481" s="14"/>
      <c r="P1481" s="4"/>
    </row>
    <row r="1482" spans="2:16">
      <c r="B1482" s="15"/>
      <c r="C1482" s="17"/>
      <c r="D1482" s="18"/>
      <c r="E1482" s="19"/>
      <c r="F1482" s="20"/>
      <c r="G1482" s="21"/>
      <c r="H1482" s="21"/>
      <c r="I1482" s="21"/>
      <c r="J1482" s="21"/>
      <c r="K1482" s="19"/>
      <c r="L1482" s="19"/>
      <c r="M1482" s="13"/>
      <c r="N1482" s="14"/>
      <c r="O1482" s="14"/>
      <c r="P1482" s="4"/>
    </row>
    <row r="1483" spans="2:16">
      <c r="B1483" s="15"/>
      <c r="C1483" s="17"/>
      <c r="D1483" s="18"/>
      <c r="E1483" s="19"/>
      <c r="F1483" s="20"/>
      <c r="G1483" s="21"/>
      <c r="H1483" s="21"/>
      <c r="I1483" s="21"/>
      <c r="J1483" s="21"/>
      <c r="K1483" s="19"/>
      <c r="L1483" s="19"/>
      <c r="M1483" s="13"/>
      <c r="N1483" s="14"/>
      <c r="O1483" s="14"/>
      <c r="P1483" s="4"/>
    </row>
    <row r="1484" spans="2:16">
      <c r="B1484" s="15"/>
      <c r="C1484" s="17"/>
      <c r="D1484" s="18"/>
      <c r="E1484" s="19"/>
      <c r="F1484" s="20"/>
      <c r="G1484" s="21"/>
      <c r="H1484" s="21"/>
      <c r="I1484" s="21"/>
      <c r="J1484" s="21"/>
      <c r="K1484" s="19"/>
      <c r="L1484" s="19"/>
      <c r="M1484" s="13"/>
      <c r="N1484" s="14"/>
      <c r="O1484" s="14"/>
      <c r="P1484" s="4"/>
    </row>
    <row r="1485" spans="2:16">
      <c r="B1485" s="15"/>
      <c r="C1485" s="17"/>
      <c r="D1485" s="18"/>
      <c r="E1485" s="19"/>
      <c r="F1485" s="20"/>
      <c r="G1485" s="21"/>
      <c r="H1485" s="21"/>
      <c r="I1485" s="21"/>
      <c r="J1485" s="21"/>
      <c r="K1485" s="19"/>
      <c r="L1485" s="19"/>
      <c r="M1485" s="13"/>
      <c r="N1485" s="14"/>
      <c r="O1485" s="14"/>
      <c r="P1485" s="4"/>
    </row>
    <row r="1486" spans="2:16">
      <c r="B1486" s="15"/>
      <c r="C1486" s="17"/>
      <c r="D1486" s="18"/>
      <c r="E1486" s="19"/>
      <c r="F1486" s="20"/>
      <c r="G1486" s="21"/>
      <c r="H1486" s="21"/>
      <c r="I1486" s="21"/>
      <c r="J1486" s="21"/>
      <c r="K1486" s="19"/>
      <c r="L1486" s="19"/>
      <c r="M1486" s="13"/>
      <c r="N1486" s="14"/>
      <c r="O1486" s="14"/>
      <c r="P1486" s="4"/>
    </row>
    <row r="1487" spans="2:16">
      <c r="B1487" s="15"/>
      <c r="C1487" s="17"/>
      <c r="D1487" s="18"/>
      <c r="E1487" s="19"/>
      <c r="F1487" s="20"/>
      <c r="G1487" s="21"/>
      <c r="H1487" s="21"/>
      <c r="I1487" s="21"/>
      <c r="J1487" s="21"/>
      <c r="K1487" s="19"/>
      <c r="L1487" s="19"/>
      <c r="M1487" s="13"/>
      <c r="N1487" s="14"/>
      <c r="O1487" s="14"/>
      <c r="P1487" s="4"/>
    </row>
    <row r="1488" spans="2:16">
      <c r="B1488" s="15"/>
      <c r="C1488" s="17"/>
      <c r="D1488" s="18"/>
      <c r="E1488" s="19"/>
      <c r="F1488" s="20"/>
      <c r="G1488" s="21"/>
      <c r="H1488" s="21"/>
      <c r="I1488" s="21"/>
      <c r="J1488" s="21"/>
      <c r="K1488" s="19"/>
      <c r="L1488" s="19"/>
      <c r="M1488" s="13"/>
      <c r="N1488" s="14"/>
      <c r="O1488" s="14"/>
      <c r="P1488" s="4"/>
    </row>
    <row r="1489" spans="2:16">
      <c r="B1489" s="15"/>
      <c r="C1489" s="17"/>
      <c r="D1489" s="18"/>
      <c r="E1489" s="19"/>
      <c r="F1489" s="20"/>
      <c r="G1489" s="21"/>
      <c r="H1489" s="21"/>
      <c r="I1489" s="21"/>
      <c r="J1489" s="21"/>
      <c r="K1489" s="19"/>
      <c r="L1489" s="19"/>
      <c r="M1489" s="13"/>
      <c r="N1489" s="14"/>
      <c r="O1489" s="14"/>
      <c r="P1489" s="4"/>
    </row>
    <row r="1490" spans="2:16">
      <c r="B1490" s="15"/>
      <c r="C1490" s="17"/>
      <c r="D1490" s="18"/>
      <c r="E1490" s="19"/>
      <c r="F1490" s="20"/>
      <c r="G1490" s="21"/>
      <c r="H1490" s="21"/>
      <c r="I1490" s="21"/>
      <c r="J1490" s="21"/>
      <c r="K1490" s="19"/>
      <c r="L1490" s="19"/>
      <c r="M1490" s="13"/>
      <c r="N1490" s="14"/>
      <c r="O1490" s="14"/>
      <c r="P1490" s="4"/>
    </row>
    <row r="1491" spans="2:16">
      <c r="B1491" s="15"/>
      <c r="C1491" s="17"/>
      <c r="D1491" s="18"/>
      <c r="E1491" s="19"/>
      <c r="F1491" s="20"/>
      <c r="G1491" s="21"/>
      <c r="H1491" s="21"/>
      <c r="I1491" s="21"/>
      <c r="J1491" s="21"/>
      <c r="K1491" s="19"/>
      <c r="L1491" s="19"/>
      <c r="M1491" s="13"/>
      <c r="N1491" s="14"/>
      <c r="O1491" s="14"/>
      <c r="P1491" s="4"/>
    </row>
    <row r="1492" spans="2:16">
      <c r="B1492" s="15"/>
      <c r="C1492" s="17"/>
      <c r="D1492" s="18"/>
      <c r="E1492" s="19"/>
      <c r="F1492" s="20"/>
      <c r="G1492" s="21"/>
      <c r="H1492" s="21"/>
      <c r="I1492" s="21"/>
      <c r="J1492" s="21"/>
      <c r="K1492" s="19"/>
      <c r="L1492" s="19"/>
      <c r="M1492" s="13"/>
      <c r="N1492" s="14"/>
      <c r="O1492" s="14"/>
      <c r="P1492" s="4"/>
    </row>
    <row r="1493" spans="2:16">
      <c r="B1493" s="15"/>
      <c r="C1493" s="17"/>
      <c r="D1493" s="18"/>
      <c r="E1493" s="19"/>
      <c r="F1493" s="20"/>
      <c r="G1493" s="21"/>
      <c r="H1493" s="21"/>
      <c r="I1493" s="21"/>
      <c r="J1493" s="21"/>
      <c r="K1493" s="19"/>
      <c r="L1493" s="19"/>
      <c r="M1493" s="13"/>
      <c r="N1493" s="14"/>
      <c r="O1493" s="14"/>
      <c r="P1493" s="4"/>
    </row>
    <row r="1494" spans="2:16">
      <c r="B1494" s="15"/>
      <c r="C1494" s="17"/>
      <c r="D1494" s="18"/>
      <c r="E1494" s="19"/>
      <c r="F1494" s="20"/>
      <c r="G1494" s="21"/>
      <c r="H1494" s="21"/>
      <c r="I1494" s="21"/>
      <c r="J1494" s="21"/>
      <c r="K1494" s="19"/>
      <c r="L1494" s="19"/>
      <c r="M1494" s="13"/>
      <c r="N1494" s="14"/>
      <c r="O1494" s="14"/>
      <c r="P1494" s="4"/>
    </row>
    <row r="1495" spans="2:16">
      <c r="B1495" s="15"/>
      <c r="C1495" s="17"/>
      <c r="D1495" s="18"/>
      <c r="E1495" s="19"/>
      <c r="F1495" s="20"/>
      <c r="G1495" s="21"/>
      <c r="H1495" s="21"/>
      <c r="I1495" s="21"/>
      <c r="J1495" s="21"/>
      <c r="K1495" s="19"/>
      <c r="L1495" s="19"/>
      <c r="M1495" s="13"/>
      <c r="N1495" s="14"/>
      <c r="O1495" s="14"/>
      <c r="P1495" s="4"/>
    </row>
    <row r="1496" spans="2:16">
      <c r="B1496" s="15"/>
      <c r="C1496" s="17"/>
      <c r="D1496" s="18"/>
      <c r="E1496" s="19"/>
      <c r="F1496" s="20"/>
      <c r="G1496" s="21"/>
      <c r="H1496" s="21"/>
      <c r="I1496" s="21"/>
      <c r="J1496" s="21"/>
      <c r="K1496" s="19"/>
      <c r="L1496" s="19"/>
      <c r="M1496" s="13"/>
      <c r="N1496" s="14"/>
      <c r="O1496" s="14"/>
      <c r="P1496" s="4"/>
    </row>
    <row r="1497" spans="2:16">
      <c r="B1497" s="15"/>
      <c r="C1497" s="17"/>
      <c r="D1497" s="18"/>
      <c r="E1497" s="19"/>
      <c r="F1497" s="20"/>
      <c r="G1497" s="21"/>
      <c r="H1497" s="21"/>
      <c r="I1497" s="21"/>
      <c r="J1497" s="21"/>
      <c r="K1497" s="19"/>
      <c r="L1497" s="19"/>
      <c r="M1497" s="13"/>
      <c r="N1497" s="14"/>
      <c r="O1497" s="14"/>
      <c r="P1497" s="4"/>
    </row>
    <row r="1498" spans="2:16">
      <c r="B1498" s="15"/>
      <c r="C1498" s="17"/>
      <c r="D1498" s="18"/>
      <c r="E1498" s="19"/>
      <c r="F1498" s="20"/>
      <c r="G1498" s="21"/>
      <c r="H1498" s="21"/>
      <c r="I1498" s="21"/>
      <c r="J1498" s="21"/>
      <c r="K1498" s="19"/>
      <c r="L1498" s="19"/>
      <c r="M1498" s="13"/>
      <c r="N1498" s="14"/>
      <c r="O1498" s="14"/>
      <c r="P1498" s="4"/>
    </row>
    <row r="1499" spans="2:16">
      <c r="B1499" s="15"/>
      <c r="C1499" s="17"/>
      <c r="D1499" s="18"/>
      <c r="E1499" s="19"/>
      <c r="F1499" s="20"/>
      <c r="G1499" s="21"/>
      <c r="H1499" s="21"/>
      <c r="I1499" s="21"/>
      <c r="J1499" s="21"/>
      <c r="K1499" s="19"/>
      <c r="L1499" s="19"/>
      <c r="M1499" s="13"/>
      <c r="N1499" s="14"/>
      <c r="O1499" s="14"/>
      <c r="P1499" s="4"/>
    </row>
    <row r="1500" spans="2:16">
      <c r="B1500" s="15"/>
      <c r="C1500" s="17"/>
      <c r="D1500" s="18"/>
      <c r="E1500" s="19"/>
      <c r="F1500" s="20"/>
      <c r="G1500" s="21"/>
      <c r="H1500" s="21"/>
      <c r="I1500" s="21"/>
      <c r="J1500" s="21"/>
      <c r="K1500" s="19"/>
      <c r="L1500" s="19"/>
      <c r="M1500" s="13"/>
      <c r="N1500" s="14"/>
      <c r="O1500" s="14"/>
      <c r="P1500" s="4"/>
    </row>
    <row r="1501" spans="2:16">
      <c r="B1501" s="15"/>
      <c r="C1501" s="17"/>
      <c r="D1501" s="18"/>
      <c r="E1501" s="19"/>
      <c r="F1501" s="20"/>
      <c r="G1501" s="21"/>
      <c r="H1501" s="21"/>
      <c r="I1501" s="21"/>
      <c r="J1501" s="21"/>
      <c r="K1501" s="19"/>
      <c r="L1501" s="19"/>
      <c r="M1501" s="13"/>
      <c r="N1501" s="14"/>
      <c r="O1501" s="14"/>
      <c r="P1501" s="4"/>
    </row>
    <row r="1502" spans="2:16">
      <c r="B1502" s="15"/>
      <c r="C1502" s="17"/>
      <c r="D1502" s="18"/>
      <c r="E1502" s="19"/>
      <c r="F1502" s="20"/>
      <c r="G1502" s="21"/>
      <c r="H1502" s="21"/>
      <c r="I1502" s="21"/>
      <c r="J1502" s="21"/>
      <c r="K1502" s="19"/>
      <c r="L1502" s="19"/>
      <c r="M1502" s="13"/>
      <c r="N1502" s="14"/>
      <c r="O1502" s="14"/>
      <c r="P1502" s="4"/>
    </row>
    <row r="1503" spans="2:16">
      <c r="B1503" s="15"/>
      <c r="C1503" s="17"/>
      <c r="D1503" s="18"/>
      <c r="E1503" s="19"/>
      <c r="F1503" s="20"/>
      <c r="G1503" s="21"/>
      <c r="H1503" s="21"/>
      <c r="I1503" s="21"/>
      <c r="J1503" s="21"/>
      <c r="K1503" s="19"/>
      <c r="L1503" s="19"/>
      <c r="M1503" s="13"/>
      <c r="N1503" s="14"/>
      <c r="O1503" s="14"/>
      <c r="P1503" s="4"/>
    </row>
    <row r="1504" spans="2:16">
      <c r="B1504" s="15"/>
      <c r="C1504" s="17"/>
      <c r="D1504" s="18"/>
      <c r="E1504" s="19"/>
      <c r="F1504" s="20"/>
      <c r="G1504" s="21"/>
      <c r="H1504" s="21"/>
      <c r="I1504" s="21"/>
      <c r="J1504" s="21"/>
      <c r="K1504" s="19"/>
      <c r="L1504" s="19"/>
      <c r="M1504" s="13"/>
      <c r="N1504" s="14"/>
      <c r="O1504" s="14"/>
      <c r="P1504" s="4"/>
    </row>
    <row r="1505" spans="2:16">
      <c r="B1505" s="15"/>
      <c r="C1505" s="17"/>
      <c r="D1505" s="18"/>
      <c r="E1505" s="19"/>
      <c r="F1505" s="20"/>
      <c r="G1505" s="21"/>
      <c r="H1505" s="21"/>
      <c r="I1505" s="21"/>
      <c r="J1505" s="21"/>
      <c r="K1505" s="19"/>
      <c r="L1505" s="19"/>
      <c r="M1505" s="13"/>
      <c r="N1505" s="14"/>
      <c r="O1505" s="14"/>
      <c r="P1505" s="4"/>
    </row>
    <row r="1506" spans="2:16">
      <c r="B1506" s="15"/>
      <c r="C1506" s="17"/>
      <c r="D1506" s="18"/>
      <c r="E1506" s="19"/>
      <c r="F1506" s="20"/>
      <c r="G1506" s="21"/>
      <c r="H1506" s="21"/>
      <c r="I1506" s="21"/>
      <c r="J1506" s="21"/>
      <c r="K1506" s="19"/>
      <c r="L1506" s="19"/>
      <c r="M1506" s="13"/>
      <c r="N1506" s="14"/>
      <c r="O1506" s="14"/>
      <c r="P1506" s="4"/>
    </row>
    <row r="1507" spans="2:16">
      <c r="B1507" s="15"/>
      <c r="C1507" s="17"/>
      <c r="D1507" s="18"/>
      <c r="E1507" s="19"/>
      <c r="F1507" s="20"/>
      <c r="G1507" s="21"/>
      <c r="H1507" s="21"/>
      <c r="I1507" s="21"/>
      <c r="J1507" s="21"/>
      <c r="K1507" s="19"/>
      <c r="L1507" s="19"/>
      <c r="M1507" s="13"/>
      <c r="N1507" s="14"/>
      <c r="O1507" s="14"/>
      <c r="P1507" s="4"/>
    </row>
    <row r="1508" spans="2:16">
      <c r="B1508" s="15"/>
      <c r="C1508" s="17"/>
      <c r="D1508" s="18"/>
      <c r="E1508" s="19"/>
      <c r="F1508" s="20"/>
      <c r="G1508" s="21"/>
      <c r="H1508" s="21"/>
      <c r="I1508" s="21"/>
      <c r="J1508" s="21"/>
      <c r="K1508" s="19"/>
      <c r="L1508" s="19"/>
      <c r="M1508" s="13"/>
      <c r="N1508" s="14"/>
      <c r="O1508" s="14"/>
      <c r="P1508" s="4"/>
    </row>
    <row r="1509" spans="2:16">
      <c r="B1509" s="15"/>
      <c r="C1509" s="17"/>
      <c r="D1509" s="18"/>
      <c r="E1509" s="19"/>
      <c r="F1509" s="20"/>
      <c r="G1509" s="21"/>
      <c r="H1509" s="21"/>
      <c r="I1509" s="21"/>
      <c r="J1509" s="21"/>
      <c r="K1509" s="19"/>
      <c r="L1509" s="19"/>
      <c r="M1509" s="13"/>
      <c r="N1509" s="14"/>
      <c r="O1509" s="14"/>
      <c r="P1509" s="4"/>
    </row>
    <row r="1510" spans="2:16">
      <c r="B1510" s="15"/>
      <c r="C1510" s="17"/>
      <c r="D1510" s="18"/>
      <c r="E1510" s="19"/>
      <c r="F1510" s="20"/>
      <c r="G1510" s="21"/>
      <c r="H1510" s="21"/>
      <c r="I1510" s="21"/>
      <c r="J1510" s="21"/>
      <c r="K1510" s="19"/>
      <c r="L1510" s="19"/>
      <c r="M1510" s="13"/>
      <c r="N1510" s="14"/>
      <c r="O1510" s="14"/>
      <c r="P1510" s="4"/>
    </row>
    <row r="1511" spans="2:16">
      <c r="B1511" s="15"/>
      <c r="C1511" s="17"/>
      <c r="D1511" s="18"/>
      <c r="E1511" s="19"/>
      <c r="F1511" s="20"/>
      <c r="G1511" s="21"/>
      <c r="H1511" s="21"/>
      <c r="I1511" s="21"/>
      <c r="J1511" s="21"/>
      <c r="K1511" s="19"/>
      <c r="L1511" s="19"/>
      <c r="M1511" s="13"/>
      <c r="N1511" s="14"/>
      <c r="O1511" s="14"/>
      <c r="P1511" s="4"/>
    </row>
    <row r="1512" spans="2:16">
      <c r="B1512" s="15"/>
      <c r="C1512" s="17"/>
      <c r="D1512" s="18"/>
      <c r="E1512" s="19"/>
      <c r="F1512" s="20"/>
      <c r="G1512" s="21"/>
      <c r="H1512" s="21"/>
      <c r="I1512" s="21"/>
      <c r="J1512" s="21"/>
      <c r="K1512" s="19"/>
      <c r="L1512" s="19"/>
      <c r="M1512" s="13"/>
      <c r="N1512" s="14"/>
      <c r="O1512" s="14"/>
      <c r="P1512" s="4"/>
    </row>
    <row r="1513" spans="2:16">
      <c r="B1513" s="15"/>
      <c r="C1513" s="17"/>
      <c r="D1513" s="18"/>
      <c r="E1513" s="19"/>
      <c r="F1513" s="20"/>
      <c r="G1513" s="21"/>
      <c r="H1513" s="21"/>
      <c r="I1513" s="21"/>
      <c r="J1513" s="21"/>
      <c r="K1513" s="19"/>
      <c r="L1513" s="19"/>
      <c r="M1513" s="13"/>
      <c r="N1513" s="14"/>
      <c r="O1513" s="14"/>
      <c r="P1513" s="4"/>
    </row>
    <row r="1514" spans="2:16">
      <c r="B1514" s="15"/>
      <c r="C1514" s="17"/>
      <c r="D1514" s="18"/>
      <c r="E1514" s="19"/>
      <c r="F1514" s="20"/>
      <c r="G1514" s="21"/>
      <c r="H1514" s="21"/>
      <c r="I1514" s="21"/>
      <c r="J1514" s="21"/>
      <c r="K1514" s="19"/>
      <c r="L1514" s="19"/>
      <c r="M1514" s="13"/>
      <c r="N1514" s="14"/>
      <c r="O1514" s="14"/>
      <c r="P1514" s="4"/>
    </row>
    <row r="1515" spans="2:16">
      <c r="B1515" s="15"/>
      <c r="C1515" s="17"/>
      <c r="D1515" s="18"/>
      <c r="E1515" s="19"/>
      <c r="F1515" s="20"/>
      <c r="G1515" s="21"/>
      <c r="H1515" s="21"/>
      <c r="I1515" s="21"/>
      <c r="J1515" s="21"/>
      <c r="K1515" s="19"/>
      <c r="L1515" s="19"/>
      <c r="M1515" s="13"/>
      <c r="N1515" s="14"/>
      <c r="O1515" s="14"/>
      <c r="P1515" s="4"/>
    </row>
    <row r="1516" spans="2:16">
      <c r="B1516" s="15"/>
      <c r="C1516" s="17"/>
      <c r="D1516" s="18"/>
      <c r="E1516" s="19"/>
      <c r="F1516" s="20"/>
      <c r="G1516" s="21"/>
      <c r="H1516" s="21"/>
      <c r="I1516" s="21"/>
      <c r="J1516" s="21"/>
      <c r="K1516" s="19"/>
      <c r="L1516" s="19"/>
      <c r="M1516" s="13"/>
      <c r="N1516" s="14"/>
      <c r="O1516" s="14"/>
      <c r="P1516" s="4"/>
    </row>
    <row r="1517" spans="2:16">
      <c r="B1517" s="15"/>
      <c r="C1517" s="17"/>
      <c r="D1517" s="18"/>
      <c r="E1517" s="19"/>
      <c r="F1517" s="20"/>
      <c r="G1517" s="21"/>
      <c r="H1517" s="21"/>
      <c r="I1517" s="21"/>
      <c r="J1517" s="21"/>
      <c r="K1517" s="19"/>
      <c r="L1517" s="19"/>
      <c r="M1517" s="13"/>
      <c r="N1517" s="14"/>
      <c r="O1517" s="14"/>
      <c r="P1517" s="4"/>
    </row>
    <row r="1518" spans="2:16">
      <c r="B1518" s="15"/>
      <c r="C1518" s="17"/>
      <c r="D1518" s="18"/>
      <c r="E1518" s="19"/>
      <c r="F1518" s="20"/>
      <c r="G1518" s="21"/>
      <c r="H1518" s="21"/>
      <c r="I1518" s="21"/>
      <c r="J1518" s="21"/>
      <c r="K1518" s="19"/>
      <c r="L1518" s="19"/>
      <c r="M1518" s="13"/>
      <c r="N1518" s="14"/>
      <c r="O1518" s="14"/>
      <c r="P1518" s="4"/>
    </row>
    <row r="1519" spans="2:16">
      <c r="B1519" s="15"/>
      <c r="C1519" s="17"/>
      <c r="D1519" s="18"/>
      <c r="E1519" s="19"/>
      <c r="F1519" s="20"/>
      <c r="G1519" s="21"/>
      <c r="H1519" s="21"/>
      <c r="I1519" s="21"/>
      <c r="J1519" s="21"/>
      <c r="K1519" s="19"/>
      <c r="L1519" s="19"/>
      <c r="M1519" s="13"/>
      <c r="N1519" s="14"/>
      <c r="O1519" s="14"/>
      <c r="P1519" s="4"/>
    </row>
    <row r="1520" spans="2:16">
      <c r="B1520" s="15"/>
      <c r="C1520" s="17"/>
      <c r="D1520" s="18"/>
      <c r="E1520" s="19"/>
      <c r="F1520" s="20"/>
      <c r="G1520" s="21"/>
      <c r="H1520" s="21"/>
      <c r="I1520" s="21"/>
      <c r="J1520" s="21"/>
      <c r="K1520" s="19"/>
      <c r="L1520" s="19"/>
      <c r="M1520" s="13"/>
      <c r="N1520" s="14"/>
      <c r="O1520" s="14"/>
      <c r="P1520" s="4"/>
    </row>
    <row r="1521" spans="2:16">
      <c r="B1521" s="15"/>
      <c r="C1521" s="17"/>
      <c r="D1521" s="18"/>
      <c r="E1521" s="19"/>
      <c r="F1521" s="20"/>
      <c r="G1521" s="21"/>
      <c r="H1521" s="21"/>
      <c r="I1521" s="21"/>
      <c r="J1521" s="21"/>
      <c r="K1521" s="19"/>
      <c r="L1521" s="19"/>
      <c r="M1521" s="13"/>
      <c r="N1521" s="14"/>
      <c r="O1521" s="14"/>
      <c r="P1521" s="4"/>
    </row>
    <row r="1522" spans="2:16">
      <c r="B1522" s="15"/>
      <c r="C1522" s="17"/>
      <c r="D1522" s="18"/>
      <c r="E1522" s="19"/>
      <c r="F1522" s="20"/>
      <c r="G1522" s="21"/>
      <c r="H1522" s="21"/>
      <c r="I1522" s="21"/>
      <c r="J1522" s="21"/>
      <c r="K1522" s="19"/>
      <c r="L1522" s="19"/>
      <c r="M1522" s="13"/>
      <c r="N1522" s="14"/>
      <c r="O1522" s="14"/>
      <c r="P1522" s="4"/>
    </row>
    <row r="1523" spans="2:16">
      <c r="B1523" s="15"/>
      <c r="C1523" s="17"/>
      <c r="D1523" s="18"/>
      <c r="E1523" s="19"/>
      <c r="F1523" s="20"/>
      <c r="G1523" s="21"/>
      <c r="H1523" s="21"/>
      <c r="I1523" s="21"/>
      <c r="J1523" s="21"/>
      <c r="K1523" s="19"/>
      <c r="L1523" s="19"/>
      <c r="M1523" s="13"/>
      <c r="N1523" s="14"/>
      <c r="O1523" s="14"/>
      <c r="P1523" s="4"/>
    </row>
    <row r="1524" spans="2:16">
      <c r="B1524" s="15"/>
      <c r="C1524" s="17"/>
      <c r="D1524" s="18"/>
      <c r="E1524" s="19"/>
      <c r="F1524" s="20"/>
      <c r="G1524" s="21"/>
      <c r="H1524" s="21"/>
      <c r="I1524" s="21"/>
      <c r="J1524" s="21"/>
      <c r="K1524" s="19"/>
      <c r="L1524" s="19"/>
      <c r="M1524" s="13"/>
      <c r="N1524" s="14"/>
      <c r="O1524" s="14"/>
      <c r="P1524" s="4"/>
    </row>
    <row r="1525" spans="2:16">
      <c r="B1525" s="15"/>
      <c r="C1525" s="17"/>
      <c r="D1525" s="18"/>
      <c r="E1525" s="19"/>
      <c r="F1525" s="20"/>
      <c r="G1525" s="21"/>
      <c r="H1525" s="21"/>
      <c r="I1525" s="21"/>
      <c r="J1525" s="21"/>
      <c r="K1525" s="19"/>
      <c r="L1525" s="19"/>
      <c r="M1525" s="13"/>
      <c r="N1525" s="14"/>
      <c r="O1525" s="14"/>
      <c r="P1525" s="4"/>
    </row>
    <row r="1526" spans="2:16">
      <c r="B1526" s="15"/>
      <c r="C1526" s="17"/>
      <c r="D1526" s="18"/>
      <c r="E1526" s="19"/>
      <c r="F1526" s="20"/>
      <c r="G1526" s="21"/>
      <c r="H1526" s="21"/>
      <c r="I1526" s="21"/>
      <c r="J1526" s="21"/>
      <c r="K1526" s="19"/>
      <c r="L1526" s="19"/>
      <c r="M1526" s="13"/>
      <c r="N1526" s="14"/>
      <c r="O1526" s="14"/>
      <c r="P1526" s="4"/>
    </row>
    <row r="1527" spans="2:16">
      <c r="B1527" s="15"/>
      <c r="C1527" s="17"/>
      <c r="D1527" s="18"/>
      <c r="E1527" s="19"/>
      <c r="F1527" s="20"/>
      <c r="G1527" s="21"/>
      <c r="H1527" s="21"/>
      <c r="I1527" s="21"/>
      <c r="J1527" s="21"/>
      <c r="K1527" s="19"/>
      <c r="L1527" s="19"/>
      <c r="M1527" s="13"/>
      <c r="N1527" s="14"/>
      <c r="O1527" s="14"/>
      <c r="P1527" s="4"/>
    </row>
    <row r="1528" spans="2:16">
      <c r="B1528" s="15"/>
      <c r="C1528" s="17"/>
      <c r="D1528" s="18"/>
      <c r="E1528" s="19"/>
      <c r="F1528" s="20"/>
      <c r="G1528" s="21"/>
      <c r="H1528" s="21"/>
      <c r="I1528" s="21"/>
      <c r="J1528" s="21"/>
      <c r="K1528" s="19"/>
      <c r="L1528" s="19"/>
      <c r="M1528" s="13"/>
      <c r="N1528" s="14"/>
      <c r="O1528" s="14"/>
      <c r="P1528" s="4"/>
    </row>
    <row r="1529" spans="2:16">
      <c r="B1529" s="15"/>
      <c r="C1529" s="17"/>
      <c r="D1529" s="18"/>
      <c r="E1529" s="19"/>
      <c r="F1529" s="20"/>
      <c r="G1529" s="21"/>
      <c r="H1529" s="21"/>
      <c r="I1529" s="21"/>
      <c r="J1529" s="21"/>
      <c r="K1529" s="19"/>
      <c r="L1529" s="19"/>
      <c r="M1529" s="13"/>
      <c r="N1529" s="14"/>
      <c r="O1529" s="14"/>
      <c r="P1529" s="4"/>
    </row>
    <row r="1530" spans="2:16">
      <c r="B1530" s="15"/>
      <c r="C1530" s="17"/>
      <c r="D1530" s="18"/>
      <c r="E1530" s="19"/>
      <c r="F1530" s="20"/>
      <c r="G1530" s="21"/>
      <c r="H1530" s="21"/>
      <c r="I1530" s="21"/>
      <c r="J1530" s="21"/>
      <c r="K1530" s="19"/>
      <c r="L1530" s="19"/>
      <c r="M1530" s="13"/>
      <c r="N1530" s="14"/>
      <c r="O1530" s="14"/>
      <c r="P1530" s="4"/>
    </row>
    <row r="1531" spans="2:16">
      <c r="B1531" s="15"/>
      <c r="C1531" s="17"/>
      <c r="D1531" s="18"/>
      <c r="E1531" s="19"/>
      <c r="F1531" s="20"/>
      <c r="G1531" s="21"/>
      <c r="H1531" s="21"/>
      <c r="I1531" s="21"/>
      <c r="J1531" s="21"/>
      <c r="K1531" s="19"/>
      <c r="L1531" s="19"/>
      <c r="M1531" s="13"/>
      <c r="N1531" s="14"/>
      <c r="O1531" s="14"/>
      <c r="P1531" s="4"/>
    </row>
    <row r="1532" spans="2:16">
      <c r="B1532" s="15"/>
      <c r="C1532" s="17"/>
      <c r="D1532" s="18"/>
      <c r="E1532" s="19"/>
      <c r="F1532" s="20"/>
      <c r="G1532" s="21"/>
      <c r="H1532" s="21"/>
      <c r="I1532" s="21"/>
      <c r="J1532" s="21"/>
      <c r="K1532" s="19"/>
      <c r="L1532" s="19"/>
      <c r="M1532" s="13"/>
      <c r="N1532" s="14"/>
      <c r="O1532" s="14"/>
      <c r="P1532" s="4"/>
    </row>
    <row r="1533" spans="2:16">
      <c r="B1533" s="15"/>
      <c r="C1533" s="17"/>
      <c r="D1533" s="18"/>
      <c r="E1533" s="19"/>
      <c r="F1533" s="20"/>
      <c r="G1533" s="21"/>
      <c r="H1533" s="21"/>
      <c r="I1533" s="21"/>
      <c r="J1533" s="21"/>
      <c r="K1533" s="19"/>
      <c r="L1533" s="19"/>
      <c r="M1533" s="13"/>
      <c r="N1533" s="14"/>
      <c r="O1533" s="14"/>
      <c r="P1533" s="4"/>
    </row>
    <row r="1534" spans="2:16">
      <c r="B1534" s="15"/>
      <c r="C1534" s="17"/>
      <c r="D1534" s="18"/>
      <c r="E1534" s="19"/>
      <c r="F1534" s="20"/>
      <c r="G1534" s="21"/>
      <c r="H1534" s="21"/>
      <c r="I1534" s="21"/>
      <c r="J1534" s="21"/>
      <c r="K1534" s="19"/>
      <c r="L1534" s="19"/>
      <c r="M1534" s="13"/>
      <c r="N1534" s="14"/>
      <c r="O1534" s="14"/>
      <c r="P1534" s="4"/>
    </row>
    <row r="1535" spans="2:16">
      <c r="B1535" s="15"/>
      <c r="C1535" s="17"/>
      <c r="D1535" s="18"/>
      <c r="E1535" s="19"/>
      <c r="F1535" s="20"/>
      <c r="G1535" s="21"/>
      <c r="H1535" s="21"/>
      <c r="I1535" s="21"/>
      <c r="J1535" s="21"/>
      <c r="K1535" s="19"/>
      <c r="L1535" s="19"/>
      <c r="M1535" s="13"/>
      <c r="N1535" s="14"/>
      <c r="O1535" s="14"/>
      <c r="P1535" s="4"/>
    </row>
    <row r="1536" spans="2:16">
      <c r="B1536" s="15"/>
      <c r="C1536" s="17"/>
      <c r="D1536" s="18"/>
      <c r="E1536" s="19"/>
      <c r="F1536" s="20"/>
      <c r="G1536" s="21"/>
      <c r="H1536" s="21"/>
      <c r="I1536" s="21"/>
      <c r="J1536" s="21"/>
      <c r="K1536" s="19"/>
      <c r="L1536" s="19"/>
      <c r="M1536" s="13"/>
      <c r="N1536" s="14"/>
      <c r="O1536" s="14"/>
      <c r="P1536" s="4"/>
    </row>
    <row r="1537" spans="2:16">
      <c r="B1537" s="15"/>
      <c r="C1537" s="17"/>
      <c r="D1537" s="18"/>
      <c r="E1537" s="19"/>
      <c r="F1537" s="20"/>
      <c r="G1537" s="21"/>
      <c r="H1537" s="21"/>
      <c r="I1537" s="21"/>
      <c r="J1537" s="21"/>
      <c r="K1537" s="19"/>
      <c r="L1537" s="19"/>
      <c r="M1537" s="13"/>
      <c r="N1537" s="14"/>
      <c r="O1537" s="14"/>
      <c r="P1537" s="4"/>
    </row>
    <row r="1538" spans="2:16">
      <c r="B1538" s="15"/>
      <c r="C1538" s="17"/>
      <c r="D1538" s="18"/>
      <c r="E1538" s="19"/>
      <c r="F1538" s="20"/>
      <c r="G1538" s="21"/>
      <c r="H1538" s="21"/>
      <c r="I1538" s="21"/>
      <c r="J1538" s="21"/>
      <c r="K1538" s="19"/>
      <c r="L1538" s="19"/>
      <c r="M1538" s="13"/>
      <c r="N1538" s="14"/>
      <c r="O1538" s="14"/>
      <c r="P1538" s="4"/>
    </row>
    <row r="1539" spans="2:16">
      <c r="B1539" s="15"/>
      <c r="C1539" s="17"/>
      <c r="D1539" s="18"/>
      <c r="E1539" s="19"/>
      <c r="F1539" s="20"/>
      <c r="G1539" s="21"/>
      <c r="H1539" s="21"/>
      <c r="I1539" s="21"/>
      <c r="J1539" s="21"/>
      <c r="K1539" s="19"/>
      <c r="L1539" s="19"/>
      <c r="M1539" s="13"/>
      <c r="N1539" s="14"/>
      <c r="O1539" s="14"/>
      <c r="P1539" s="4"/>
    </row>
    <row r="1540" spans="2:16">
      <c r="B1540" s="15"/>
      <c r="C1540" s="17"/>
      <c r="D1540" s="18"/>
      <c r="E1540" s="19"/>
      <c r="F1540" s="20"/>
      <c r="G1540" s="21"/>
      <c r="H1540" s="21"/>
      <c r="I1540" s="21"/>
      <c r="J1540" s="21"/>
      <c r="K1540" s="19"/>
      <c r="L1540" s="19"/>
      <c r="M1540" s="13"/>
      <c r="N1540" s="14"/>
      <c r="O1540" s="14"/>
      <c r="P1540" s="4"/>
    </row>
    <row r="1541" spans="2:16">
      <c r="B1541" s="15"/>
      <c r="C1541" s="17"/>
      <c r="D1541" s="18"/>
      <c r="E1541" s="19"/>
      <c r="F1541" s="20"/>
      <c r="G1541" s="21"/>
      <c r="H1541" s="21"/>
      <c r="I1541" s="21"/>
      <c r="J1541" s="21"/>
      <c r="K1541" s="19"/>
      <c r="L1541" s="19"/>
      <c r="M1541" s="13"/>
      <c r="N1541" s="14"/>
      <c r="O1541" s="14"/>
      <c r="P1541" s="4"/>
    </row>
    <row r="1542" spans="2:16">
      <c r="B1542" s="15"/>
      <c r="C1542" s="17"/>
      <c r="D1542" s="18"/>
      <c r="E1542" s="19"/>
      <c r="F1542" s="20"/>
      <c r="G1542" s="21"/>
      <c r="H1542" s="21"/>
      <c r="I1542" s="21"/>
      <c r="J1542" s="21"/>
      <c r="K1542" s="19"/>
      <c r="L1542" s="19"/>
      <c r="M1542" s="13"/>
      <c r="N1542" s="14"/>
      <c r="O1542" s="14"/>
      <c r="P1542" s="4"/>
    </row>
    <row r="1543" spans="2:16">
      <c r="B1543" s="15"/>
      <c r="C1543" s="17"/>
      <c r="D1543" s="18"/>
      <c r="E1543" s="19"/>
      <c r="F1543" s="20"/>
      <c r="G1543" s="21"/>
      <c r="H1543" s="21"/>
      <c r="I1543" s="21"/>
      <c r="J1543" s="21"/>
      <c r="K1543" s="19"/>
      <c r="L1543" s="19"/>
      <c r="M1543" s="13"/>
      <c r="N1543" s="14"/>
      <c r="O1543" s="14"/>
      <c r="P1543" s="4"/>
    </row>
    <row r="1544" spans="2:16">
      <c r="B1544" s="15"/>
      <c r="C1544" s="17"/>
      <c r="D1544" s="18"/>
      <c r="E1544" s="19"/>
      <c r="F1544" s="20"/>
      <c r="G1544" s="21"/>
      <c r="H1544" s="21"/>
      <c r="I1544" s="21"/>
      <c r="J1544" s="21"/>
      <c r="K1544" s="19"/>
      <c r="L1544" s="19"/>
      <c r="M1544" s="13"/>
      <c r="N1544" s="14"/>
      <c r="O1544" s="14"/>
      <c r="P1544" s="4"/>
    </row>
    <row r="1545" spans="2:16">
      <c r="B1545" s="15"/>
      <c r="C1545" s="17"/>
      <c r="D1545" s="18"/>
      <c r="E1545" s="19"/>
      <c r="F1545" s="20"/>
      <c r="G1545" s="21"/>
      <c r="H1545" s="21"/>
      <c r="I1545" s="21"/>
      <c r="J1545" s="21"/>
      <c r="K1545" s="19"/>
      <c r="L1545" s="19"/>
      <c r="M1545" s="13"/>
      <c r="N1545" s="14"/>
      <c r="O1545" s="14"/>
      <c r="P1545" s="4"/>
    </row>
    <row r="1546" spans="2:16">
      <c r="B1546" s="15"/>
      <c r="C1546" s="17"/>
      <c r="D1546" s="18"/>
      <c r="E1546" s="19"/>
      <c r="F1546" s="20"/>
      <c r="G1546" s="21"/>
      <c r="H1546" s="21"/>
      <c r="I1546" s="21"/>
      <c r="J1546" s="21"/>
      <c r="K1546" s="19"/>
      <c r="L1546" s="19"/>
      <c r="M1546" s="13"/>
      <c r="N1546" s="14"/>
      <c r="O1546" s="14"/>
      <c r="P1546" s="4"/>
    </row>
    <row r="1547" spans="2:16">
      <c r="B1547" s="15"/>
      <c r="C1547" s="17"/>
      <c r="D1547" s="18"/>
      <c r="E1547" s="19"/>
      <c r="F1547" s="20"/>
      <c r="G1547" s="21"/>
      <c r="H1547" s="21"/>
      <c r="I1547" s="21"/>
      <c r="J1547" s="21"/>
      <c r="K1547" s="19"/>
      <c r="L1547" s="19"/>
      <c r="M1547" s="13"/>
      <c r="N1547" s="14"/>
      <c r="O1547" s="14"/>
      <c r="P1547" s="4"/>
    </row>
    <row r="1548" spans="2:16">
      <c r="B1548" s="15"/>
      <c r="C1548" s="17"/>
      <c r="D1548" s="18"/>
      <c r="E1548" s="19"/>
      <c r="F1548" s="20"/>
      <c r="G1548" s="21"/>
      <c r="H1548" s="21"/>
      <c r="I1548" s="21"/>
      <c r="J1548" s="21"/>
      <c r="K1548" s="19"/>
      <c r="L1548" s="19"/>
      <c r="M1548" s="13"/>
      <c r="N1548" s="14"/>
      <c r="O1548" s="14"/>
      <c r="P1548" s="4"/>
    </row>
    <row r="1549" spans="2:16">
      <c r="B1549" s="15"/>
      <c r="C1549" s="17"/>
      <c r="D1549" s="18"/>
      <c r="E1549" s="19"/>
      <c r="F1549" s="20"/>
      <c r="G1549" s="21"/>
      <c r="H1549" s="21"/>
      <c r="I1549" s="21"/>
      <c r="J1549" s="21"/>
      <c r="K1549" s="19"/>
      <c r="L1549" s="19"/>
      <c r="M1549" s="13"/>
      <c r="N1549" s="14"/>
      <c r="O1549" s="14"/>
      <c r="P1549" s="4"/>
    </row>
    <row r="1550" spans="2:16">
      <c r="B1550" s="15"/>
      <c r="C1550" s="17"/>
      <c r="D1550" s="18"/>
      <c r="E1550" s="19"/>
      <c r="F1550" s="20"/>
      <c r="G1550" s="21"/>
      <c r="H1550" s="21"/>
      <c r="I1550" s="21"/>
      <c r="J1550" s="21"/>
      <c r="K1550" s="19"/>
      <c r="L1550" s="19"/>
      <c r="M1550" s="13"/>
      <c r="N1550" s="14"/>
      <c r="O1550" s="14"/>
      <c r="P1550" s="4"/>
    </row>
    <row r="1551" spans="2:16">
      <c r="B1551" s="15"/>
      <c r="C1551" s="17"/>
      <c r="D1551" s="18"/>
      <c r="E1551" s="19"/>
      <c r="F1551" s="20"/>
      <c r="G1551" s="21"/>
      <c r="H1551" s="21"/>
      <c r="I1551" s="21"/>
      <c r="J1551" s="21"/>
      <c r="K1551" s="19"/>
      <c r="L1551" s="19"/>
      <c r="M1551" s="13"/>
      <c r="N1551" s="14"/>
      <c r="O1551" s="14"/>
      <c r="P1551" s="4"/>
    </row>
    <row r="1552" spans="2:16">
      <c r="B1552" s="15"/>
      <c r="C1552" s="17"/>
      <c r="D1552" s="18"/>
      <c r="E1552" s="19"/>
      <c r="F1552" s="20"/>
      <c r="G1552" s="21"/>
      <c r="H1552" s="21"/>
      <c r="I1552" s="21"/>
      <c r="J1552" s="21"/>
      <c r="K1552" s="19"/>
      <c r="L1552" s="19"/>
      <c r="M1552" s="13"/>
      <c r="N1552" s="14"/>
      <c r="O1552" s="14"/>
      <c r="P1552" s="4"/>
    </row>
    <row r="1553" spans="2:16">
      <c r="B1553" s="15"/>
      <c r="C1553" s="17"/>
      <c r="D1553" s="18"/>
      <c r="E1553" s="19"/>
      <c r="F1553" s="20"/>
      <c r="G1553" s="21"/>
      <c r="H1553" s="21"/>
      <c r="I1553" s="21"/>
      <c r="J1553" s="21"/>
      <c r="K1553" s="19"/>
      <c r="L1553" s="19"/>
      <c r="M1553" s="13"/>
      <c r="N1553" s="14"/>
      <c r="O1553" s="14"/>
      <c r="P1553" s="4"/>
    </row>
    <row r="1554" spans="2:16">
      <c r="B1554" s="15"/>
      <c r="C1554" s="17"/>
      <c r="D1554" s="18"/>
      <c r="E1554" s="19"/>
      <c r="F1554" s="20"/>
      <c r="G1554" s="21"/>
      <c r="H1554" s="21"/>
      <c r="I1554" s="21"/>
      <c r="J1554" s="21"/>
      <c r="K1554" s="19"/>
      <c r="L1554" s="19"/>
      <c r="M1554" s="13"/>
      <c r="N1554" s="14"/>
      <c r="O1554" s="14"/>
      <c r="P1554" s="4"/>
    </row>
    <row r="1555" spans="2:16">
      <c r="B1555" s="15"/>
      <c r="C1555" s="17"/>
      <c r="D1555" s="18"/>
      <c r="E1555" s="19"/>
      <c r="F1555" s="20"/>
      <c r="G1555" s="21"/>
      <c r="H1555" s="21"/>
      <c r="I1555" s="21"/>
      <c r="J1555" s="21"/>
      <c r="K1555" s="19"/>
      <c r="L1555" s="19"/>
      <c r="M1555" s="13"/>
      <c r="N1555" s="14"/>
      <c r="O1555" s="14"/>
      <c r="P1555" s="4"/>
    </row>
    <row r="1556" spans="2:16">
      <c r="B1556" s="15"/>
      <c r="C1556" s="17"/>
      <c r="D1556" s="18"/>
      <c r="E1556" s="19"/>
      <c r="F1556" s="20"/>
      <c r="G1556" s="21"/>
      <c r="H1556" s="21"/>
      <c r="I1556" s="21"/>
      <c r="J1556" s="21"/>
      <c r="K1556" s="19"/>
      <c r="L1556" s="19"/>
      <c r="M1556" s="13"/>
      <c r="N1556" s="14"/>
      <c r="O1556" s="14"/>
      <c r="P1556" s="4"/>
    </row>
    <row r="1557" spans="2:16">
      <c r="B1557" s="15"/>
      <c r="C1557" s="17"/>
      <c r="D1557" s="18"/>
      <c r="E1557" s="19"/>
      <c r="F1557" s="20"/>
      <c r="G1557" s="21"/>
      <c r="H1557" s="21"/>
      <c r="I1557" s="21"/>
      <c r="J1557" s="21"/>
      <c r="K1557" s="19"/>
      <c r="L1557" s="19"/>
      <c r="M1557" s="13"/>
      <c r="N1557" s="14"/>
      <c r="O1557" s="14"/>
      <c r="P1557" s="4"/>
    </row>
    <row r="1558" spans="2:16">
      <c r="B1558" s="15"/>
      <c r="C1558" s="17"/>
      <c r="D1558" s="18"/>
      <c r="E1558" s="19"/>
      <c r="F1558" s="20"/>
      <c r="G1558" s="21"/>
      <c r="H1558" s="21"/>
      <c r="I1558" s="21"/>
      <c r="J1558" s="21"/>
      <c r="K1558" s="19"/>
      <c r="L1558" s="19"/>
      <c r="M1558" s="13"/>
      <c r="N1558" s="14"/>
      <c r="O1558" s="14"/>
      <c r="P1558" s="4"/>
    </row>
    <row r="1559" spans="2:16">
      <c r="B1559" s="15"/>
      <c r="C1559" s="17"/>
      <c r="D1559" s="18"/>
      <c r="E1559" s="19"/>
      <c r="F1559" s="20"/>
      <c r="G1559" s="21"/>
      <c r="H1559" s="21"/>
      <c r="I1559" s="21"/>
      <c r="J1559" s="21"/>
      <c r="K1559" s="19"/>
      <c r="L1559" s="19"/>
      <c r="M1559" s="13"/>
      <c r="N1559" s="14"/>
      <c r="O1559" s="14"/>
      <c r="P1559" s="4"/>
    </row>
    <row r="1560" spans="2:16">
      <c r="B1560" s="15"/>
      <c r="C1560" s="17"/>
      <c r="D1560" s="18"/>
      <c r="E1560" s="19"/>
      <c r="F1560" s="20"/>
      <c r="G1560" s="21"/>
      <c r="H1560" s="21"/>
      <c r="I1560" s="21"/>
      <c r="J1560" s="21"/>
      <c r="K1560" s="19"/>
      <c r="L1560" s="19"/>
      <c r="M1560" s="13"/>
      <c r="N1560" s="14"/>
      <c r="O1560" s="14"/>
      <c r="P1560" s="4"/>
    </row>
    <row r="1561" spans="2:16">
      <c r="B1561" s="15"/>
      <c r="C1561" s="17"/>
      <c r="D1561" s="18"/>
      <c r="E1561" s="19"/>
      <c r="F1561" s="20"/>
      <c r="G1561" s="21"/>
      <c r="H1561" s="21"/>
      <c r="I1561" s="21"/>
      <c r="J1561" s="21"/>
      <c r="K1561" s="19"/>
      <c r="L1561" s="19"/>
      <c r="M1561" s="13"/>
      <c r="N1561" s="14"/>
      <c r="O1561" s="14"/>
      <c r="P1561" s="4"/>
    </row>
    <row r="1562" spans="2:16">
      <c r="B1562" s="15"/>
      <c r="C1562" s="17"/>
      <c r="D1562" s="18"/>
      <c r="E1562" s="19"/>
      <c r="F1562" s="20"/>
      <c r="G1562" s="21"/>
      <c r="H1562" s="21"/>
      <c r="I1562" s="21"/>
      <c r="J1562" s="21"/>
      <c r="K1562" s="19"/>
      <c r="L1562" s="19"/>
      <c r="M1562" s="13"/>
      <c r="N1562" s="14"/>
      <c r="O1562" s="14"/>
      <c r="P1562" s="4"/>
    </row>
    <row r="1563" spans="2:16">
      <c r="B1563" s="15"/>
      <c r="C1563" s="17"/>
      <c r="D1563" s="18"/>
      <c r="E1563" s="19"/>
      <c r="F1563" s="20"/>
      <c r="G1563" s="21"/>
      <c r="H1563" s="21"/>
      <c r="I1563" s="21"/>
      <c r="J1563" s="21"/>
      <c r="K1563" s="19"/>
      <c r="L1563" s="19"/>
      <c r="M1563" s="13"/>
      <c r="N1563" s="14"/>
      <c r="O1563" s="14"/>
      <c r="P1563" s="4"/>
    </row>
    <row r="1564" spans="2:16">
      <c r="B1564" s="15"/>
      <c r="C1564" s="17"/>
      <c r="D1564" s="18"/>
      <c r="E1564" s="19"/>
      <c r="F1564" s="20"/>
      <c r="G1564" s="21"/>
      <c r="H1564" s="21"/>
      <c r="I1564" s="21"/>
      <c r="J1564" s="21"/>
      <c r="K1564" s="19"/>
      <c r="L1564" s="19"/>
      <c r="M1564" s="13"/>
      <c r="N1564" s="14"/>
      <c r="O1564" s="14"/>
      <c r="P1564" s="4"/>
    </row>
    <row r="1565" spans="2:16">
      <c r="B1565" s="15"/>
      <c r="C1565" s="17"/>
      <c r="D1565" s="18"/>
      <c r="E1565" s="19"/>
      <c r="F1565" s="20"/>
      <c r="G1565" s="21"/>
      <c r="H1565" s="21"/>
      <c r="I1565" s="21"/>
      <c r="J1565" s="21"/>
      <c r="K1565" s="19"/>
      <c r="L1565" s="19"/>
      <c r="M1565" s="13"/>
      <c r="N1565" s="14"/>
      <c r="O1565" s="14"/>
      <c r="P1565" s="4"/>
    </row>
    <row r="1566" spans="2:16">
      <c r="B1566" s="15"/>
      <c r="C1566" s="17"/>
      <c r="D1566" s="18"/>
      <c r="E1566" s="19"/>
      <c r="F1566" s="20"/>
      <c r="G1566" s="21"/>
      <c r="H1566" s="21"/>
      <c r="I1566" s="21"/>
      <c r="J1566" s="21"/>
      <c r="K1566" s="19"/>
      <c r="L1566" s="19"/>
      <c r="M1566" s="13"/>
      <c r="N1566" s="14"/>
      <c r="O1566" s="14"/>
      <c r="P1566" s="4"/>
    </row>
    <row r="1567" spans="2:16">
      <c r="B1567" s="15"/>
      <c r="C1567" s="17"/>
      <c r="D1567" s="18"/>
      <c r="E1567" s="19"/>
      <c r="F1567" s="20"/>
      <c r="G1567" s="21"/>
      <c r="H1567" s="21"/>
      <c r="I1567" s="21"/>
      <c r="J1567" s="21"/>
      <c r="K1567" s="19"/>
      <c r="L1567" s="19"/>
      <c r="M1567" s="13"/>
      <c r="N1567" s="14"/>
      <c r="O1567" s="14"/>
      <c r="P1567" s="4"/>
    </row>
    <row r="1568" spans="2:16">
      <c r="B1568" s="15"/>
      <c r="C1568" s="17"/>
      <c r="D1568" s="18"/>
      <c r="E1568" s="19"/>
      <c r="F1568" s="20"/>
      <c r="G1568" s="21"/>
      <c r="H1568" s="21"/>
      <c r="I1568" s="21"/>
      <c r="J1568" s="21"/>
      <c r="K1568" s="19"/>
      <c r="L1568" s="19"/>
      <c r="M1568" s="13"/>
      <c r="N1568" s="14"/>
      <c r="O1568" s="14"/>
      <c r="P1568" s="4"/>
    </row>
    <row r="1569" spans="2:16">
      <c r="B1569" s="15"/>
      <c r="C1569" s="17"/>
      <c r="D1569" s="18"/>
      <c r="E1569" s="19"/>
      <c r="F1569" s="20"/>
      <c r="G1569" s="21"/>
      <c r="H1569" s="21"/>
      <c r="I1569" s="21"/>
      <c r="J1569" s="21"/>
      <c r="K1569" s="19"/>
      <c r="L1569" s="19"/>
      <c r="M1569" s="13"/>
      <c r="N1569" s="14"/>
      <c r="O1569" s="14"/>
      <c r="P1569" s="4"/>
    </row>
    <row r="1570" spans="2:16">
      <c r="B1570" s="15"/>
      <c r="C1570" s="17"/>
      <c r="D1570" s="18"/>
      <c r="E1570" s="19"/>
      <c r="F1570" s="20"/>
      <c r="G1570" s="21"/>
      <c r="H1570" s="21"/>
      <c r="I1570" s="21"/>
      <c r="J1570" s="21"/>
      <c r="K1570" s="19"/>
      <c r="L1570" s="19"/>
      <c r="M1570" s="13"/>
      <c r="N1570" s="14"/>
      <c r="O1570" s="14"/>
      <c r="P1570" s="4"/>
    </row>
    <row r="1571" spans="2:16">
      <c r="B1571" s="15"/>
      <c r="C1571" s="17"/>
      <c r="D1571" s="18"/>
      <c r="E1571" s="19"/>
      <c r="F1571" s="20"/>
      <c r="G1571" s="21"/>
      <c r="H1571" s="21"/>
      <c r="I1571" s="21"/>
      <c r="J1571" s="21"/>
      <c r="K1571" s="19"/>
      <c r="L1571" s="19"/>
      <c r="M1571" s="13"/>
      <c r="N1571" s="14"/>
      <c r="O1571" s="14"/>
      <c r="P1571" s="4"/>
    </row>
    <row r="1572" spans="2:16">
      <c r="B1572" s="15"/>
      <c r="C1572" s="17"/>
      <c r="D1572" s="18"/>
      <c r="E1572" s="19"/>
      <c r="F1572" s="20"/>
      <c r="G1572" s="21"/>
      <c r="H1572" s="21"/>
      <c r="I1572" s="21"/>
      <c r="J1572" s="21"/>
      <c r="K1572" s="19"/>
      <c r="L1572" s="19"/>
      <c r="M1572" s="13"/>
      <c r="N1572" s="14"/>
      <c r="O1572" s="14"/>
      <c r="P1572" s="4"/>
    </row>
    <row r="1573" spans="2:16">
      <c r="B1573" s="15"/>
      <c r="C1573" s="17"/>
      <c r="D1573" s="18"/>
      <c r="E1573" s="19"/>
      <c r="F1573" s="20"/>
      <c r="G1573" s="21"/>
      <c r="H1573" s="21"/>
      <c r="I1573" s="21"/>
      <c r="J1573" s="21"/>
      <c r="K1573" s="19"/>
      <c r="L1573" s="19"/>
      <c r="M1573" s="13"/>
      <c r="N1573" s="14"/>
      <c r="O1573" s="14"/>
      <c r="P1573" s="4"/>
    </row>
    <row r="1574" spans="2:16">
      <c r="B1574" s="15"/>
      <c r="C1574" s="17"/>
      <c r="D1574" s="18"/>
      <c r="E1574" s="19"/>
      <c r="F1574" s="20"/>
      <c r="G1574" s="21"/>
      <c r="H1574" s="21"/>
      <c r="I1574" s="21"/>
      <c r="J1574" s="21"/>
      <c r="K1574" s="19"/>
      <c r="L1574" s="19"/>
      <c r="M1574" s="13"/>
      <c r="N1574" s="14"/>
      <c r="O1574" s="14"/>
      <c r="P1574" s="4"/>
    </row>
    <row r="1575" spans="2:16">
      <c r="B1575" s="15"/>
      <c r="C1575" s="17"/>
      <c r="D1575" s="18"/>
      <c r="E1575" s="19"/>
      <c r="F1575" s="20"/>
      <c r="G1575" s="21"/>
      <c r="H1575" s="21"/>
      <c r="I1575" s="21"/>
      <c r="J1575" s="21"/>
      <c r="K1575" s="19"/>
      <c r="L1575" s="19"/>
      <c r="M1575" s="13"/>
      <c r="N1575" s="14"/>
      <c r="O1575" s="14"/>
      <c r="P1575" s="4"/>
    </row>
    <row r="1576" spans="2:16">
      <c r="B1576" s="15"/>
      <c r="C1576" s="17"/>
      <c r="D1576" s="18"/>
      <c r="E1576" s="19"/>
      <c r="F1576" s="20"/>
      <c r="G1576" s="21"/>
      <c r="H1576" s="21"/>
      <c r="I1576" s="21"/>
      <c r="J1576" s="21"/>
      <c r="K1576" s="19"/>
      <c r="L1576" s="19"/>
      <c r="M1576" s="13"/>
      <c r="N1576" s="14"/>
      <c r="O1576" s="14"/>
      <c r="P1576" s="4"/>
    </row>
    <row r="1577" spans="2:16">
      <c r="B1577" s="15"/>
      <c r="C1577" s="17"/>
      <c r="D1577" s="18"/>
      <c r="E1577" s="19"/>
      <c r="F1577" s="20"/>
      <c r="G1577" s="21"/>
      <c r="H1577" s="21"/>
      <c r="I1577" s="21"/>
      <c r="J1577" s="21"/>
      <c r="K1577" s="19"/>
      <c r="L1577" s="19"/>
      <c r="M1577" s="13"/>
      <c r="N1577" s="14"/>
      <c r="O1577" s="14"/>
      <c r="P1577" s="4"/>
    </row>
    <row r="1578" spans="2:16">
      <c r="B1578" s="15"/>
      <c r="C1578" s="17"/>
      <c r="D1578" s="18"/>
      <c r="E1578" s="19"/>
      <c r="F1578" s="20"/>
      <c r="G1578" s="21"/>
      <c r="H1578" s="21"/>
      <c r="I1578" s="21"/>
      <c r="J1578" s="21"/>
      <c r="K1578" s="19"/>
      <c r="L1578" s="19"/>
      <c r="M1578" s="13"/>
      <c r="N1578" s="14"/>
      <c r="O1578" s="14"/>
      <c r="P1578" s="4"/>
    </row>
  </sheetData>
  <phoneticPr fontId="2" type="noConversion"/>
  <conditionalFormatting sqref="C2:C1578">
    <cfRule type="cellIs" dxfId="17" priority="1" operator="greaterThan">
      <formula>10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粘出数据.粘出数据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粘出数据.粘出数据">
                <anchor>
                  <from>
                    <xdr:col>0</xdr:col>
                    <xdr:colOff>19050</xdr:colOff>
                    <xdr:row>7</xdr:row>
                    <xdr:rowOff>0</xdr:rowOff>
                  </from>
                  <to>
                    <xdr:col>0</xdr:col>
                    <xdr:colOff>866775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78"/>
  <sheetViews>
    <sheetView workbookViewId="0">
      <selection activeCell="C8" sqref="C8"/>
    </sheetView>
  </sheetViews>
  <sheetFormatPr defaultRowHeight="13.5"/>
  <cols>
    <col min="1" max="1" width="12" style="16" customWidth="1"/>
    <col min="2" max="2" width="8" customWidth="1"/>
    <col min="3" max="3" width="17.375" customWidth="1"/>
    <col min="5" max="5" width="10.25" style="10" customWidth="1"/>
    <col min="6" max="6" width="9.125" style="10" bestFit="1" customWidth="1"/>
    <col min="7" max="7" width="10.375" style="10" bestFit="1" customWidth="1"/>
    <col min="8" max="9" width="10.375" style="10" customWidth="1"/>
    <col min="10" max="10" width="12.875" customWidth="1"/>
    <col min="11" max="11" width="10.25" customWidth="1"/>
    <col min="13" max="13" width="14.375" customWidth="1"/>
    <col min="14" max="14" width="13.375" customWidth="1"/>
    <col min="15" max="15" width="11.75" bestFit="1" customWidth="1"/>
  </cols>
  <sheetData>
    <row r="1" spans="1:15">
      <c r="A1" s="22" t="s">
        <v>921</v>
      </c>
      <c r="B1" s="6" t="s">
        <v>0</v>
      </c>
      <c r="C1" s="6" t="s">
        <v>922</v>
      </c>
      <c r="D1" s="6" t="s">
        <v>1</v>
      </c>
      <c r="E1" s="6" t="s">
        <v>923</v>
      </c>
      <c r="F1" s="11" t="s">
        <v>2</v>
      </c>
      <c r="G1" s="11" t="s">
        <v>924</v>
      </c>
      <c r="H1" s="11" t="s">
        <v>925</v>
      </c>
      <c r="I1" s="11" t="s">
        <v>926</v>
      </c>
      <c r="J1" s="6" t="s">
        <v>927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10</v>
      </c>
    </row>
    <row r="2" spans="1:15">
      <c r="A2" s="7">
        <v>101558001</v>
      </c>
      <c r="B2" s="7">
        <v>7</v>
      </c>
      <c r="C2" s="1" t="s">
        <v>901</v>
      </c>
      <c r="D2" s="1" t="s">
        <v>36</v>
      </c>
      <c r="E2" s="8">
        <v>3.7150684931506848</v>
      </c>
      <c r="F2" s="9">
        <v>6.7276999999999996</v>
      </c>
      <c r="G2" s="9">
        <v>27.230000000000043</v>
      </c>
      <c r="H2" s="9">
        <v>6.6992000000000003</v>
      </c>
      <c r="I2" s="9">
        <v>2.8499999999999304</v>
      </c>
      <c r="J2" s="1" t="s">
        <v>12</v>
      </c>
      <c r="K2" s="1" t="s">
        <v>45</v>
      </c>
      <c r="L2" s="3">
        <v>6.55</v>
      </c>
      <c r="M2" s="2" t="s">
        <v>322</v>
      </c>
      <c r="N2" s="2" t="s">
        <v>133</v>
      </c>
      <c r="O2" s="4">
        <v>42867</v>
      </c>
    </row>
    <row r="3" spans="1:15">
      <c r="A3" s="7">
        <v>101659064</v>
      </c>
      <c r="B3" s="7">
        <v>6.2</v>
      </c>
      <c r="C3" s="1" t="s">
        <v>630</v>
      </c>
      <c r="D3" s="1" t="s">
        <v>11</v>
      </c>
      <c r="E3" s="8">
        <v>2.484931506849315</v>
      </c>
      <c r="F3" s="9">
        <v>6.2112999999999996</v>
      </c>
      <c r="G3" s="9">
        <v>-1.1299999999999422</v>
      </c>
      <c r="H3" s="9">
        <v>6.1957000000000004</v>
      </c>
      <c r="I3" s="9">
        <v>1.559999999999917</v>
      </c>
      <c r="J3" s="1" t="s">
        <v>17</v>
      </c>
      <c r="K3" s="1" t="s">
        <v>45</v>
      </c>
      <c r="L3" s="3">
        <v>4.4800000000000004</v>
      </c>
      <c r="M3" s="2" t="s">
        <v>570</v>
      </c>
      <c r="N3" s="2" t="s">
        <v>561</v>
      </c>
      <c r="O3" s="4">
        <v>42867</v>
      </c>
    </row>
    <row r="4" spans="1:15">
      <c r="A4" s="7">
        <v>101659064</v>
      </c>
      <c r="B4" s="7">
        <v>6.2</v>
      </c>
      <c r="C4" s="1" t="s">
        <v>630</v>
      </c>
      <c r="D4" s="1" t="s">
        <v>11</v>
      </c>
      <c r="E4" s="8">
        <v>2.484931506849315</v>
      </c>
      <c r="F4" s="9">
        <v>6.2112999999999996</v>
      </c>
      <c r="G4" s="9">
        <v>-1.1299999999999422</v>
      </c>
      <c r="H4" s="9">
        <v>6.1957000000000004</v>
      </c>
      <c r="I4" s="9">
        <v>1.559999999999917</v>
      </c>
      <c r="J4" s="1" t="s">
        <v>17</v>
      </c>
      <c r="K4" s="1" t="s">
        <v>45</v>
      </c>
      <c r="L4" s="3">
        <v>4.4800000000000004</v>
      </c>
      <c r="M4" s="2" t="s">
        <v>570</v>
      </c>
      <c r="N4" s="2" t="s">
        <v>561</v>
      </c>
      <c r="O4" s="4">
        <v>42867</v>
      </c>
    </row>
    <row r="5" spans="1:15">
      <c r="A5" s="7" t="s">
        <v>424</v>
      </c>
      <c r="B5" s="7">
        <v>6.2</v>
      </c>
      <c r="C5" s="1" t="s">
        <v>411</v>
      </c>
      <c r="D5" s="1" t="s">
        <v>36</v>
      </c>
      <c r="E5" s="8">
        <v>2.9150684931506849</v>
      </c>
      <c r="F5" s="9">
        <v>6.5561999999999996</v>
      </c>
      <c r="G5" s="9">
        <v>-35.619999999999941</v>
      </c>
      <c r="H5" s="9">
        <v>6.5372000000000003</v>
      </c>
      <c r="I5" s="9">
        <v>1.899999999999924</v>
      </c>
      <c r="J5" s="1" t="s">
        <v>28</v>
      </c>
      <c r="K5" s="1" t="s">
        <v>121</v>
      </c>
      <c r="L5" s="3">
        <v>5.99</v>
      </c>
      <c r="M5" s="2" t="s">
        <v>225</v>
      </c>
      <c r="N5" s="2" t="s">
        <v>338</v>
      </c>
      <c r="O5" s="4">
        <v>42867</v>
      </c>
    </row>
    <row r="6" spans="1:15">
      <c r="A6" s="7" t="s">
        <v>424</v>
      </c>
      <c r="B6" s="7">
        <v>6.2</v>
      </c>
      <c r="C6" s="1" t="s">
        <v>411</v>
      </c>
      <c r="D6" s="1" t="s">
        <v>36</v>
      </c>
      <c r="E6" s="8">
        <v>2.9150684931506849</v>
      </c>
      <c r="F6" s="9">
        <v>6.5561999999999996</v>
      </c>
      <c r="G6" s="9">
        <v>-35.619999999999941</v>
      </c>
      <c r="H6" s="9">
        <v>6.5372000000000003</v>
      </c>
      <c r="I6" s="9">
        <v>1.899999999999924</v>
      </c>
      <c r="J6" s="1" t="s">
        <v>28</v>
      </c>
      <c r="K6" s="1" t="s">
        <v>121</v>
      </c>
      <c r="L6" s="3">
        <v>5.99</v>
      </c>
      <c r="M6" s="2" t="s">
        <v>225</v>
      </c>
      <c r="N6" s="2" t="s">
        <v>338</v>
      </c>
      <c r="O6" s="4">
        <v>42867</v>
      </c>
    </row>
    <row r="7" spans="1:15">
      <c r="A7" s="7" t="s">
        <v>327</v>
      </c>
      <c r="B7" s="7">
        <v>6</v>
      </c>
      <c r="C7" s="1" t="s">
        <v>328</v>
      </c>
      <c r="D7" s="1" t="s">
        <v>25</v>
      </c>
      <c r="E7" s="8">
        <v>3.2027397260273971</v>
      </c>
      <c r="F7" s="9">
        <v>5.8428000000000004</v>
      </c>
      <c r="G7" s="9">
        <v>15.719999999999956</v>
      </c>
      <c r="H7" s="9">
        <v>5.8186</v>
      </c>
      <c r="I7" s="9">
        <v>2.4200000000000443</v>
      </c>
      <c r="J7" s="1" t="s">
        <v>28</v>
      </c>
      <c r="K7" s="1" t="s">
        <v>121</v>
      </c>
      <c r="L7" s="3">
        <v>5.5</v>
      </c>
      <c r="M7" s="2" t="s">
        <v>203</v>
      </c>
      <c r="N7" s="2" t="s">
        <v>124</v>
      </c>
      <c r="O7" s="4">
        <v>42867</v>
      </c>
    </row>
    <row r="8" spans="1:15">
      <c r="A8" s="7" t="s">
        <v>327</v>
      </c>
      <c r="B8" s="7">
        <v>6</v>
      </c>
      <c r="C8" s="1" t="s">
        <v>328</v>
      </c>
      <c r="D8" s="1" t="s">
        <v>25</v>
      </c>
      <c r="E8" s="8">
        <v>3.2027397260273971</v>
      </c>
      <c r="F8" s="9">
        <v>5.8428000000000004</v>
      </c>
      <c r="G8" s="9">
        <v>15.719999999999956</v>
      </c>
      <c r="H8" s="9">
        <v>5.8186</v>
      </c>
      <c r="I8" s="9">
        <v>2.4200000000000443</v>
      </c>
      <c r="J8" s="1" t="s">
        <v>28</v>
      </c>
      <c r="K8" s="1" t="s">
        <v>121</v>
      </c>
      <c r="L8" s="3">
        <v>5.5</v>
      </c>
      <c r="M8" s="2" t="s">
        <v>203</v>
      </c>
      <c r="N8" s="2" t="s">
        <v>124</v>
      </c>
      <c r="O8" s="4">
        <v>42867</v>
      </c>
    </row>
    <row r="9" spans="1:15">
      <c r="A9" s="7" t="s">
        <v>928</v>
      </c>
      <c r="B9" s="7">
        <v>5.9</v>
      </c>
      <c r="C9" s="1" t="s">
        <v>947</v>
      </c>
      <c r="D9" s="1" t="s">
        <v>11</v>
      </c>
      <c r="E9" s="8">
        <v>3.3150684931506849</v>
      </c>
      <c r="F9" s="9">
        <v>6.3517000000000001</v>
      </c>
      <c r="G9" s="9">
        <v>-45.169999999999973</v>
      </c>
      <c r="H9" s="9">
        <v>6.3261000000000003</v>
      </c>
      <c r="I9" s="9">
        <v>2.5599999999999845</v>
      </c>
      <c r="J9" s="1" t="s">
        <v>28</v>
      </c>
      <c r="K9" s="1" t="s">
        <v>121</v>
      </c>
      <c r="L9" s="3">
        <v>4.1500000000000004</v>
      </c>
      <c r="M9" s="2" t="s">
        <v>551</v>
      </c>
      <c r="N9" s="2" t="s">
        <v>485</v>
      </c>
      <c r="O9" s="4">
        <v>42867</v>
      </c>
    </row>
    <row r="10" spans="1:15">
      <c r="A10" s="7" t="s">
        <v>473</v>
      </c>
      <c r="B10" s="7">
        <v>5.8</v>
      </c>
      <c r="C10" s="1" t="s">
        <v>476</v>
      </c>
      <c r="D10" s="1" t="s">
        <v>36</v>
      </c>
      <c r="E10" s="8">
        <v>3.43013698630137</v>
      </c>
      <c r="F10" s="9">
        <v>5.8582999999999998</v>
      </c>
      <c r="G10" s="9">
        <v>-5.8300000000000018</v>
      </c>
      <c r="H10" s="9">
        <v>5.8316999999999997</v>
      </c>
      <c r="I10" s="9">
        <v>2.6600000000000179</v>
      </c>
      <c r="J10" s="1" t="s">
        <v>28</v>
      </c>
      <c r="K10" s="1" t="s">
        <v>121</v>
      </c>
      <c r="L10" s="3">
        <v>4.95</v>
      </c>
      <c r="M10" s="2" t="s">
        <v>102</v>
      </c>
      <c r="N10" s="2" t="s">
        <v>27</v>
      </c>
      <c r="O10" s="4">
        <v>42867</v>
      </c>
    </row>
    <row r="11" spans="1:15">
      <c r="A11" s="7" t="s">
        <v>473</v>
      </c>
      <c r="B11" s="7">
        <v>5.8</v>
      </c>
      <c r="C11" s="1" t="s">
        <v>476</v>
      </c>
      <c r="D11" s="1" t="s">
        <v>36</v>
      </c>
      <c r="E11" s="8">
        <v>3.43013698630137</v>
      </c>
      <c r="F11" s="9">
        <v>5.8582999999999998</v>
      </c>
      <c r="G11" s="9">
        <v>-5.8300000000000018</v>
      </c>
      <c r="H11" s="9">
        <v>5.8316999999999997</v>
      </c>
      <c r="I11" s="9">
        <v>2.6600000000000179</v>
      </c>
      <c r="J11" s="1" t="s">
        <v>28</v>
      </c>
      <c r="K11" s="1" t="s">
        <v>121</v>
      </c>
      <c r="L11" s="3">
        <v>4.95</v>
      </c>
      <c r="M11" s="2" t="s">
        <v>102</v>
      </c>
      <c r="N11" s="2" t="s">
        <v>27</v>
      </c>
      <c r="O11" s="4">
        <v>42867</v>
      </c>
    </row>
    <row r="12" spans="1:15">
      <c r="A12" s="7" t="s">
        <v>473</v>
      </c>
      <c r="B12" s="7">
        <v>5.8</v>
      </c>
      <c r="C12" s="1" t="s">
        <v>476</v>
      </c>
      <c r="D12" s="1" t="s">
        <v>36</v>
      </c>
      <c r="E12" s="8">
        <v>3.43013698630137</v>
      </c>
      <c r="F12" s="9">
        <v>5.8582999999999998</v>
      </c>
      <c r="G12" s="9">
        <v>-5.8300000000000018</v>
      </c>
      <c r="H12" s="9">
        <v>5.8316999999999997</v>
      </c>
      <c r="I12" s="9">
        <v>2.6600000000000179</v>
      </c>
      <c r="J12" s="1" t="s">
        <v>28</v>
      </c>
      <c r="K12" s="1" t="s">
        <v>121</v>
      </c>
      <c r="L12" s="3">
        <v>4.95</v>
      </c>
      <c r="M12" s="2" t="s">
        <v>102</v>
      </c>
      <c r="N12" s="2" t="s">
        <v>27</v>
      </c>
      <c r="O12" s="4">
        <v>42867</v>
      </c>
    </row>
    <row r="13" spans="1:15">
      <c r="A13" s="7">
        <v>101569027</v>
      </c>
      <c r="B13" s="7">
        <v>5.65</v>
      </c>
      <c r="C13" s="1" t="s">
        <v>948</v>
      </c>
      <c r="D13" s="1" t="s">
        <v>11</v>
      </c>
      <c r="E13" s="8">
        <v>3.3863013698630136</v>
      </c>
      <c r="F13" s="9">
        <v>5.6566999999999998</v>
      </c>
      <c r="G13" s="9">
        <v>-0.66999999999994841</v>
      </c>
      <c r="H13" s="9">
        <v>5.6189999999999998</v>
      </c>
      <c r="I13" s="9">
        <v>3.7700000000000067</v>
      </c>
      <c r="J13" s="1" t="s">
        <v>17</v>
      </c>
      <c r="K13" s="1" t="s">
        <v>45</v>
      </c>
      <c r="L13" s="3">
        <v>4.78</v>
      </c>
      <c r="M13" s="2" t="s">
        <v>106</v>
      </c>
      <c r="N13" s="2" t="s">
        <v>111</v>
      </c>
      <c r="O13" s="4">
        <v>42867</v>
      </c>
    </row>
    <row r="14" spans="1:15">
      <c r="A14" s="7" t="s">
        <v>929</v>
      </c>
      <c r="B14" s="7">
        <v>5.6</v>
      </c>
      <c r="C14" s="1" t="s">
        <v>949</v>
      </c>
      <c r="D14" s="1" t="s">
        <v>25</v>
      </c>
      <c r="E14" s="8">
        <v>4.13972602739726</v>
      </c>
      <c r="F14" s="9">
        <v>5.7923999999999998</v>
      </c>
      <c r="G14" s="9">
        <v>-19.240000000000013</v>
      </c>
      <c r="H14" s="9">
        <v>5.7605000000000004</v>
      </c>
      <c r="I14" s="9">
        <v>3.1899999999999373</v>
      </c>
      <c r="J14" s="1" t="s">
        <v>17</v>
      </c>
      <c r="K14" s="1" t="s">
        <v>121</v>
      </c>
      <c r="L14" s="3">
        <v>4.75</v>
      </c>
      <c r="M14" s="2" t="s">
        <v>489</v>
      </c>
      <c r="N14" s="2" t="s">
        <v>403</v>
      </c>
      <c r="O14" s="4">
        <v>42867</v>
      </c>
    </row>
    <row r="15" spans="1:15">
      <c r="A15" s="7" t="s">
        <v>929</v>
      </c>
      <c r="B15" s="7">
        <v>5.6</v>
      </c>
      <c r="C15" s="1" t="s">
        <v>949</v>
      </c>
      <c r="D15" s="1" t="s">
        <v>25</v>
      </c>
      <c r="E15" s="8">
        <v>4.13972602739726</v>
      </c>
      <c r="F15" s="9">
        <v>5.7923999999999998</v>
      </c>
      <c r="G15" s="9">
        <v>-19.240000000000013</v>
      </c>
      <c r="H15" s="9">
        <v>5.7605000000000004</v>
      </c>
      <c r="I15" s="9">
        <v>3.1899999999999373</v>
      </c>
      <c r="J15" s="1" t="s">
        <v>17</v>
      </c>
      <c r="K15" s="1" t="s">
        <v>121</v>
      </c>
      <c r="L15" s="3">
        <v>4.75</v>
      </c>
      <c r="M15" s="2" t="s">
        <v>489</v>
      </c>
      <c r="N15" s="2" t="s">
        <v>403</v>
      </c>
      <c r="O15" s="4">
        <v>42867</v>
      </c>
    </row>
    <row r="16" spans="1:15">
      <c r="A16" s="7" t="s">
        <v>930</v>
      </c>
      <c r="B16" s="7">
        <v>5.55</v>
      </c>
      <c r="C16" s="1" t="s">
        <v>950</v>
      </c>
      <c r="D16" s="1" t="s">
        <v>36</v>
      </c>
      <c r="E16" s="8">
        <v>2.4684931506849317</v>
      </c>
      <c r="F16" s="9">
        <v>5.7134999999999998</v>
      </c>
      <c r="G16" s="9">
        <v>-16.349999999999998</v>
      </c>
      <c r="H16" s="9">
        <v>5.6398999999999999</v>
      </c>
      <c r="I16" s="9">
        <v>7.3599999999999888</v>
      </c>
      <c r="J16" s="1" t="s">
        <v>12</v>
      </c>
      <c r="K16" s="1" t="s">
        <v>121</v>
      </c>
      <c r="L16" s="3">
        <v>5.4</v>
      </c>
      <c r="M16" s="2" t="s">
        <v>495</v>
      </c>
      <c r="N16" s="2" t="s">
        <v>239</v>
      </c>
      <c r="O16" s="4">
        <v>42867</v>
      </c>
    </row>
    <row r="17" spans="1:15">
      <c r="A17" s="7" t="s">
        <v>558</v>
      </c>
      <c r="B17" s="7">
        <v>5.43</v>
      </c>
      <c r="C17" s="1" t="s">
        <v>560</v>
      </c>
      <c r="D17" s="1" t="s">
        <v>36</v>
      </c>
      <c r="E17" s="8">
        <v>3.9452054794520546</v>
      </c>
      <c r="F17" s="9">
        <v>5.6791</v>
      </c>
      <c r="G17" s="9">
        <v>-24.910000000000032</v>
      </c>
      <c r="H17" s="9">
        <v>5.6490999999999998</v>
      </c>
      <c r="I17" s="9">
        <v>3.0000000000000249</v>
      </c>
      <c r="J17" s="1" t="s">
        <v>28</v>
      </c>
      <c r="K17" s="1" t="s">
        <v>121</v>
      </c>
      <c r="L17" s="3">
        <v>4.28</v>
      </c>
      <c r="M17" s="2" t="s">
        <v>404</v>
      </c>
      <c r="N17" s="2" t="s">
        <v>231</v>
      </c>
      <c r="O17" s="4">
        <v>42867</v>
      </c>
    </row>
    <row r="18" spans="1:15">
      <c r="A18" s="7" t="s">
        <v>931</v>
      </c>
      <c r="B18" s="7">
        <v>5.3</v>
      </c>
      <c r="C18" s="1" t="s">
        <v>951</v>
      </c>
      <c r="D18" s="1" t="s">
        <v>11</v>
      </c>
      <c r="E18" s="8">
        <v>6.8684931506849312</v>
      </c>
      <c r="F18" s="9">
        <v>5.3251999999999997</v>
      </c>
      <c r="G18" s="9">
        <v>-2.5199999999999889</v>
      </c>
      <c r="H18" s="9">
        <v>5.3064999999999998</v>
      </c>
      <c r="I18" s="9">
        <v>1.8699999999999939</v>
      </c>
      <c r="J18" s="1" t="s">
        <v>55</v>
      </c>
      <c r="K18" s="1" t="s">
        <v>121</v>
      </c>
      <c r="L18" s="3">
        <v>3.5</v>
      </c>
      <c r="M18" s="2" t="s">
        <v>281</v>
      </c>
      <c r="N18" s="2" t="s">
        <v>33</v>
      </c>
      <c r="O18" s="4">
        <v>42867</v>
      </c>
    </row>
    <row r="19" spans="1:15">
      <c r="A19" s="7" t="s">
        <v>931</v>
      </c>
      <c r="B19" s="7">
        <v>5.3</v>
      </c>
      <c r="C19" s="1" t="s">
        <v>951</v>
      </c>
      <c r="D19" s="1" t="s">
        <v>11</v>
      </c>
      <c r="E19" s="8">
        <v>6.8684931506849312</v>
      </c>
      <c r="F19" s="9">
        <v>5.3251999999999997</v>
      </c>
      <c r="G19" s="9">
        <v>-2.5199999999999889</v>
      </c>
      <c r="H19" s="9">
        <v>5.3064999999999998</v>
      </c>
      <c r="I19" s="9">
        <v>1.8699999999999939</v>
      </c>
      <c r="J19" s="1" t="s">
        <v>55</v>
      </c>
      <c r="K19" s="1" t="s">
        <v>121</v>
      </c>
      <c r="L19" s="3">
        <v>3.5</v>
      </c>
      <c r="M19" s="2" t="s">
        <v>281</v>
      </c>
      <c r="N19" s="2" t="s">
        <v>33</v>
      </c>
      <c r="O19" s="4">
        <v>42867</v>
      </c>
    </row>
    <row r="20" spans="1:15">
      <c r="A20" s="7" t="s">
        <v>828</v>
      </c>
      <c r="B20" s="7">
        <v>5.37</v>
      </c>
      <c r="C20" s="1" t="s">
        <v>680</v>
      </c>
      <c r="D20" s="1" t="s">
        <v>11</v>
      </c>
      <c r="E20" s="8">
        <v>14.509589041095891</v>
      </c>
      <c r="F20" s="9">
        <v>5.4943</v>
      </c>
      <c r="G20" s="9">
        <v>-12.429999999999986</v>
      </c>
      <c r="H20" s="9">
        <v>5.4779999999999998</v>
      </c>
      <c r="I20" s="9">
        <v>1.6300000000000203</v>
      </c>
      <c r="J20" s="1" t="s">
        <v>12</v>
      </c>
      <c r="K20" s="1" t="s">
        <v>52</v>
      </c>
      <c r="L20" s="3">
        <v>3.6</v>
      </c>
      <c r="M20" s="2" t="s">
        <v>596</v>
      </c>
      <c r="N20" s="2" t="s">
        <v>577</v>
      </c>
      <c r="O20" s="4">
        <v>42867</v>
      </c>
    </row>
    <row r="21" spans="1:15">
      <c r="A21" s="7">
        <v>1380033</v>
      </c>
      <c r="B21" s="7">
        <v>5.33</v>
      </c>
      <c r="C21" s="1" t="s">
        <v>952</v>
      </c>
      <c r="D21" s="1" t="s">
        <v>25</v>
      </c>
      <c r="E21" s="8">
        <v>2.7068493150684931</v>
      </c>
      <c r="F21" s="9">
        <v>5.2934000000000001</v>
      </c>
      <c r="G21" s="9">
        <v>3.6599999999999966</v>
      </c>
      <c r="H21" s="9">
        <v>5.2720000000000002</v>
      </c>
      <c r="I21" s="9">
        <v>2.1399999999999864</v>
      </c>
      <c r="J21" s="1" t="s">
        <v>28</v>
      </c>
      <c r="K21" s="1" t="s">
        <v>52</v>
      </c>
      <c r="L21" s="3">
        <v>5.9</v>
      </c>
      <c r="M21" s="2" t="s">
        <v>737</v>
      </c>
      <c r="N21" s="2" t="s">
        <v>347</v>
      </c>
      <c r="O21" s="4">
        <v>42867</v>
      </c>
    </row>
    <row r="22" spans="1:15">
      <c r="A22" s="7" t="s">
        <v>932</v>
      </c>
      <c r="B22" s="7">
        <v>5.31</v>
      </c>
      <c r="C22" s="1" t="s">
        <v>953</v>
      </c>
      <c r="D22" s="1" t="s">
        <v>11</v>
      </c>
      <c r="E22" s="8">
        <v>4.86027397260274</v>
      </c>
      <c r="F22" s="9">
        <v>5.4273999999999996</v>
      </c>
      <c r="G22" s="9">
        <v>-11.739999999999995</v>
      </c>
      <c r="H22" s="9">
        <v>5.4082999999999997</v>
      </c>
      <c r="I22" s="9">
        <v>1.9099999999999895</v>
      </c>
      <c r="J22" s="1" t="s">
        <v>28</v>
      </c>
      <c r="K22" s="1" t="s">
        <v>121</v>
      </c>
      <c r="L22" s="3">
        <v>4.5999999999999996</v>
      </c>
      <c r="M22" s="2" t="s">
        <v>917</v>
      </c>
      <c r="N22" s="2" t="s">
        <v>778</v>
      </c>
      <c r="O22" s="4">
        <v>42867</v>
      </c>
    </row>
    <row r="23" spans="1:15">
      <c r="A23" s="7" t="s">
        <v>932</v>
      </c>
      <c r="B23" s="7">
        <v>5.31</v>
      </c>
      <c r="C23" s="1" t="s">
        <v>953</v>
      </c>
      <c r="D23" s="1" t="s">
        <v>11</v>
      </c>
      <c r="E23" s="8">
        <v>4.86027397260274</v>
      </c>
      <c r="F23" s="9">
        <v>5.4273999999999996</v>
      </c>
      <c r="G23" s="9">
        <v>-11.739999999999995</v>
      </c>
      <c r="H23" s="9">
        <v>5.4082999999999997</v>
      </c>
      <c r="I23" s="9">
        <v>1.9099999999999895</v>
      </c>
      <c r="J23" s="1" t="s">
        <v>28</v>
      </c>
      <c r="K23" s="1" t="s">
        <v>121</v>
      </c>
      <c r="L23" s="3">
        <v>4.5999999999999996</v>
      </c>
      <c r="M23" s="2" t="s">
        <v>917</v>
      </c>
      <c r="N23" s="2" t="s">
        <v>778</v>
      </c>
      <c r="O23" s="4">
        <v>42867</v>
      </c>
    </row>
    <row r="24" spans="1:15">
      <c r="A24" s="7" t="s">
        <v>933</v>
      </c>
      <c r="B24" s="7">
        <v>5.2</v>
      </c>
      <c r="C24" s="1" t="s">
        <v>878</v>
      </c>
      <c r="D24" s="1" t="s">
        <v>25</v>
      </c>
      <c r="E24" s="8">
        <v>4.9205479452054792</v>
      </c>
      <c r="F24" s="9">
        <v>5.4290000000000003</v>
      </c>
      <c r="G24" s="9">
        <v>-22.900000000000009</v>
      </c>
      <c r="H24" s="9">
        <v>5.4093999999999998</v>
      </c>
      <c r="I24" s="9">
        <v>1.9600000000000506</v>
      </c>
      <c r="J24" s="1" t="s">
        <v>12</v>
      </c>
      <c r="K24" s="1" t="s">
        <v>121</v>
      </c>
      <c r="L24" s="3">
        <v>4.63</v>
      </c>
      <c r="M24" s="2" t="s">
        <v>854</v>
      </c>
      <c r="N24" s="2" t="s">
        <v>824</v>
      </c>
      <c r="O24" s="4">
        <v>42867</v>
      </c>
    </row>
    <row r="25" spans="1:15">
      <c r="A25" s="7" t="s">
        <v>934</v>
      </c>
      <c r="B25" s="7">
        <v>5.0999999999999996</v>
      </c>
      <c r="C25" s="1" t="s">
        <v>821</v>
      </c>
      <c r="D25" s="1" t="s">
        <v>11</v>
      </c>
      <c r="E25" s="8">
        <v>3.9287671232876713</v>
      </c>
      <c r="F25" s="9">
        <v>5.1117999999999997</v>
      </c>
      <c r="G25" s="9">
        <v>-1.1800000000000033</v>
      </c>
      <c r="H25" s="9">
        <v>5.1189</v>
      </c>
      <c r="I25" s="9">
        <v>-0.71000000000003283</v>
      </c>
      <c r="J25" s="1" t="s">
        <v>28</v>
      </c>
      <c r="K25" s="1" t="s">
        <v>121</v>
      </c>
      <c r="L25" s="3">
        <v>3.7</v>
      </c>
      <c r="M25" s="2" t="s">
        <v>372</v>
      </c>
      <c r="N25" s="2" t="s">
        <v>162</v>
      </c>
      <c r="O25" s="4">
        <v>42867</v>
      </c>
    </row>
    <row r="26" spans="1:15">
      <c r="A26" s="7" t="s">
        <v>481</v>
      </c>
      <c r="B26" s="7">
        <v>5.19</v>
      </c>
      <c r="C26" s="1" t="s">
        <v>482</v>
      </c>
      <c r="D26" s="1" t="s">
        <v>11</v>
      </c>
      <c r="E26" s="8">
        <v>4.0931506849315067</v>
      </c>
      <c r="F26" s="9">
        <v>5.3765000000000001</v>
      </c>
      <c r="G26" s="9">
        <v>-18.649999999999967</v>
      </c>
      <c r="H26" s="9">
        <v>5.3670999999999998</v>
      </c>
      <c r="I26" s="9">
        <v>0.9400000000000297</v>
      </c>
      <c r="J26" s="1" t="s">
        <v>28</v>
      </c>
      <c r="K26" s="1" t="s">
        <v>121</v>
      </c>
      <c r="L26" s="3">
        <v>3.88</v>
      </c>
      <c r="M26" s="2" t="s">
        <v>404</v>
      </c>
      <c r="N26" s="2" t="s">
        <v>386</v>
      </c>
      <c r="O26" s="4">
        <v>42867</v>
      </c>
    </row>
    <row r="27" spans="1:15">
      <c r="A27" s="7">
        <v>131656048</v>
      </c>
      <c r="B27" s="7">
        <v>5.18</v>
      </c>
      <c r="C27" s="1" t="s">
        <v>694</v>
      </c>
      <c r="D27" s="1" t="s">
        <v>11</v>
      </c>
      <c r="E27" s="8">
        <v>14.468493150684932</v>
      </c>
      <c r="F27" s="9">
        <v>5.2557</v>
      </c>
      <c r="G27" s="9">
        <v>-7.5700000000000323</v>
      </c>
      <c r="H27" s="9">
        <v>5.2382</v>
      </c>
      <c r="I27" s="9">
        <v>1.7500000000000071</v>
      </c>
      <c r="J27" s="1" t="s">
        <v>12</v>
      </c>
      <c r="K27" s="1" t="s">
        <v>45</v>
      </c>
      <c r="L27" s="3">
        <v>3.35</v>
      </c>
      <c r="M27" s="2" t="s">
        <v>556</v>
      </c>
      <c r="N27" s="2" t="s">
        <v>553</v>
      </c>
      <c r="O27" s="4">
        <v>42867</v>
      </c>
    </row>
    <row r="28" spans="1:15">
      <c r="A28" s="7">
        <v>131656048</v>
      </c>
      <c r="B28" s="7">
        <v>5.18</v>
      </c>
      <c r="C28" s="1" t="s">
        <v>694</v>
      </c>
      <c r="D28" s="1" t="s">
        <v>11</v>
      </c>
      <c r="E28" s="8">
        <v>14.468493150684932</v>
      </c>
      <c r="F28" s="9">
        <v>5.2557</v>
      </c>
      <c r="G28" s="9">
        <v>-7.5700000000000323</v>
      </c>
      <c r="H28" s="9">
        <v>5.2382</v>
      </c>
      <c r="I28" s="9">
        <v>1.7500000000000071</v>
      </c>
      <c r="J28" s="1" t="s">
        <v>12</v>
      </c>
      <c r="K28" s="1" t="s">
        <v>45</v>
      </c>
      <c r="L28" s="3">
        <v>3.35</v>
      </c>
      <c r="M28" s="2" t="s">
        <v>556</v>
      </c>
      <c r="N28" s="2" t="s">
        <v>553</v>
      </c>
      <c r="O28" s="4">
        <v>42867</v>
      </c>
    </row>
    <row r="29" spans="1:15">
      <c r="A29" s="7" t="s">
        <v>317</v>
      </c>
      <c r="B29" s="7">
        <v>5.17</v>
      </c>
      <c r="C29" s="1" t="s">
        <v>318</v>
      </c>
      <c r="D29" s="1" t="s">
        <v>11</v>
      </c>
      <c r="E29" s="8">
        <v>5.4821917808219176</v>
      </c>
      <c r="F29" s="9">
        <v>5.2375999999999996</v>
      </c>
      <c r="G29" s="9">
        <v>-6.759999999999966</v>
      </c>
      <c r="H29" s="9">
        <v>5.2176999999999998</v>
      </c>
      <c r="I29" s="9">
        <v>1.9899999999999807</v>
      </c>
      <c r="J29" s="1" t="s">
        <v>139</v>
      </c>
      <c r="K29" s="1" t="s">
        <v>121</v>
      </c>
      <c r="L29" s="3">
        <v>4.08</v>
      </c>
      <c r="M29" s="2" t="s">
        <v>109</v>
      </c>
      <c r="N29" s="2" t="s">
        <v>31</v>
      </c>
      <c r="O29" s="4">
        <v>42867</v>
      </c>
    </row>
    <row r="30" spans="1:15">
      <c r="A30" s="7" t="s">
        <v>934</v>
      </c>
      <c r="B30" s="7">
        <v>5.15</v>
      </c>
      <c r="C30" s="1" t="s">
        <v>821</v>
      </c>
      <c r="D30" s="1" t="s">
        <v>11</v>
      </c>
      <c r="E30" s="8">
        <v>3.9287671232876713</v>
      </c>
      <c r="F30" s="9">
        <v>5.1117999999999997</v>
      </c>
      <c r="G30" s="9">
        <v>3.8200000000000678</v>
      </c>
      <c r="H30" s="9">
        <v>5.1189</v>
      </c>
      <c r="I30" s="9">
        <v>-0.71000000000003283</v>
      </c>
      <c r="J30" s="1" t="s">
        <v>28</v>
      </c>
      <c r="K30" s="1" t="s">
        <v>121</v>
      </c>
      <c r="L30" s="3">
        <v>3.7</v>
      </c>
      <c r="M30" s="2" t="s">
        <v>372</v>
      </c>
      <c r="N30" s="2" t="s">
        <v>162</v>
      </c>
      <c r="O30" s="4">
        <v>42867</v>
      </c>
    </row>
    <row r="31" spans="1:15">
      <c r="A31" s="7">
        <v>131656048</v>
      </c>
      <c r="B31" s="7">
        <v>5.15</v>
      </c>
      <c r="C31" s="1" t="s">
        <v>694</v>
      </c>
      <c r="D31" s="1" t="s">
        <v>11</v>
      </c>
      <c r="E31" s="8">
        <v>14.468493150684932</v>
      </c>
      <c r="F31" s="9">
        <v>5.2557</v>
      </c>
      <c r="G31" s="9">
        <v>-10.569999999999968</v>
      </c>
      <c r="H31" s="9">
        <v>5.2382</v>
      </c>
      <c r="I31" s="9">
        <v>1.7500000000000071</v>
      </c>
      <c r="J31" s="1" t="s">
        <v>12</v>
      </c>
      <c r="K31" s="1" t="s">
        <v>45</v>
      </c>
      <c r="L31" s="3">
        <v>3.35</v>
      </c>
      <c r="M31" s="2" t="s">
        <v>556</v>
      </c>
      <c r="N31" s="2" t="s">
        <v>553</v>
      </c>
      <c r="O31" s="4">
        <v>42867</v>
      </c>
    </row>
    <row r="32" spans="1:15">
      <c r="A32" s="7" t="s">
        <v>580</v>
      </c>
      <c r="B32" s="7">
        <v>5.13</v>
      </c>
      <c r="C32" s="1" t="s">
        <v>581</v>
      </c>
      <c r="D32" s="1" t="s">
        <v>11</v>
      </c>
      <c r="E32" s="8">
        <v>5.8630136986301373</v>
      </c>
      <c r="F32" s="9">
        <v>5.1485000000000003</v>
      </c>
      <c r="G32" s="9">
        <v>-1.8500000000000405</v>
      </c>
      <c r="H32" s="9">
        <v>5.1157000000000004</v>
      </c>
      <c r="I32" s="9">
        <v>3.279999999999994</v>
      </c>
      <c r="J32" s="1" t="s">
        <v>12</v>
      </c>
      <c r="K32" s="1" t="s">
        <v>121</v>
      </c>
      <c r="L32" s="3">
        <v>3.2</v>
      </c>
      <c r="M32" s="2" t="s">
        <v>147</v>
      </c>
      <c r="N32" s="2" t="s">
        <v>34</v>
      </c>
      <c r="O32" s="4">
        <v>42867</v>
      </c>
    </row>
    <row r="33" spans="1:15">
      <c r="A33" s="7" t="s">
        <v>792</v>
      </c>
      <c r="B33" s="7">
        <v>5.1100000000000003</v>
      </c>
      <c r="C33" s="1" t="s">
        <v>790</v>
      </c>
      <c r="D33" s="1" t="s">
        <v>11</v>
      </c>
      <c r="E33" s="8">
        <v>3.6821917808219178</v>
      </c>
      <c r="F33" s="9">
        <v>5.3653000000000004</v>
      </c>
      <c r="G33" s="9">
        <v>-25.530000000000008</v>
      </c>
      <c r="H33" s="9">
        <v>5.3498999999999999</v>
      </c>
      <c r="I33" s="9">
        <v>1.5400000000000524</v>
      </c>
      <c r="J33" s="1" t="s">
        <v>28</v>
      </c>
      <c r="K33" s="1" t="s">
        <v>121</v>
      </c>
      <c r="L33" s="3">
        <v>3.2</v>
      </c>
      <c r="M33" s="2" t="s">
        <v>57</v>
      </c>
      <c r="N33" s="2" t="s">
        <v>35</v>
      </c>
      <c r="O33" s="4">
        <v>42867</v>
      </c>
    </row>
    <row r="34" spans="1:15">
      <c r="A34" s="7" t="s">
        <v>847</v>
      </c>
      <c r="B34" s="7">
        <v>5.07</v>
      </c>
      <c r="C34" s="1" t="s">
        <v>848</v>
      </c>
      <c r="D34" s="1" t="s">
        <v>11</v>
      </c>
      <c r="E34" s="8">
        <v>5.2438356164383562</v>
      </c>
      <c r="F34" s="9">
        <v>5.1311</v>
      </c>
      <c r="G34" s="9">
        <v>-6.109999999999971</v>
      </c>
      <c r="H34" s="9">
        <v>5.0917000000000003</v>
      </c>
      <c r="I34" s="9">
        <v>3.9399999999999658</v>
      </c>
      <c r="J34" s="1" t="s">
        <v>17</v>
      </c>
      <c r="K34" s="1" t="s">
        <v>121</v>
      </c>
      <c r="L34" s="3">
        <v>3.98</v>
      </c>
      <c r="M34" s="2" t="s">
        <v>262</v>
      </c>
      <c r="N34" s="2" t="s">
        <v>16</v>
      </c>
      <c r="O34" s="4">
        <v>42867</v>
      </c>
    </row>
    <row r="35" spans="1:15">
      <c r="A35" s="7" t="s">
        <v>856</v>
      </c>
      <c r="B35" s="7">
        <v>5.05</v>
      </c>
      <c r="C35" s="1" t="s">
        <v>858</v>
      </c>
      <c r="D35" s="1" t="s">
        <v>11</v>
      </c>
      <c r="E35" s="8">
        <v>4.4356164383561643</v>
      </c>
      <c r="F35" s="9">
        <v>5.0846999999999998</v>
      </c>
      <c r="G35" s="9">
        <v>-3.4699999999999953</v>
      </c>
      <c r="H35" s="9">
        <v>5.0547000000000004</v>
      </c>
      <c r="I35" s="9">
        <v>2.9999999999999361</v>
      </c>
      <c r="J35" s="1" t="s">
        <v>12</v>
      </c>
      <c r="K35" s="1" t="s">
        <v>52</v>
      </c>
      <c r="L35" s="3">
        <v>5.0999999999999996</v>
      </c>
      <c r="M35" s="2" t="s">
        <v>270</v>
      </c>
      <c r="N35" s="2" t="s">
        <v>183</v>
      </c>
      <c r="O35" s="4">
        <v>42867</v>
      </c>
    </row>
    <row r="36" spans="1:15">
      <c r="A36" s="7" t="s">
        <v>679</v>
      </c>
      <c r="B36" s="7">
        <v>5.05</v>
      </c>
      <c r="C36" s="1" t="s">
        <v>683</v>
      </c>
      <c r="D36" s="1" t="s">
        <v>25</v>
      </c>
      <c r="E36" s="8">
        <v>3.3369863013698629</v>
      </c>
      <c r="F36" s="9">
        <v>5.2561999999999998</v>
      </c>
      <c r="G36" s="9">
        <v>-20.619999999999994</v>
      </c>
      <c r="H36" s="9">
        <v>5.2373000000000003</v>
      </c>
      <c r="I36" s="9">
        <v>1.8899999999999473</v>
      </c>
      <c r="J36" s="1" t="s">
        <v>12</v>
      </c>
      <c r="K36" s="1" t="s">
        <v>19</v>
      </c>
      <c r="L36" s="3">
        <v>4</v>
      </c>
      <c r="M36" s="2" t="s">
        <v>187</v>
      </c>
      <c r="N36" s="2" t="s">
        <v>211</v>
      </c>
      <c r="O36" s="4">
        <v>42867</v>
      </c>
    </row>
    <row r="37" spans="1:15">
      <c r="A37" s="7" t="s">
        <v>679</v>
      </c>
      <c r="B37" s="7">
        <v>5.05</v>
      </c>
      <c r="C37" s="1" t="s">
        <v>683</v>
      </c>
      <c r="D37" s="1" t="s">
        <v>25</v>
      </c>
      <c r="E37" s="8">
        <v>3.3369863013698629</v>
      </c>
      <c r="F37" s="9">
        <v>5.2561999999999998</v>
      </c>
      <c r="G37" s="9">
        <v>-20.619999999999994</v>
      </c>
      <c r="H37" s="9">
        <v>5.2373000000000003</v>
      </c>
      <c r="I37" s="9">
        <v>1.8899999999999473</v>
      </c>
      <c r="J37" s="1" t="s">
        <v>12</v>
      </c>
      <c r="K37" s="1" t="s">
        <v>19</v>
      </c>
      <c r="L37" s="3">
        <v>4</v>
      </c>
      <c r="M37" s="2" t="s">
        <v>187</v>
      </c>
      <c r="N37" s="2" t="s">
        <v>211</v>
      </c>
      <c r="O37" s="4">
        <v>42867</v>
      </c>
    </row>
    <row r="38" spans="1:15">
      <c r="A38" s="7" t="s">
        <v>527</v>
      </c>
      <c r="B38" s="7">
        <v>5.05</v>
      </c>
      <c r="C38" s="1" t="s">
        <v>321</v>
      </c>
      <c r="D38" s="1" t="s">
        <v>11</v>
      </c>
      <c r="E38" s="8">
        <v>5.3095890410958901</v>
      </c>
      <c r="F38" s="9">
        <v>5.1887999999999996</v>
      </c>
      <c r="G38" s="9">
        <v>-13.879999999999981</v>
      </c>
      <c r="H38" s="9">
        <v>5.1688999999999998</v>
      </c>
      <c r="I38" s="9">
        <v>1.9899999999999807</v>
      </c>
      <c r="J38" s="1" t="s">
        <v>12</v>
      </c>
      <c r="K38" s="1" t="s">
        <v>121</v>
      </c>
      <c r="L38" s="3">
        <v>4.24</v>
      </c>
      <c r="M38" s="2" t="s">
        <v>156</v>
      </c>
      <c r="N38" s="2" t="s">
        <v>245</v>
      </c>
      <c r="O38" s="4">
        <v>42867</v>
      </c>
    </row>
    <row r="39" spans="1:15">
      <c r="A39" s="7" t="s">
        <v>935</v>
      </c>
      <c r="B39" s="7">
        <v>5</v>
      </c>
      <c r="C39" s="1" t="s">
        <v>954</v>
      </c>
      <c r="D39" s="1" t="s">
        <v>11</v>
      </c>
      <c r="E39" s="8">
        <v>4.9616438356164387</v>
      </c>
      <c r="F39" s="9">
        <v>5.0898000000000003</v>
      </c>
      <c r="G39" s="9">
        <v>-8.9800000000000324</v>
      </c>
      <c r="H39" s="9">
        <v>5.0698999999999996</v>
      </c>
      <c r="I39" s="9">
        <v>1.9900000000000695</v>
      </c>
      <c r="J39" s="1" t="s">
        <v>12</v>
      </c>
      <c r="K39" s="1" t="s">
        <v>121</v>
      </c>
      <c r="L39" s="3">
        <v>4.7</v>
      </c>
      <c r="M39" s="2" t="s">
        <v>913</v>
      </c>
      <c r="N39" s="2" t="s">
        <v>860</v>
      </c>
      <c r="O39" s="4">
        <v>42867</v>
      </c>
    </row>
    <row r="40" spans="1:15">
      <c r="A40" s="7" t="s">
        <v>650</v>
      </c>
      <c r="B40" s="7">
        <v>4.95</v>
      </c>
      <c r="C40" s="1" t="s">
        <v>652</v>
      </c>
      <c r="D40" s="1" t="s">
        <v>11</v>
      </c>
      <c r="E40" s="8">
        <v>4.3863013698630136</v>
      </c>
      <c r="F40" s="9">
        <v>5.0701000000000001</v>
      </c>
      <c r="G40" s="9">
        <v>-12.009999999999987</v>
      </c>
      <c r="H40" s="9">
        <v>5.0456000000000003</v>
      </c>
      <c r="I40" s="9">
        <v>2.4499999999999744</v>
      </c>
      <c r="J40" s="1" t="s">
        <v>17</v>
      </c>
      <c r="K40" s="1" t="s">
        <v>121</v>
      </c>
      <c r="L40" s="3">
        <v>2.95</v>
      </c>
      <c r="M40" s="2" t="s">
        <v>567</v>
      </c>
      <c r="N40" s="2" t="s">
        <v>516</v>
      </c>
      <c r="O40" s="4">
        <v>42867</v>
      </c>
    </row>
    <row r="41" spans="1:15">
      <c r="A41" s="7" t="s">
        <v>650</v>
      </c>
      <c r="B41" s="7">
        <v>4.95</v>
      </c>
      <c r="C41" s="1" t="s">
        <v>652</v>
      </c>
      <c r="D41" s="1" t="s">
        <v>11</v>
      </c>
      <c r="E41" s="8">
        <v>4.3863013698630136</v>
      </c>
      <c r="F41" s="9">
        <v>5.0701000000000001</v>
      </c>
      <c r="G41" s="9">
        <v>-12.009999999999987</v>
      </c>
      <c r="H41" s="9">
        <v>5.0456000000000003</v>
      </c>
      <c r="I41" s="9">
        <v>2.4499999999999744</v>
      </c>
      <c r="J41" s="1" t="s">
        <v>17</v>
      </c>
      <c r="K41" s="1" t="s">
        <v>121</v>
      </c>
      <c r="L41" s="3">
        <v>2.95</v>
      </c>
      <c r="M41" s="2" t="s">
        <v>567</v>
      </c>
      <c r="N41" s="2" t="s">
        <v>516</v>
      </c>
      <c r="O41" s="4">
        <v>42867</v>
      </c>
    </row>
    <row r="42" spans="1:15">
      <c r="A42" s="7" t="s">
        <v>650</v>
      </c>
      <c r="B42" s="7">
        <v>4.95</v>
      </c>
      <c r="C42" s="1" t="s">
        <v>652</v>
      </c>
      <c r="D42" s="1" t="s">
        <v>11</v>
      </c>
      <c r="E42" s="8">
        <v>4.3863013698630136</v>
      </c>
      <c r="F42" s="9">
        <v>5.0701000000000001</v>
      </c>
      <c r="G42" s="9">
        <v>-12.009999999999987</v>
      </c>
      <c r="H42" s="9">
        <v>5.0456000000000003</v>
      </c>
      <c r="I42" s="9">
        <v>2.4499999999999744</v>
      </c>
      <c r="J42" s="1" t="s">
        <v>17</v>
      </c>
      <c r="K42" s="1" t="s">
        <v>121</v>
      </c>
      <c r="L42" s="3">
        <v>2.95</v>
      </c>
      <c r="M42" s="2" t="s">
        <v>567</v>
      </c>
      <c r="N42" s="2" t="s">
        <v>516</v>
      </c>
      <c r="O42" s="4">
        <v>42867</v>
      </c>
    </row>
    <row r="43" spans="1:15">
      <c r="A43" s="7" t="s">
        <v>650</v>
      </c>
      <c r="B43" s="7">
        <v>4.95</v>
      </c>
      <c r="C43" s="1" t="s">
        <v>652</v>
      </c>
      <c r="D43" s="1" t="s">
        <v>11</v>
      </c>
      <c r="E43" s="8">
        <v>4.3863013698630136</v>
      </c>
      <c r="F43" s="9">
        <v>5.0701000000000001</v>
      </c>
      <c r="G43" s="9">
        <v>-12.009999999999987</v>
      </c>
      <c r="H43" s="9">
        <v>5.0456000000000003</v>
      </c>
      <c r="I43" s="9">
        <v>2.4499999999999744</v>
      </c>
      <c r="J43" s="1" t="s">
        <v>17</v>
      </c>
      <c r="K43" s="1" t="s">
        <v>121</v>
      </c>
      <c r="L43" s="3">
        <v>2.95</v>
      </c>
      <c r="M43" s="2" t="s">
        <v>567</v>
      </c>
      <c r="N43" s="2" t="s">
        <v>516</v>
      </c>
      <c r="O43" s="4">
        <v>42867</v>
      </c>
    </row>
    <row r="44" spans="1:15">
      <c r="A44" s="7" t="s">
        <v>650</v>
      </c>
      <c r="B44" s="7">
        <v>4.95</v>
      </c>
      <c r="C44" s="1" t="s">
        <v>652</v>
      </c>
      <c r="D44" s="1" t="s">
        <v>11</v>
      </c>
      <c r="E44" s="8">
        <v>4.3863013698630136</v>
      </c>
      <c r="F44" s="9">
        <v>5.0701000000000001</v>
      </c>
      <c r="G44" s="9">
        <v>-12.009999999999987</v>
      </c>
      <c r="H44" s="9">
        <v>5.0456000000000003</v>
      </c>
      <c r="I44" s="9">
        <v>2.4499999999999744</v>
      </c>
      <c r="J44" s="1" t="s">
        <v>17</v>
      </c>
      <c r="K44" s="1" t="s">
        <v>121</v>
      </c>
      <c r="L44" s="3">
        <v>2.95</v>
      </c>
      <c r="M44" s="2" t="s">
        <v>567</v>
      </c>
      <c r="N44" s="2" t="s">
        <v>516</v>
      </c>
      <c r="O44" s="4">
        <v>42867</v>
      </c>
    </row>
    <row r="45" spans="1:15">
      <c r="A45" s="7" t="s">
        <v>507</v>
      </c>
      <c r="B45" s="7">
        <v>4.93</v>
      </c>
      <c r="C45" s="1" t="s">
        <v>274</v>
      </c>
      <c r="D45" s="1" t="s">
        <v>11</v>
      </c>
      <c r="E45" s="8">
        <v>3.2136986301369861</v>
      </c>
      <c r="F45" s="9">
        <v>5.1291000000000002</v>
      </c>
      <c r="G45" s="9">
        <v>-19.91000000000005</v>
      </c>
      <c r="H45" s="9">
        <v>5.0895000000000001</v>
      </c>
      <c r="I45" s="9">
        <v>3.960000000000008</v>
      </c>
      <c r="J45" s="1" t="s">
        <v>139</v>
      </c>
      <c r="K45" s="1" t="s">
        <v>121</v>
      </c>
      <c r="L45" s="3">
        <v>3.93</v>
      </c>
      <c r="M45" s="2" t="s">
        <v>209</v>
      </c>
      <c r="N45" s="2" t="s">
        <v>219</v>
      </c>
      <c r="O45" s="4">
        <v>42867</v>
      </c>
    </row>
    <row r="46" spans="1:15">
      <c r="A46" s="7" t="s">
        <v>597</v>
      </c>
      <c r="B46" s="7">
        <v>4.8499999999999996</v>
      </c>
      <c r="C46" s="1" t="s">
        <v>600</v>
      </c>
      <c r="D46" s="1" t="s">
        <v>11</v>
      </c>
      <c r="E46" s="8">
        <v>4.2493150684931509</v>
      </c>
      <c r="F46" s="9">
        <v>4.8566000000000003</v>
      </c>
      <c r="G46" s="9">
        <v>-0.66000000000006054</v>
      </c>
      <c r="H46" s="9">
        <v>4.8220999999999998</v>
      </c>
      <c r="I46" s="9">
        <v>3.4500000000000419</v>
      </c>
      <c r="J46" s="1" t="s">
        <v>12</v>
      </c>
      <c r="K46" s="1" t="s">
        <v>19</v>
      </c>
      <c r="L46" s="3">
        <v>2.9</v>
      </c>
      <c r="M46" s="2" t="s">
        <v>485</v>
      </c>
      <c r="N46" s="2" t="s">
        <v>441</v>
      </c>
      <c r="O46" s="4">
        <v>42867</v>
      </c>
    </row>
    <row r="47" spans="1:15">
      <c r="A47" s="7" t="s">
        <v>728</v>
      </c>
      <c r="B47" s="7">
        <v>4.8499999999999996</v>
      </c>
      <c r="C47" s="1" t="s">
        <v>729</v>
      </c>
      <c r="D47" s="1" t="s">
        <v>11</v>
      </c>
      <c r="E47" s="8">
        <v>3.8301369863013699</v>
      </c>
      <c r="F47" s="9">
        <v>4.9978999999999996</v>
      </c>
      <c r="G47" s="9">
        <v>-14.789999999999992</v>
      </c>
      <c r="H47" s="9">
        <v>4.9645000000000001</v>
      </c>
      <c r="I47" s="9">
        <v>3.339999999999943</v>
      </c>
      <c r="J47" s="1" t="s">
        <v>17</v>
      </c>
      <c r="K47" s="1" t="s">
        <v>121</v>
      </c>
      <c r="L47" s="3">
        <v>2.92</v>
      </c>
      <c r="M47" s="2" t="s">
        <v>42</v>
      </c>
      <c r="N47" s="2" t="s">
        <v>40</v>
      </c>
      <c r="O47" s="4">
        <v>42867</v>
      </c>
    </row>
    <row r="48" spans="1:15">
      <c r="A48" s="7" t="s">
        <v>498</v>
      </c>
      <c r="B48" s="7">
        <v>4.83</v>
      </c>
      <c r="C48" s="1" t="s">
        <v>502</v>
      </c>
      <c r="D48" s="1" t="s">
        <v>11</v>
      </c>
      <c r="E48" s="8">
        <v>4.1890410958904107</v>
      </c>
      <c r="F48" s="9">
        <v>5.0103999999999997</v>
      </c>
      <c r="G48" s="9">
        <v>-18.039999999999967</v>
      </c>
      <c r="H48" s="9">
        <v>4.9829999999999997</v>
      </c>
      <c r="I48" s="9">
        <v>2.7400000000000091</v>
      </c>
      <c r="J48" s="1" t="s">
        <v>17</v>
      </c>
      <c r="K48" s="1" t="s">
        <v>19</v>
      </c>
      <c r="L48" s="3">
        <v>2.99</v>
      </c>
      <c r="M48" s="2" t="s">
        <v>443</v>
      </c>
      <c r="N48" s="2" t="s">
        <v>422</v>
      </c>
      <c r="O48" s="4">
        <v>42867</v>
      </c>
    </row>
    <row r="49" spans="1:15">
      <c r="A49" s="7" t="s">
        <v>728</v>
      </c>
      <c r="B49" s="7">
        <v>4.8</v>
      </c>
      <c r="C49" s="1" t="s">
        <v>729</v>
      </c>
      <c r="D49" s="1" t="s">
        <v>11</v>
      </c>
      <c r="E49" s="8">
        <v>3.8301369863013699</v>
      </c>
      <c r="F49" s="9">
        <v>4.9978999999999996</v>
      </c>
      <c r="G49" s="9">
        <v>-19.789999999999974</v>
      </c>
      <c r="H49" s="9">
        <v>4.9645000000000001</v>
      </c>
      <c r="I49" s="9">
        <v>3.339999999999943</v>
      </c>
      <c r="J49" s="1" t="s">
        <v>17</v>
      </c>
      <c r="K49" s="1" t="s">
        <v>121</v>
      </c>
      <c r="L49" s="3">
        <v>2.92</v>
      </c>
      <c r="M49" s="2" t="s">
        <v>42</v>
      </c>
      <c r="N49" s="2" t="s">
        <v>40</v>
      </c>
      <c r="O49" s="4">
        <v>42867</v>
      </c>
    </row>
    <row r="50" spans="1:15">
      <c r="A50" s="7" t="s">
        <v>575</v>
      </c>
      <c r="B50" s="7">
        <v>4.75</v>
      </c>
      <c r="C50" s="1" t="s">
        <v>573</v>
      </c>
      <c r="D50" s="1" t="s">
        <v>11</v>
      </c>
      <c r="E50" s="8">
        <v>5.3863013698630136</v>
      </c>
      <c r="F50" s="9">
        <v>4.7882999999999996</v>
      </c>
      <c r="G50" s="9">
        <v>-3.8299999999999557</v>
      </c>
      <c r="H50" s="9">
        <v>4.7683999999999997</v>
      </c>
      <c r="I50" s="9">
        <v>1.9899999999999807</v>
      </c>
      <c r="J50" s="1" t="s">
        <v>17</v>
      </c>
      <c r="K50" s="1" t="s">
        <v>121</v>
      </c>
      <c r="L50" s="3">
        <v>2.94</v>
      </c>
      <c r="M50" s="2" t="s">
        <v>559</v>
      </c>
      <c r="N50" s="2" t="s">
        <v>516</v>
      </c>
      <c r="O50" s="4">
        <v>42867</v>
      </c>
    </row>
    <row r="51" spans="1:15">
      <c r="A51" s="7">
        <v>1780058</v>
      </c>
      <c r="B51" s="7">
        <v>4.5999999999999996</v>
      </c>
      <c r="C51" s="1" t="s">
        <v>955</v>
      </c>
      <c r="D51" s="1" t="s">
        <v>11</v>
      </c>
      <c r="E51" s="8">
        <v>4.9424657534246572</v>
      </c>
      <c r="F51" s="9">
        <v>4.7252000000000001</v>
      </c>
      <c r="G51" s="9">
        <v>-12.520000000000042</v>
      </c>
      <c r="H51" s="9">
        <v>4.6767000000000003</v>
      </c>
      <c r="I51" s="9">
        <v>4.8499999999999766</v>
      </c>
      <c r="J51" s="1" t="s">
        <v>12</v>
      </c>
      <c r="K51" s="1" t="s">
        <v>52</v>
      </c>
      <c r="L51" s="3">
        <v>4.2</v>
      </c>
      <c r="M51" s="2" t="s">
        <v>867</v>
      </c>
      <c r="N51" s="2" t="s">
        <v>851</v>
      </c>
      <c r="O51" s="4">
        <v>42867</v>
      </c>
    </row>
    <row r="52" spans="1:15">
      <c r="A52" s="7">
        <v>101662082</v>
      </c>
      <c r="B52" s="7">
        <v>8.85</v>
      </c>
      <c r="C52" s="1" t="s">
        <v>723</v>
      </c>
      <c r="D52" s="1" t="s">
        <v>25</v>
      </c>
      <c r="E52" s="8">
        <v>4.4876712328767123</v>
      </c>
      <c r="F52" s="9">
        <v>8.8146000000000004</v>
      </c>
      <c r="G52" s="9">
        <v>3.539999999999921</v>
      </c>
      <c r="H52" s="9">
        <v>8.8286999999999995</v>
      </c>
      <c r="I52" s="9">
        <v>-1.4099999999999113</v>
      </c>
      <c r="J52" s="1" t="s">
        <v>26</v>
      </c>
      <c r="K52" s="1" t="s">
        <v>45</v>
      </c>
      <c r="L52" s="3">
        <v>3.84</v>
      </c>
      <c r="M52" s="2" t="s">
        <v>570</v>
      </c>
      <c r="N52" s="2" t="s">
        <v>564</v>
      </c>
      <c r="O52" s="4">
        <v>42867</v>
      </c>
    </row>
    <row r="53" spans="1:15">
      <c r="A53" s="7">
        <v>101662082</v>
      </c>
      <c r="B53" s="7">
        <v>8.85</v>
      </c>
      <c r="C53" s="1" t="s">
        <v>723</v>
      </c>
      <c r="D53" s="1" t="s">
        <v>25</v>
      </c>
      <c r="E53" s="8">
        <v>4.4876712328767123</v>
      </c>
      <c r="F53" s="9">
        <v>8.8146000000000004</v>
      </c>
      <c r="G53" s="9">
        <v>3.539999999999921</v>
      </c>
      <c r="H53" s="9">
        <v>8.8286999999999995</v>
      </c>
      <c r="I53" s="9">
        <v>-1.4099999999999113</v>
      </c>
      <c r="J53" s="1" t="s">
        <v>26</v>
      </c>
      <c r="K53" s="1" t="s">
        <v>45</v>
      </c>
      <c r="L53" s="3">
        <v>3.84</v>
      </c>
      <c r="M53" s="2" t="s">
        <v>570</v>
      </c>
      <c r="N53" s="2" t="s">
        <v>564</v>
      </c>
      <c r="O53" s="4">
        <v>42867</v>
      </c>
    </row>
    <row r="54" spans="1:15">
      <c r="A54" s="7" t="s">
        <v>936</v>
      </c>
      <c r="B54" s="7">
        <v>7.75</v>
      </c>
      <c r="C54" s="1" t="s">
        <v>956</v>
      </c>
      <c r="D54" s="1" t="s">
        <v>36</v>
      </c>
      <c r="E54" s="8">
        <v>1.6767123287671233</v>
      </c>
      <c r="F54" s="9">
        <v>7.7511000000000001</v>
      </c>
      <c r="G54" s="9">
        <v>-0.11000000000001009</v>
      </c>
      <c r="H54" s="9">
        <v>7.6951000000000001</v>
      </c>
      <c r="I54" s="9">
        <v>5.600000000000005</v>
      </c>
      <c r="J54" s="1" t="s">
        <v>12</v>
      </c>
      <c r="K54" s="1" t="s">
        <v>121</v>
      </c>
      <c r="L54" s="3">
        <v>6</v>
      </c>
      <c r="M54" s="2" t="s">
        <v>57</v>
      </c>
      <c r="N54" s="2" t="s">
        <v>35</v>
      </c>
      <c r="O54" s="4">
        <v>42867</v>
      </c>
    </row>
    <row r="55" spans="1:15">
      <c r="A55" s="7">
        <v>101654098</v>
      </c>
      <c r="B55" s="7">
        <v>7.51</v>
      </c>
      <c r="C55" s="1" t="s">
        <v>957</v>
      </c>
      <c r="D55" s="1" t="s">
        <v>36</v>
      </c>
      <c r="E55" s="8">
        <v>2.463013698630137</v>
      </c>
      <c r="F55" s="9">
        <v>7.0488999999999997</v>
      </c>
      <c r="G55" s="9">
        <v>46.110000000000007</v>
      </c>
      <c r="H55" s="9">
        <v>7.0534999999999997</v>
      </c>
      <c r="I55" s="9">
        <v>-0.45999999999999375</v>
      </c>
      <c r="J55" s="1" t="s">
        <v>12</v>
      </c>
      <c r="K55" s="1" t="s">
        <v>45</v>
      </c>
      <c r="L55" s="3">
        <v>5.3</v>
      </c>
      <c r="M55" s="2" t="s">
        <v>557</v>
      </c>
      <c r="N55" s="2" t="s">
        <v>554</v>
      </c>
      <c r="O55" s="4">
        <v>42867</v>
      </c>
    </row>
    <row r="56" spans="1:15">
      <c r="A56" s="7">
        <v>114035</v>
      </c>
      <c r="B56" s="7">
        <v>7.15</v>
      </c>
      <c r="C56" s="1" t="s">
        <v>958</v>
      </c>
      <c r="D56" s="1" t="s">
        <v>25</v>
      </c>
      <c r="E56" s="8">
        <v>2.473972602739726</v>
      </c>
      <c r="F56" s="9">
        <v>8.7985000000000007</v>
      </c>
      <c r="G56" s="9">
        <v>-164.85000000000002</v>
      </c>
      <c r="H56" s="9">
        <v>8.8025000000000002</v>
      </c>
      <c r="I56" s="9">
        <v>-0.39999999999995595</v>
      </c>
      <c r="J56" s="1" t="s">
        <v>12</v>
      </c>
      <c r="K56" s="1" t="s">
        <v>121</v>
      </c>
      <c r="L56" s="3">
        <v>6.83</v>
      </c>
      <c r="M56" s="2" t="s">
        <v>610</v>
      </c>
      <c r="N56" s="2" t="s">
        <v>557</v>
      </c>
      <c r="O56" s="4">
        <v>42867</v>
      </c>
    </row>
    <row r="57" spans="1:15">
      <c r="A57" s="7">
        <v>101459060</v>
      </c>
      <c r="B57" s="7">
        <v>6.95</v>
      </c>
      <c r="C57" s="1" t="s">
        <v>959</v>
      </c>
      <c r="D57" s="1" t="s">
        <v>36</v>
      </c>
      <c r="E57" s="8">
        <v>2.5123287671232877</v>
      </c>
      <c r="F57" s="9">
        <v>6.7129000000000003</v>
      </c>
      <c r="G57" s="9">
        <v>23.709999999999987</v>
      </c>
      <c r="H57" s="9">
        <v>6.7150999999999996</v>
      </c>
      <c r="I57" s="9">
        <v>-0.21999999999993136</v>
      </c>
      <c r="J57" s="1" t="s">
        <v>28</v>
      </c>
      <c r="K57" s="1" t="s">
        <v>45</v>
      </c>
      <c r="L57" s="3">
        <v>6.45</v>
      </c>
      <c r="M57" s="2" t="s">
        <v>350</v>
      </c>
      <c r="N57" s="2" t="s">
        <v>726</v>
      </c>
      <c r="O57" s="4">
        <v>42867</v>
      </c>
    </row>
    <row r="58" spans="1:15">
      <c r="A58" s="7">
        <v>125828</v>
      </c>
      <c r="B58" s="7">
        <v>6.95</v>
      </c>
      <c r="C58" s="1" t="s">
        <v>757</v>
      </c>
      <c r="D58" s="1" t="s">
        <v>25</v>
      </c>
      <c r="E58" s="8">
        <v>2.3452054794520549</v>
      </c>
      <c r="F58" s="9">
        <v>7.2324000000000002</v>
      </c>
      <c r="G58" s="9">
        <v>-28.24</v>
      </c>
      <c r="H58" s="9">
        <v>7.4175000000000004</v>
      </c>
      <c r="I58" s="9">
        <v>-18.510000000000026</v>
      </c>
      <c r="J58" s="1" t="s">
        <v>28</v>
      </c>
      <c r="K58" s="1" t="s">
        <v>121</v>
      </c>
      <c r="L58" s="3">
        <v>6.99</v>
      </c>
      <c r="M58" s="2" t="s">
        <v>30</v>
      </c>
      <c r="N58" s="2" t="s">
        <v>64</v>
      </c>
      <c r="O58" s="4">
        <v>42867</v>
      </c>
    </row>
    <row r="59" spans="1:15">
      <c r="A59" s="7">
        <v>1680083</v>
      </c>
      <c r="B59" s="7">
        <v>6.88</v>
      </c>
      <c r="C59" s="1" t="s">
        <v>960</v>
      </c>
      <c r="D59" s="1" t="s">
        <v>36</v>
      </c>
      <c r="E59" s="8">
        <v>5.8712328767123285</v>
      </c>
      <c r="F59" s="9">
        <v>6.7579000000000002</v>
      </c>
      <c r="G59" s="9">
        <v>12.209999999999965</v>
      </c>
      <c r="H59" s="9">
        <v>6.7191999999999998</v>
      </c>
      <c r="I59" s="9">
        <v>3.8700000000000401</v>
      </c>
      <c r="J59" s="1" t="s">
        <v>12</v>
      </c>
      <c r="K59" s="1" t="s">
        <v>52</v>
      </c>
      <c r="L59" s="3">
        <v>5.6</v>
      </c>
      <c r="M59" s="2" t="s">
        <v>43</v>
      </c>
      <c r="N59" s="2" t="s">
        <v>179</v>
      </c>
      <c r="O59" s="4">
        <v>42867</v>
      </c>
    </row>
    <row r="60" spans="1:15">
      <c r="A60" s="7">
        <v>101473016</v>
      </c>
      <c r="B60" s="7">
        <v>6.72</v>
      </c>
      <c r="C60" s="1" t="s">
        <v>646</v>
      </c>
      <c r="D60" s="1" t="s">
        <v>25</v>
      </c>
      <c r="E60" s="8">
        <v>2.4904109589041097</v>
      </c>
      <c r="F60" s="9">
        <v>6.5620000000000003</v>
      </c>
      <c r="G60" s="9">
        <v>15.799999999999947</v>
      </c>
      <c r="H60" s="9">
        <v>6.5462999999999996</v>
      </c>
      <c r="I60" s="9">
        <v>1.5700000000000713</v>
      </c>
      <c r="J60" s="1" t="s">
        <v>17</v>
      </c>
      <c r="K60" s="1" t="s">
        <v>45</v>
      </c>
      <c r="L60" s="3">
        <v>4.9000000000000004</v>
      </c>
      <c r="M60" s="2" t="s">
        <v>238</v>
      </c>
      <c r="N60" s="2" t="s">
        <v>319</v>
      </c>
      <c r="O60" s="4">
        <v>42867</v>
      </c>
    </row>
    <row r="61" spans="1:15">
      <c r="A61" s="7">
        <v>101754037</v>
      </c>
      <c r="B61" s="7">
        <v>6.57</v>
      </c>
      <c r="C61" s="1" t="s">
        <v>881</v>
      </c>
      <c r="D61" s="1" t="s">
        <v>11</v>
      </c>
      <c r="E61" s="8">
        <v>2.9397260273972603</v>
      </c>
      <c r="F61" s="9">
        <v>6.6264000000000003</v>
      </c>
      <c r="G61" s="9">
        <v>-5.6400000000000006</v>
      </c>
      <c r="H61" s="9">
        <v>6.6089000000000002</v>
      </c>
      <c r="I61" s="9">
        <v>1.7500000000000071</v>
      </c>
      <c r="J61" s="1" t="s">
        <v>12</v>
      </c>
      <c r="K61" s="1" t="s">
        <v>45</v>
      </c>
      <c r="L61" s="3">
        <v>6.28</v>
      </c>
      <c r="M61" s="2" t="s">
        <v>845</v>
      </c>
      <c r="N61" s="2" t="s">
        <v>844</v>
      </c>
      <c r="O61" s="4">
        <v>42867</v>
      </c>
    </row>
    <row r="62" spans="1:15">
      <c r="A62" s="7" t="s">
        <v>782</v>
      </c>
      <c r="B62" s="7">
        <v>6.5</v>
      </c>
      <c r="C62" s="1" t="s">
        <v>783</v>
      </c>
      <c r="D62" s="1" t="s">
        <v>25</v>
      </c>
      <c r="E62" s="8">
        <v>2.6684931506849314</v>
      </c>
      <c r="F62" s="9">
        <v>7.0750000000000002</v>
      </c>
      <c r="G62" s="9">
        <v>-57.500000000000014</v>
      </c>
      <c r="H62" s="9">
        <v>7.0572999999999997</v>
      </c>
      <c r="I62" s="9">
        <v>1.7700000000000493</v>
      </c>
      <c r="J62" s="1" t="s">
        <v>12</v>
      </c>
      <c r="K62" s="1" t="s">
        <v>121</v>
      </c>
      <c r="L62" s="3">
        <v>5.97</v>
      </c>
      <c r="M62" s="2" t="s">
        <v>665</v>
      </c>
      <c r="N62" s="2" t="s">
        <v>632</v>
      </c>
      <c r="O62" s="4">
        <v>42867</v>
      </c>
    </row>
    <row r="63" spans="1:15">
      <c r="A63" s="7">
        <v>101669028</v>
      </c>
      <c r="B63" s="7">
        <v>6.5</v>
      </c>
      <c r="C63" s="1" t="s">
        <v>961</v>
      </c>
      <c r="D63" s="1" t="s">
        <v>25</v>
      </c>
      <c r="E63" s="8">
        <v>2.3205479452054796</v>
      </c>
      <c r="F63" s="9">
        <v>6.3879000000000001</v>
      </c>
      <c r="G63" s="9">
        <v>11.209999999999987</v>
      </c>
      <c r="H63" s="9">
        <v>6.375</v>
      </c>
      <c r="I63" s="9">
        <v>1.2900000000000134</v>
      </c>
      <c r="J63" s="1" t="s">
        <v>12</v>
      </c>
      <c r="K63" s="1" t="s">
        <v>45</v>
      </c>
      <c r="L63" s="3">
        <v>4.1500000000000004</v>
      </c>
      <c r="M63" s="2" t="s">
        <v>488</v>
      </c>
      <c r="N63" s="2" t="s">
        <v>484</v>
      </c>
      <c r="O63" s="4">
        <v>42867</v>
      </c>
    </row>
    <row r="64" spans="1:15">
      <c r="A64" s="7">
        <v>1480544</v>
      </c>
      <c r="B64" s="7">
        <v>6.32</v>
      </c>
      <c r="C64" s="1" t="s">
        <v>962</v>
      </c>
      <c r="D64" s="1" t="s">
        <v>103</v>
      </c>
      <c r="E64" s="8">
        <v>4.4739726027397264</v>
      </c>
      <c r="F64" s="9">
        <v>6.0171999999999999</v>
      </c>
      <c r="G64" s="9">
        <v>30.28000000000004</v>
      </c>
      <c r="H64" s="9">
        <v>5.9657999999999998</v>
      </c>
      <c r="I64" s="9">
        <v>5.1400000000000112</v>
      </c>
      <c r="J64" s="1" t="s">
        <v>12</v>
      </c>
      <c r="K64" s="1" t="s">
        <v>52</v>
      </c>
      <c r="L64" s="3">
        <v>5.88</v>
      </c>
      <c r="M64" s="2" t="s">
        <v>210</v>
      </c>
      <c r="N64" s="2" t="s">
        <v>239</v>
      </c>
      <c r="O64" s="4">
        <v>42867</v>
      </c>
    </row>
    <row r="65" spans="1:15">
      <c r="A65" s="7">
        <v>101655019</v>
      </c>
      <c r="B65" s="7">
        <v>6.22</v>
      </c>
      <c r="C65" s="1" t="s">
        <v>515</v>
      </c>
      <c r="D65" s="1" t="s">
        <v>36</v>
      </c>
      <c r="E65" s="8">
        <v>2.2931506849315069</v>
      </c>
      <c r="F65" s="9">
        <v>6.1711</v>
      </c>
      <c r="G65" s="9">
        <v>4.8899999999999721</v>
      </c>
      <c r="H65" s="9">
        <v>6.1002000000000001</v>
      </c>
      <c r="I65" s="9">
        <v>7.0899999999999963</v>
      </c>
      <c r="J65" s="1" t="s">
        <v>12</v>
      </c>
      <c r="K65" s="1" t="s">
        <v>45</v>
      </c>
      <c r="L65" s="3">
        <v>4.2</v>
      </c>
      <c r="M65" s="2" t="s">
        <v>469</v>
      </c>
      <c r="N65" s="2" t="s">
        <v>474</v>
      </c>
      <c r="O65" s="4">
        <v>42867</v>
      </c>
    </row>
    <row r="66" spans="1:15">
      <c r="A66" s="7">
        <v>1080101</v>
      </c>
      <c r="B66" s="7">
        <v>6.2</v>
      </c>
      <c r="C66" s="1" t="s">
        <v>176</v>
      </c>
      <c r="D66" s="1" t="s">
        <v>103</v>
      </c>
      <c r="E66" s="8">
        <v>3.2986301369863016</v>
      </c>
      <c r="F66" s="9">
        <v>5.7031999999999998</v>
      </c>
      <c r="G66" s="9">
        <v>49.680000000000035</v>
      </c>
      <c r="H66" s="9">
        <v>5.6382000000000003</v>
      </c>
      <c r="I66" s="9">
        <v>6.4999999999999503</v>
      </c>
      <c r="J66" s="1" t="s">
        <v>12</v>
      </c>
      <c r="K66" s="1" t="s">
        <v>52</v>
      </c>
      <c r="L66" s="3">
        <v>6.12</v>
      </c>
      <c r="M66" s="2" t="s">
        <v>177</v>
      </c>
      <c r="N66" s="2" t="s">
        <v>406</v>
      </c>
      <c r="O66" s="4">
        <v>42867</v>
      </c>
    </row>
    <row r="67" spans="1:15">
      <c r="A67" s="7">
        <v>1080101</v>
      </c>
      <c r="B67" s="7">
        <v>6.2</v>
      </c>
      <c r="C67" s="1" t="s">
        <v>176</v>
      </c>
      <c r="D67" s="1" t="s">
        <v>103</v>
      </c>
      <c r="E67" s="8">
        <v>3.2986301369863016</v>
      </c>
      <c r="F67" s="9">
        <v>5.7031999999999998</v>
      </c>
      <c r="G67" s="9">
        <v>49.680000000000035</v>
      </c>
      <c r="H67" s="9">
        <v>5.6382000000000003</v>
      </c>
      <c r="I67" s="9">
        <v>6.4999999999999503</v>
      </c>
      <c r="J67" s="1" t="s">
        <v>12</v>
      </c>
      <c r="K67" s="1" t="s">
        <v>52</v>
      </c>
      <c r="L67" s="3">
        <v>6.12</v>
      </c>
      <c r="M67" s="2" t="s">
        <v>177</v>
      </c>
      <c r="N67" s="2" t="s">
        <v>406</v>
      </c>
      <c r="O67" s="4">
        <v>42867</v>
      </c>
    </row>
    <row r="68" spans="1:15">
      <c r="A68" s="7">
        <v>1080101</v>
      </c>
      <c r="B68" s="7">
        <v>6.15</v>
      </c>
      <c r="C68" s="1" t="s">
        <v>176</v>
      </c>
      <c r="D68" s="1" t="s">
        <v>103</v>
      </c>
      <c r="E68" s="8">
        <v>3.2986301369863016</v>
      </c>
      <c r="F68" s="9">
        <v>5.7031999999999998</v>
      </c>
      <c r="G68" s="9">
        <v>44.680000000000049</v>
      </c>
      <c r="H68" s="9">
        <v>5.6382000000000003</v>
      </c>
      <c r="I68" s="9">
        <v>6.4999999999999503</v>
      </c>
      <c r="J68" s="1" t="s">
        <v>12</v>
      </c>
      <c r="K68" s="1" t="s">
        <v>52</v>
      </c>
      <c r="L68" s="3">
        <v>6.12</v>
      </c>
      <c r="M68" s="2" t="s">
        <v>177</v>
      </c>
      <c r="N68" s="2" t="s">
        <v>406</v>
      </c>
      <c r="O68" s="4">
        <v>42867</v>
      </c>
    </row>
    <row r="69" spans="1:15">
      <c r="A69" s="7">
        <v>101662003</v>
      </c>
      <c r="B69" s="7">
        <v>6.06</v>
      </c>
      <c r="C69" s="1" t="s">
        <v>415</v>
      </c>
      <c r="D69" s="1" t="s">
        <v>36</v>
      </c>
      <c r="E69" s="8">
        <v>1.6712328767123288</v>
      </c>
      <c r="F69" s="9">
        <v>6.0658000000000003</v>
      </c>
      <c r="G69" s="9">
        <v>-0.58000000000006935</v>
      </c>
      <c r="H69" s="9">
        <v>6.0137999999999998</v>
      </c>
      <c r="I69" s="9">
        <v>5.200000000000049</v>
      </c>
      <c r="J69" s="1" t="s">
        <v>12</v>
      </c>
      <c r="K69" s="1" t="s">
        <v>45</v>
      </c>
      <c r="L69" s="3">
        <v>4.1900000000000004</v>
      </c>
      <c r="M69" s="2" t="s">
        <v>163</v>
      </c>
      <c r="N69" s="2" t="s">
        <v>87</v>
      </c>
      <c r="O69" s="4">
        <v>42867</v>
      </c>
    </row>
    <row r="70" spans="1:15">
      <c r="A70" s="7">
        <v>101764019</v>
      </c>
      <c r="B70" s="7">
        <v>6.04</v>
      </c>
      <c r="C70" s="1" t="s">
        <v>902</v>
      </c>
      <c r="D70" s="1" t="s">
        <v>25</v>
      </c>
      <c r="E70" s="8">
        <v>4.9616438356164387</v>
      </c>
      <c r="F70" s="9">
        <v>6.0198999999999998</v>
      </c>
      <c r="G70" s="9">
        <v>2.0100000000000229</v>
      </c>
      <c r="H70" s="9">
        <v>5.9936999999999996</v>
      </c>
      <c r="I70" s="9">
        <v>2.6200000000000223</v>
      </c>
      <c r="J70" s="1" t="s">
        <v>12</v>
      </c>
      <c r="K70" s="1" t="s">
        <v>45</v>
      </c>
      <c r="L70" s="3">
        <v>5.98</v>
      </c>
      <c r="M70" s="2" t="s">
        <v>874</v>
      </c>
      <c r="N70" s="2" t="s">
        <v>859</v>
      </c>
      <c r="O70" s="4">
        <v>42867</v>
      </c>
    </row>
    <row r="71" spans="1:15">
      <c r="A71" s="7">
        <v>1680206</v>
      </c>
      <c r="B71" s="7">
        <v>6</v>
      </c>
      <c r="C71" s="1" t="s">
        <v>408</v>
      </c>
      <c r="D71" s="1" t="s">
        <v>25</v>
      </c>
      <c r="E71" s="8">
        <v>5.9479452054794519</v>
      </c>
      <c r="F71" s="9">
        <v>5.8536999999999999</v>
      </c>
      <c r="G71" s="9">
        <v>14.63000000000001</v>
      </c>
      <c r="H71" s="9">
        <v>5.8140999999999998</v>
      </c>
      <c r="I71" s="9">
        <v>3.960000000000008</v>
      </c>
      <c r="J71" s="1" t="s">
        <v>12</v>
      </c>
      <c r="K71" s="1" t="s">
        <v>52</v>
      </c>
      <c r="L71" s="3">
        <v>4.95</v>
      </c>
      <c r="M71" s="2" t="s">
        <v>199</v>
      </c>
      <c r="N71" s="2" t="s">
        <v>281</v>
      </c>
      <c r="O71" s="4">
        <v>42867</v>
      </c>
    </row>
    <row r="72" spans="1:15">
      <c r="A72" s="7">
        <v>1680206</v>
      </c>
      <c r="B72" s="7">
        <v>6</v>
      </c>
      <c r="C72" s="1" t="s">
        <v>408</v>
      </c>
      <c r="D72" s="1" t="s">
        <v>25</v>
      </c>
      <c r="E72" s="8">
        <v>5.9479452054794519</v>
      </c>
      <c r="F72" s="9">
        <v>5.8536999999999999</v>
      </c>
      <c r="G72" s="9">
        <v>14.63000000000001</v>
      </c>
      <c r="H72" s="9">
        <v>5.8140999999999998</v>
      </c>
      <c r="I72" s="9">
        <v>3.960000000000008</v>
      </c>
      <c r="J72" s="1" t="s">
        <v>12</v>
      </c>
      <c r="K72" s="1" t="s">
        <v>52</v>
      </c>
      <c r="L72" s="3">
        <v>4.95</v>
      </c>
      <c r="M72" s="2" t="s">
        <v>199</v>
      </c>
      <c r="N72" s="2" t="s">
        <v>281</v>
      </c>
      <c r="O72" s="4">
        <v>42867</v>
      </c>
    </row>
    <row r="73" spans="1:15">
      <c r="A73" s="7">
        <v>1480226</v>
      </c>
      <c r="B73" s="7">
        <v>5.95</v>
      </c>
      <c r="C73" s="1" t="s">
        <v>486</v>
      </c>
      <c r="D73" s="1" t="s">
        <v>36</v>
      </c>
      <c r="E73" s="8">
        <v>3.9479452054794519</v>
      </c>
      <c r="F73" s="9">
        <v>5.7152000000000003</v>
      </c>
      <c r="G73" s="9">
        <v>23.47999999999999</v>
      </c>
      <c r="H73" s="9">
        <v>5.6515000000000004</v>
      </c>
      <c r="I73" s="9">
        <v>6.3699999999999868</v>
      </c>
      <c r="J73" s="1" t="s">
        <v>12</v>
      </c>
      <c r="K73" s="1" t="s">
        <v>52</v>
      </c>
      <c r="L73" s="3">
        <v>7.49</v>
      </c>
      <c r="M73" s="2" t="s">
        <v>46</v>
      </c>
      <c r="N73" s="2" t="s">
        <v>189</v>
      </c>
      <c r="O73" s="4">
        <v>42867</v>
      </c>
    </row>
    <row r="74" spans="1:15">
      <c r="A74" s="7" t="s">
        <v>398</v>
      </c>
      <c r="B74" s="7">
        <v>5.9</v>
      </c>
      <c r="C74" s="1" t="s">
        <v>963</v>
      </c>
      <c r="D74" s="1" t="s">
        <v>36</v>
      </c>
      <c r="E74" s="8">
        <v>3.9945205479452053</v>
      </c>
      <c r="F74" s="9">
        <v>5.7214</v>
      </c>
      <c r="G74" s="9">
        <v>17.860000000000031</v>
      </c>
      <c r="H74" s="9">
        <v>5.6584000000000003</v>
      </c>
      <c r="I74" s="9">
        <v>6.2999999999999723</v>
      </c>
      <c r="J74" s="1" t="s">
        <v>12</v>
      </c>
      <c r="K74" s="1" t="s">
        <v>52</v>
      </c>
      <c r="L74" s="3">
        <v>7.4</v>
      </c>
      <c r="M74" s="2" t="s">
        <v>330</v>
      </c>
      <c r="N74" s="2" t="s">
        <v>345</v>
      </c>
      <c r="O74" s="4">
        <v>42867</v>
      </c>
    </row>
    <row r="75" spans="1:15">
      <c r="A75" s="7">
        <v>101560051</v>
      </c>
      <c r="B75" s="7">
        <v>5.9</v>
      </c>
      <c r="C75" s="1" t="s">
        <v>736</v>
      </c>
      <c r="D75" s="1" t="s">
        <v>25</v>
      </c>
      <c r="E75" s="8">
        <v>1.3369863013698631</v>
      </c>
      <c r="F75" s="9">
        <v>5.8624000000000001</v>
      </c>
      <c r="G75" s="9">
        <v>3.76000000000003</v>
      </c>
      <c r="H75" s="9">
        <v>5.9188999999999998</v>
      </c>
      <c r="I75" s="9">
        <v>-5.6499999999999773</v>
      </c>
      <c r="J75" s="1" t="s">
        <v>28</v>
      </c>
      <c r="K75" s="1" t="s">
        <v>45</v>
      </c>
      <c r="L75" s="3">
        <v>5.7</v>
      </c>
      <c r="M75" s="2" t="s">
        <v>64</v>
      </c>
      <c r="N75" s="2" t="s">
        <v>153</v>
      </c>
      <c r="O75" s="4">
        <v>42867</v>
      </c>
    </row>
    <row r="76" spans="1:15">
      <c r="A76" s="7">
        <v>1680126</v>
      </c>
      <c r="B76" s="7">
        <v>5.9</v>
      </c>
      <c r="C76" s="1" t="s">
        <v>717</v>
      </c>
      <c r="D76" s="1" t="s">
        <v>36</v>
      </c>
      <c r="E76" s="8">
        <v>5.8684931506849312</v>
      </c>
      <c r="F76" s="9">
        <v>5.7694000000000001</v>
      </c>
      <c r="G76" s="9">
        <v>13.060000000000027</v>
      </c>
      <c r="H76" s="9">
        <v>5.7328999999999999</v>
      </c>
      <c r="I76" s="9">
        <v>3.6500000000000199</v>
      </c>
      <c r="J76" s="1" t="s">
        <v>12</v>
      </c>
      <c r="K76" s="1" t="s">
        <v>52</v>
      </c>
      <c r="L76" s="3">
        <v>4</v>
      </c>
      <c r="M76" s="2" t="s">
        <v>99</v>
      </c>
      <c r="N76" s="2" t="s">
        <v>24</v>
      </c>
      <c r="O76" s="4">
        <v>42867</v>
      </c>
    </row>
    <row r="77" spans="1:15">
      <c r="A77" s="7">
        <v>101564065</v>
      </c>
      <c r="B77" s="7">
        <v>5.85</v>
      </c>
      <c r="C77" s="1" t="s">
        <v>964</v>
      </c>
      <c r="D77" s="1" t="s">
        <v>36</v>
      </c>
      <c r="E77" s="8">
        <v>3.5452054794520547</v>
      </c>
      <c r="F77" s="9">
        <v>5.7698999999999998</v>
      </c>
      <c r="G77" s="9">
        <v>8.0099999999999838</v>
      </c>
      <c r="H77" s="9">
        <v>5.7168000000000001</v>
      </c>
      <c r="I77" s="9">
        <v>5.3099999999999703</v>
      </c>
      <c r="J77" s="1" t="s">
        <v>12</v>
      </c>
      <c r="K77" s="1" t="s">
        <v>45</v>
      </c>
      <c r="L77" s="3">
        <v>4.76</v>
      </c>
      <c r="M77" s="2" t="s">
        <v>18</v>
      </c>
      <c r="N77" s="2" t="s">
        <v>102</v>
      </c>
      <c r="O77" s="4">
        <v>42867</v>
      </c>
    </row>
    <row r="78" spans="1:15">
      <c r="A78" s="7">
        <v>101559063</v>
      </c>
      <c r="B78" s="7">
        <v>5.85</v>
      </c>
      <c r="C78" s="1" t="s">
        <v>789</v>
      </c>
      <c r="D78" s="1" t="s">
        <v>11</v>
      </c>
      <c r="E78" s="8">
        <v>3.6246575342465754</v>
      </c>
      <c r="F78" s="9">
        <v>5.9010999999999996</v>
      </c>
      <c r="G78" s="9">
        <v>-5.1099999999999923</v>
      </c>
      <c r="H78" s="9">
        <v>5.8501000000000003</v>
      </c>
      <c r="I78" s="9">
        <v>5.0999999999999268</v>
      </c>
      <c r="J78" s="1" t="s">
        <v>12</v>
      </c>
      <c r="K78" s="1" t="s">
        <v>45</v>
      </c>
      <c r="L78" s="3">
        <v>4.38</v>
      </c>
      <c r="M78" s="2" t="s">
        <v>138</v>
      </c>
      <c r="N78" s="2" t="s">
        <v>125</v>
      </c>
      <c r="O78" s="4">
        <v>42867</v>
      </c>
    </row>
    <row r="79" spans="1:15">
      <c r="A79" s="7">
        <v>1280298</v>
      </c>
      <c r="B79" s="7">
        <v>5.85</v>
      </c>
      <c r="C79" s="1" t="s">
        <v>826</v>
      </c>
      <c r="D79" s="1" t="s">
        <v>36</v>
      </c>
      <c r="E79" s="8">
        <v>2.3726027397260272</v>
      </c>
      <c r="F79" s="9">
        <v>5.7751000000000001</v>
      </c>
      <c r="G79" s="9">
        <v>7.4899999999999523</v>
      </c>
      <c r="H79" s="9">
        <v>5.7153999999999998</v>
      </c>
      <c r="I79" s="9">
        <v>5.9700000000000308</v>
      </c>
      <c r="J79" s="1" t="s">
        <v>12</v>
      </c>
      <c r="K79" s="1" t="s">
        <v>52</v>
      </c>
      <c r="L79" s="3">
        <v>7.45</v>
      </c>
      <c r="M79" s="2" t="s">
        <v>366</v>
      </c>
      <c r="N79" s="2" t="s">
        <v>175</v>
      </c>
      <c r="O79" s="4">
        <v>42867</v>
      </c>
    </row>
    <row r="80" spans="1:15">
      <c r="A80" s="7">
        <v>41672010</v>
      </c>
      <c r="B80" s="7">
        <v>5.81</v>
      </c>
      <c r="C80" s="1" t="s">
        <v>830</v>
      </c>
      <c r="D80" s="1" t="s">
        <v>25</v>
      </c>
      <c r="E80" s="8">
        <v>0.22465753424657534</v>
      </c>
      <c r="F80" s="9">
        <v>5.8352000000000004</v>
      </c>
      <c r="G80" s="9">
        <v>-2.5200000000000777</v>
      </c>
      <c r="H80" s="9">
        <v>5.7626999999999997</v>
      </c>
      <c r="I80" s="9">
        <v>7.2500000000000675</v>
      </c>
      <c r="J80" s="1" t="s">
        <v>28</v>
      </c>
      <c r="K80" s="1" t="s">
        <v>13</v>
      </c>
      <c r="L80" s="3">
        <v>5.5</v>
      </c>
      <c r="M80" s="2" t="s">
        <v>435</v>
      </c>
      <c r="N80" s="2" t="s">
        <v>430</v>
      </c>
      <c r="O80" s="4">
        <v>42867</v>
      </c>
    </row>
    <row r="81" spans="1:15">
      <c r="A81" s="7" t="s">
        <v>937</v>
      </c>
      <c r="B81" s="7">
        <v>5.8</v>
      </c>
      <c r="C81" s="1" t="s">
        <v>965</v>
      </c>
      <c r="D81" s="1" t="s">
        <v>25</v>
      </c>
      <c r="E81" s="8">
        <v>3.7342465753424658</v>
      </c>
      <c r="F81" s="9">
        <v>5.77</v>
      </c>
      <c r="G81" s="9">
        <v>3.0000000000000249</v>
      </c>
      <c r="H81" s="9">
        <v>5.7413999999999996</v>
      </c>
      <c r="I81" s="9">
        <v>2.8599999999999959</v>
      </c>
      <c r="J81" s="1" t="s">
        <v>12</v>
      </c>
      <c r="K81" s="1" t="s">
        <v>121</v>
      </c>
      <c r="L81" s="3">
        <v>4.1900000000000004</v>
      </c>
      <c r="M81" s="2" t="s">
        <v>231</v>
      </c>
      <c r="N81" s="2" t="s">
        <v>62</v>
      </c>
      <c r="O81" s="4">
        <v>42867</v>
      </c>
    </row>
    <row r="82" spans="1:15">
      <c r="A82" s="7">
        <v>101754027</v>
      </c>
      <c r="B82" s="7">
        <v>5.8</v>
      </c>
      <c r="C82" s="1" t="s">
        <v>816</v>
      </c>
      <c r="D82" s="1" t="s">
        <v>11</v>
      </c>
      <c r="E82" s="8">
        <v>4.8904109589041092</v>
      </c>
      <c r="F82" s="9">
        <v>5.6883999999999997</v>
      </c>
      <c r="G82" s="9">
        <v>11.160000000000014</v>
      </c>
      <c r="H82" s="9">
        <v>5.6485000000000003</v>
      </c>
      <c r="I82" s="9">
        <v>3.989999999999938</v>
      </c>
      <c r="J82" s="1" t="s">
        <v>12</v>
      </c>
      <c r="K82" s="1" t="s">
        <v>45</v>
      </c>
      <c r="L82" s="3">
        <v>5.0599999999999996</v>
      </c>
      <c r="M82" s="2" t="s">
        <v>817</v>
      </c>
      <c r="N82" s="2" t="s">
        <v>811</v>
      </c>
      <c r="O82" s="4">
        <v>42867</v>
      </c>
    </row>
    <row r="83" spans="1:15">
      <c r="A83" s="7">
        <v>101564011</v>
      </c>
      <c r="B83" s="7">
        <v>5.8</v>
      </c>
      <c r="C83" s="1" t="s">
        <v>524</v>
      </c>
      <c r="D83" s="1" t="s">
        <v>36</v>
      </c>
      <c r="E83" s="8">
        <v>2.956164383561644</v>
      </c>
      <c r="F83" s="9">
        <v>5.609</v>
      </c>
      <c r="G83" s="9">
        <v>19.099999999999984</v>
      </c>
      <c r="H83" s="9">
        <v>5.5590000000000002</v>
      </c>
      <c r="I83" s="9">
        <v>4.9999999999999822</v>
      </c>
      <c r="J83" s="1" t="s">
        <v>12</v>
      </c>
      <c r="K83" s="1" t="s">
        <v>45</v>
      </c>
      <c r="L83" s="3">
        <v>5.78</v>
      </c>
      <c r="M83" s="2" t="s">
        <v>182</v>
      </c>
      <c r="N83" s="2" t="s">
        <v>67</v>
      </c>
      <c r="O83" s="4">
        <v>42867</v>
      </c>
    </row>
    <row r="84" spans="1:15">
      <c r="A84" s="7">
        <v>11764008</v>
      </c>
      <c r="B84" s="7">
        <v>5.8</v>
      </c>
      <c r="C84" s="1" t="s">
        <v>966</v>
      </c>
      <c r="D84" s="1" t="s">
        <v>36</v>
      </c>
      <c r="E84" s="8">
        <v>0.50958904109589043</v>
      </c>
      <c r="F84" s="9">
        <v>5.6383000000000001</v>
      </c>
      <c r="G84" s="9">
        <v>16.169999999999973</v>
      </c>
      <c r="H84" s="9">
        <v>5.6032999999999999</v>
      </c>
      <c r="I84" s="9">
        <v>3.5000000000000142</v>
      </c>
      <c r="J84" s="1" t="s">
        <v>12</v>
      </c>
      <c r="K84" s="1" t="s">
        <v>13</v>
      </c>
      <c r="L84" s="3">
        <v>5.18</v>
      </c>
      <c r="M84" s="2" t="s">
        <v>693</v>
      </c>
      <c r="N84" s="2" t="s">
        <v>688</v>
      </c>
      <c r="O84" s="4">
        <v>42867</v>
      </c>
    </row>
    <row r="85" spans="1:15">
      <c r="A85" s="7">
        <v>11697010</v>
      </c>
      <c r="B85" s="7">
        <v>5.8</v>
      </c>
      <c r="C85" s="1" t="s">
        <v>636</v>
      </c>
      <c r="D85" s="1" t="s">
        <v>25</v>
      </c>
      <c r="E85" s="8">
        <v>0.33424657534246577</v>
      </c>
      <c r="F85" s="9">
        <v>5.5343999999999998</v>
      </c>
      <c r="G85" s="9">
        <v>26.560000000000006</v>
      </c>
      <c r="H85" s="9">
        <v>5.5369999999999999</v>
      </c>
      <c r="I85" s="9">
        <v>-0.26000000000001577</v>
      </c>
      <c r="J85" s="1" t="s">
        <v>28</v>
      </c>
      <c r="K85" s="1" t="s">
        <v>13</v>
      </c>
      <c r="L85" s="3">
        <v>5</v>
      </c>
      <c r="M85" s="2" t="s">
        <v>627</v>
      </c>
      <c r="N85" s="2" t="s">
        <v>611</v>
      </c>
      <c r="O85" s="4">
        <v>42867</v>
      </c>
    </row>
    <row r="86" spans="1:15">
      <c r="A86" s="7">
        <v>11697010</v>
      </c>
      <c r="B86" s="7">
        <v>5.8</v>
      </c>
      <c r="C86" s="1" t="s">
        <v>636</v>
      </c>
      <c r="D86" s="1" t="s">
        <v>25</v>
      </c>
      <c r="E86" s="8">
        <v>0.33424657534246577</v>
      </c>
      <c r="F86" s="9">
        <v>5.5343999999999998</v>
      </c>
      <c r="G86" s="9">
        <v>26.560000000000006</v>
      </c>
      <c r="H86" s="9">
        <v>5.5369999999999999</v>
      </c>
      <c r="I86" s="9">
        <v>-0.26000000000001577</v>
      </c>
      <c r="J86" s="1" t="s">
        <v>28</v>
      </c>
      <c r="K86" s="1" t="s">
        <v>13</v>
      </c>
      <c r="L86" s="3">
        <v>5</v>
      </c>
      <c r="M86" s="2" t="s">
        <v>627</v>
      </c>
      <c r="N86" s="2" t="s">
        <v>611</v>
      </c>
      <c r="O86" s="4">
        <v>42867</v>
      </c>
    </row>
    <row r="87" spans="1:15">
      <c r="A87" s="7">
        <v>11697010</v>
      </c>
      <c r="B87" s="7">
        <v>5.8</v>
      </c>
      <c r="C87" s="1" t="s">
        <v>636</v>
      </c>
      <c r="D87" s="1" t="s">
        <v>25</v>
      </c>
      <c r="E87" s="8">
        <v>0.33424657534246577</v>
      </c>
      <c r="F87" s="9">
        <v>5.5343999999999998</v>
      </c>
      <c r="G87" s="9">
        <v>26.560000000000006</v>
      </c>
      <c r="H87" s="9">
        <v>5.5369999999999999</v>
      </c>
      <c r="I87" s="9">
        <v>-0.26000000000001577</v>
      </c>
      <c r="J87" s="1" t="s">
        <v>28</v>
      </c>
      <c r="K87" s="1" t="s">
        <v>13</v>
      </c>
      <c r="L87" s="3">
        <v>5</v>
      </c>
      <c r="M87" s="2" t="s">
        <v>627</v>
      </c>
      <c r="N87" s="2" t="s">
        <v>611</v>
      </c>
      <c r="O87" s="4">
        <v>42867</v>
      </c>
    </row>
    <row r="88" spans="1:15">
      <c r="A88" s="7">
        <v>1280281</v>
      </c>
      <c r="B88" s="7">
        <v>5.8</v>
      </c>
      <c r="C88" s="1" t="s">
        <v>768</v>
      </c>
      <c r="D88" s="1" t="s">
        <v>36</v>
      </c>
      <c r="E88" s="8">
        <v>1.3369863013698631</v>
      </c>
      <c r="F88" s="9">
        <v>5.3171999999999997</v>
      </c>
      <c r="G88" s="9">
        <v>48.280000000000015</v>
      </c>
      <c r="H88" s="9">
        <v>5.2751999999999999</v>
      </c>
      <c r="I88" s="9">
        <v>4.1999999999999815</v>
      </c>
      <c r="J88" s="1" t="s">
        <v>12</v>
      </c>
      <c r="K88" s="1" t="s">
        <v>52</v>
      </c>
      <c r="L88" s="3">
        <v>7.4</v>
      </c>
      <c r="M88" s="2" t="s">
        <v>172</v>
      </c>
      <c r="N88" s="2" t="s">
        <v>173</v>
      </c>
      <c r="O88" s="4">
        <v>42867</v>
      </c>
    </row>
    <row r="89" spans="1:15">
      <c r="A89" s="7">
        <v>1280019</v>
      </c>
      <c r="B89" s="7">
        <v>5.8</v>
      </c>
      <c r="C89" s="1" t="s">
        <v>967</v>
      </c>
      <c r="D89" s="1" t="s">
        <v>36</v>
      </c>
      <c r="E89" s="8">
        <v>0.78630136986301369</v>
      </c>
      <c r="F89" s="9">
        <v>5.4322999999999997</v>
      </c>
      <c r="G89" s="9">
        <v>36.77000000000001</v>
      </c>
      <c r="H89" s="9">
        <v>5.3673999999999999</v>
      </c>
      <c r="I89" s="9">
        <v>6.4899999999999736</v>
      </c>
      <c r="J89" s="1" t="s">
        <v>12</v>
      </c>
      <c r="K89" s="1" t="s">
        <v>52</v>
      </c>
      <c r="L89" s="3">
        <v>8.5</v>
      </c>
      <c r="M89" s="2" t="s">
        <v>246</v>
      </c>
      <c r="N89" s="2" t="s">
        <v>358</v>
      </c>
      <c r="O89" s="4">
        <v>42867</v>
      </c>
    </row>
    <row r="90" spans="1:15">
      <c r="A90" s="7" t="s">
        <v>519</v>
      </c>
      <c r="B90" s="7">
        <v>5.75</v>
      </c>
      <c r="C90" s="1" t="s">
        <v>520</v>
      </c>
      <c r="D90" s="1" t="s">
        <v>36</v>
      </c>
      <c r="E90" s="8">
        <v>2.8465753424657536</v>
      </c>
      <c r="F90" s="9">
        <v>5.61</v>
      </c>
      <c r="G90" s="9">
        <v>13.999999999999968</v>
      </c>
      <c r="H90" s="9">
        <v>5.5921000000000003</v>
      </c>
      <c r="I90" s="9">
        <v>1.7900000000000027</v>
      </c>
      <c r="J90" s="1" t="s">
        <v>12</v>
      </c>
      <c r="K90" s="1" t="s">
        <v>52</v>
      </c>
      <c r="L90" s="3">
        <v>6.58</v>
      </c>
      <c r="M90" s="2" t="s">
        <v>324</v>
      </c>
      <c r="N90" s="2" t="s">
        <v>186</v>
      </c>
      <c r="O90" s="4">
        <v>42867</v>
      </c>
    </row>
    <row r="91" spans="1:15">
      <c r="A91" s="7">
        <v>1680134</v>
      </c>
      <c r="B91" s="7">
        <v>5.72</v>
      </c>
      <c r="C91" s="1" t="s">
        <v>279</v>
      </c>
      <c r="D91" s="1" t="s">
        <v>36</v>
      </c>
      <c r="E91" s="8">
        <v>5.8849315068493153</v>
      </c>
      <c r="F91" s="9">
        <v>5.6707000000000001</v>
      </c>
      <c r="G91" s="9">
        <v>4.9299999999999677</v>
      </c>
      <c r="H91" s="9">
        <v>5.6342999999999996</v>
      </c>
      <c r="I91" s="9">
        <v>3.6400000000000432</v>
      </c>
      <c r="J91" s="1" t="s">
        <v>12</v>
      </c>
      <c r="K91" s="1" t="s">
        <v>52</v>
      </c>
      <c r="L91" s="3">
        <v>3.98</v>
      </c>
      <c r="M91" s="2" t="s">
        <v>306</v>
      </c>
      <c r="N91" s="2" t="s">
        <v>44</v>
      </c>
      <c r="O91" s="4">
        <v>42867</v>
      </c>
    </row>
    <row r="92" spans="1:15">
      <c r="A92" s="7" t="s">
        <v>938</v>
      </c>
      <c r="B92" s="7">
        <v>5.71</v>
      </c>
      <c r="C92" s="1" t="s">
        <v>968</v>
      </c>
      <c r="D92" s="1" t="s">
        <v>36</v>
      </c>
      <c r="E92" s="8">
        <v>6.3232876712328769</v>
      </c>
      <c r="F92" s="9">
        <v>5.5987</v>
      </c>
      <c r="G92" s="9">
        <v>11.129999999999995</v>
      </c>
      <c r="H92" s="9">
        <v>5.5651999999999999</v>
      </c>
      <c r="I92" s="9">
        <v>3.3500000000000085</v>
      </c>
      <c r="J92" s="1" t="s">
        <v>12</v>
      </c>
      <c r="K92" s="1" t="s">
        <v>52</v>
      </c>
      <c r="L92" s="3">
        <v>3.5</v>
      </c>
      <c r="M92" s="2" t="s">
        <v>537</v>
      </c>
      <c r="N92" s="2" t="s">
        <v>485</v>
      </c>
      <c r="O92" s="4">
        <v>42867</v>
      </c>
    </row>
    <row r="93" spans="1:15">
      <c r="A93" s="7" t="s">
        <v>939</v>
      </c>
      <c r="B93" s="7">
        <v>5.7</v>
      </c>
      <c r="C93" s="1" t="s">
        <v>969</v>
      </c>
      <c r="D93" s="1" t="s">
        <v>25</v>
      </c>
      <c r="E93" s="8">
        <v>6.0739726027397261</v>
      </c>
      <c r="F93" s="9">
        <v>5.5823</v>
      </c>
      <c r="G93" s="9">
        <v>11.770000000000014</v>
      </c>
      <c r="H93" s="9">
        <v>5.5468000000000002</v>
      </c>
      <c r="I93" s="9">
        <v>3.5499999999999865</v>
      </c>
      <c r="J93" s="1" t="s">
        <v>12</v>
      </c>
      <c r="K93" s="1" t="s">
        <v>52</v>
      </c>
      <c r="L93" s="3">
        <v>4.26</v>
      </c>
      <c r="M93" s="2" t="s">
        <v>405</v>
      </c>
      <c r="N93" s="2" t="s">
        <v>388</v>
      </c>
      <c r="O93" s="4">
        <v>42867</v>
      </c>
    </row>
    <row r="94" spans="1:15">
      <c r="A94" s="7" t="s">
        <v>713</v>
      </c>
      <c r="B94" s="7">
        <v>5.7</v>
      </c>
      <c r="C94" s="1" t="s">
        <v>714</v>
      </c>
      <c r="D94" s="1" t="s">
        <v>36</v>
      </c>
      <c r="E94" s="8">
        <v>0.54520547945205478</v>
      </c>
      <c r="F94" s="9">
        <v>5.3940999999999999</v>
      </c>
      <c r="G94" s="9">
        <v>30.590000000000028</v>
      </c>
      <c r="H94" s="9">
        <v>5.3974000000000002</v>
      </c>
      <c r="I94" s="9">
        <v>-0.33000000000003027</v>
      </c>
      <c r="J94" s="1" t="s">
        <v>17</v>
      </c>
      <c r="K94" s="1" t="s">
        <v>121</v>
      </c>
      <c r="L94" s="3">
        <v>5.8</v>
      </c>
      <c r="M94" s="2" t="s">
        <v>346</v>
      </c>
      <c r="N94" s="2" t="s">
        <v>122</v>
      </c>
      <c r="O94" s="4">
        <v>42867</v>
      </c>
    </row>
    <row r="95" spans="1:15">
      <c r="A95" s="7" t="s">
        <v>713</v>
      </c>
      <c r="B95" s="7">
        <v>5.7</v>
      </c>
      <c r="C95" s="1" t="s">
        <v>714</v>
      </c>
      <c r="D95" s="1" t="s">
        <v>36</v>
      </c>
      <c r="E95" s="8">
        <v>0.54520547945205478</v>
      </c>
      <c r="F95" s="9">
        <v>5.3940999999999999</v>
      </c>
      <c r="G95" s="9">
        <v>30.590000000000028</v>
      </c>
      <c r="H95" s="9">
        <v>5.3974000000000002</v>
      </c>
      <c r="I95" s="9">
        <v>-0.33000000000003027</v>
      </c>
      <c r="J95" s="1" t="s">
        <v>17</v>
      </c>
      <c r="K95" s="1" t="s">
        <v>121</v>
      </c>
      <c r="L95" s="3">
        <v>5.8</v>
      </c>
      <c r="M95" s="2" t="s">
        <v>346</v>
      </c>
      <c r="N95" s="2" t="s">
        <v>122</v>
      </c>
      <c r="O95" s="4">
        <v>42867</v>
      </c>
    </row>
    <row r="96" spans="1:15">
      <c r="A96" s="7">
        <v>101754027</v>
      </c>
      <c r="B96" s="7">
        <v>5.7</v>
      </c>
      <c r="C96" s="1" t="s">
        <v>816</v>
      </c>
      <c r="D96" s="1" t="s">
        <v>11</v>
      </c>
      <c r="E96" s="8">
        <v>4.8904109589041092</v>
      </c>
      <c r="F96" s="9">
        <v>5.6883999999999997</v>
      </c>
      <c r="G96" s="9">
        <v>1.1600000000000499</v>
      </c>
      <c r="H96" s="9">
        <v>5.6485000000000003</v>
      </c>
      <c r="I96" s="9">
        <v>3.989999999999938</v>
      </c>
      <c r="J96" s="1" t="s">
        <v>12</v>
      </c>
      <c r="K96" s="1" t="s">
        <v>45</v>
      </c>
      <c r="L96" s="3">
        <v>5.0599999999999996</v>
      </c>
      <c r="M96" s="2" t="s">
        <v>817</v>
      </c>
      <c r="N96" s="2" t="s">
        <v>811</v>
      </c>
      <c r="O96" s="4">
        <v>42867</v>
      </c>
    </row>
    <row r="97" spans="1:15">
      <c r="A97" s="7">
        <v>101665003</v>
      </c>
      <c r="B97" s="7">
        <v>5.7</v>
      </c>
      <c r="C97" s="1" t="s">
        <v>862</v>
      </c>
      <c r="D97" s="1" t="s">
        <v>36</v>
      </c>
      <c r="E97" s="8">
        <v>2.043835616438356</v>
      </c>
      <c r="F97" s="9">
        <v>5.3362999999999996</v>
      </c>
      <c r="G97" s="9">
        <v>36.370000000000061</v>
      </c>
      <c r="H97" s="9">
        <v>5.3346</v>
      </c>
      <c r="I97" s="9">
        <v>0.16999999999995907</v>
      </c>
      <c r="J97" s="1" t="s">
        <v>144</v>
      </c>
      <c r="K97" s="1" t="s">
        <v>45</v>
      </c>
      <c r="L97" s="3">
        <v>4</v>
      </c>
      <c r="M97" s="2" t="s">
        <v>385</v>
      </c>
      <c r="N97" s="2" t="s">
        <v>383</v>
      </c>
      <c r="O97" s="4">
        <v>42867</v>
      </c>
    </row>
    <row r="98" spans="1:15">
      <c r="A98" s="7">
        <v>101665003</v>
      </c>
      <c r="B98" s="7">
        <v>5.7</v>
      </c>
      <c r="C98" s="1" t="s">
        <v>862</v>
      </c>
      <c r="D98" s="1" t="s">
        <v>36</v>
      </c>
      <c r="E98" s="8">
        <v>2.043835616438356</v>
      </c>
      <c r="F98" s="9">
        <v>5.3362999999999996</v>
      </c>
      <c r="G98" s="9">
        <v>36.370000000000061</v>
      </c>
      <c r="H98" s="9">
        <v>5.3346</v>
      </c>
      <c r="I98" s="9">
        <v>0.16999999999995907</v>
      </c>
      <c r="J98" s="1" t="s">
        <v>144</v>
      </c>
      <c r="K98" s="1" t="s">
        <v>45</v>
      </c>
      <c r="L98" s="3">
        <v>4</v>
      </c>
      <c r="M98" s="2" t="s">
        <v>385</v>
      </c>
      <c r="N98" s="2" t="s">
        <v>383</v>
      </c>
      <c r="O98" s="4">
        <v>42867</v>
      </c>
    </row>
    <row r="99" spans="1:15">
      <c r="A99" s="7">
        <v>101559065</v>
      </c>
      <c r="B99" s="7">
        <v>5.7</v>
      </c>
      <c r="C99" s="1" t="s">
        <v>310</v>
      </c>
      <c r="D99" s="1" t="s">
        <v>11</v>
      </c>
      <c r="E99" s="8">
        <v>3.6273972602739728</v>
      </c>
      <c r="F99" s="9">
        <v>5.6627000000000001</v>
      </c>
      <c r="G99" s="9">
        <v>3.7300000000000111</v>
      </c>
      <c r="H99" s="9">
        <v>5.6269</v>
      </c>
      <c r="I99" s="9">
        <v>3.5800000000000054</v>
      </c>
      <c r="J99" s="1" t="s">
        <v>17</v>
      </c>
      <c r="K99" s="1" t="s">
        <v>45</v>
      </c>
      <c r="L99" s="3">
        <v>4.05</v>
      </c>
      <c r="M99" s="2" t="s">
        <v>110</v>
      </c>
      <c r="N99" s="2" t="s">
        <v>213</v>
      </c>
      <c r="O99" s="4">
        <v>42867</v>
      </c>
    </row>
    <row r="100" spans="1:15">
      <c r="A100" s="7">
        <v>1680251</v>
      </c>
      <c r="B100" s="7">
        <v>5.7</v>
      </c>
      <c r="C100" s="1" t="s">
        <v>796</v>
      </c>
      <c r="D100" s="1" t="s">
        <v>25</v>
      </c>
      <c r="E100" s="8">
        <v>6.0739726027397261</v>
      </c>
      <c r="F100" s="9">
        <v>5.5823</v>
      </c>
      <c r="G100" s="9">
        <v>11.770000000000014</v>
      </c>
      <c r="H100" s="9">
        <v>5.5468000000000002</v>
      </c>
      <c r="I100" s="9">
        <v>3.5499999999999865</v>
      </c>
      <c r="J100" s="1" t="s">
        <v>12</v>
      </c>
      <c r="K100" s="1" t="s">
        <v>52</v>
      </c>
      <c r="L100" s="3">
        <v>4.26</v>
      </c>
      <c r="M100" s="2" t="s">
        <v>395</v>
      </c>
      <c r="N100" s="2" t="s">
        <v>388</v>
      </c>
      <c r="O100" s="4">
        <v>42867</v>
      </c>
    </row>
    <row r="101" spans="1:15">
      <c r="A101" s="7">
        <v>1280285</v>
      </c>
      <c r="B101" s="7">
        <v>5.69</v>
      </c>
      <c r="C101" s="1" t="s">
        <v>707</v>
      </c>
      <c r="D101" s="1" t="s">
        <v>36</v>
      </c>
      <c r="E101" s="8">
        <v>3.3452054794520549</v>
      </c>
      <c r="F101" s="9">
        <v>5.5936000000000003</v>
      </c>
      <c r="G101" s="9">
        <v>9.6400000000000041</v>
      </c>
      <c r="H101" s="9">
        <v>5.5293000000000001</v>
      </c>
      <c r="I101" s="9">
        <v>6.4300000000000246</v>
      </c>
      <c r="J101" s="1" t="s">
        <v>12</v>
      </c>
      <c r="K101" s="1" t="s">
        <v>52</v>
      </c>
      <c r="L101" s="3">
        <v>7.46</v>
      </c>
      <c r="M101" s="2" t="s">
        <v>54</v>
      </c>
      <c r="N101" s="2" t="s">
        <v>258</v>
      </c>
      <c r="O101" s="4">
        <v>42867</v>
      </c>
    </row>
    <row r="102" spans="1:15">
      <c r="A102" s="7" t="s">
        <v>774</v>
      </c>
      <c r="B102" s="7">
        <v>5.68</v>
      </c>
      <c r="C102" s="1" t="s">
        <v>781</v>
      </c>
      <c r="D102" s="1" t="s">
        <v>36</v>
      </c>
      <c r="E102" s="8">
        <v>3.3452054794520549</v>
      </c>
      <c r="F102" s="9">
        <v>5.5936000000000003</v>
      </c>
      <c r="G102" s="9">
        <v>8.6399999999999366</v>
      </c>
      <c r="H102" s="9">
        <v>5.5293000000000001</v>
      </c>
      <c r="I102" s="9">
        <v>6.4300000000000246</v>
      </c>
      <c r="J102" s="1" t="s">
        <v>12</v>
      </c>
      <c r="K102" s="1" t="s">
        <v>52</v>
      </c>
      <c r="L102" s="3">
        <v>7.46</v>
      </c>
      <c r="M102" s="2" t="s">
        <v>259</v>
      </c>
      <c r="N102" s="2" t="s">
        <v>258</v>
      </c>
      <c r="O102" s="4">
        <v>42867</v>
      </c>
    </row>
    <row r="103" spans="1:15">
      <c r="A103" s="7">
        <v>101466004</v>
      </c>
      <c r="B103" s="7">
        <v>5.65</v>
      </c>
      <c r="C103" s="1" t="s">
        <v>853</v>
      </c>
      <c r="D103" s="1" t="s">
        <v>36</v>
      </c>
      <c r="E103" s="8">
        <v>2.1095890410958904</v>
      </c>
      <c r="F103" s="9">
        <v>5.4494999999999996</v>
      </c>
      <c r="G103" s="9">
        <v>20.050000000000079</v>
      </c>
      <c r="H103" s="9">
        <v>5.3776000000000002</v>
      </c>
      <c r="I103" s="9">
        <v>7.1899999999999409</v>
      </c>
      <c r="J103" s="1" t="s">
        <v>12</v>
      </c>
      <c r="K103" s="1" t="s">
        <v>45</v>
      </c>
      <c r="L103" s="3">
        <v>6.98</v>
      </c>
      <c r="M103" s="2" t="s">
        <v>184</v>
      </c>
      <c r="N103" s="2" t="s">
        <v>185</v>
      </c>
      <c r="O103" s="4">
        <v>42867</v>
      </c>
    </row>
    <row r="104" spans="1:15">
      <c r="A104" s="7">
        <v>1580072</v>
      </c>
      <c r="B104" s="7">
        <v>5.65</v>
      </c>
      <c r="C104" s="1" t="s">
        <v>801</v>
      </c>
      <c r="D104" s="1" t="s">
        <v>36</v>
      </c>
      <c r="E104" s="8">
        <v>4.9643835616438352</v>
      </c>
      <c r="F104" s="9">
        <v>5.6143000000000001</v>
      </c>
      <c r="G104" s="9">
        <v>3.5700000000000287</v>
      </c>
      <c r="H104" s="9">
        <v>5.5671999999999997</v>
      </c>
      <c r="I104" s="9">
        <v>4.7100000000000364</v>
      </c>
      <c r="J104" s="1" t="s">
        <v>12</v>
      </c>
      <c r="K104" s="1" t="s">
        <v>52</v>
      </c>
      <c r="L104" s="3">
        <v>6.01</v>
      </c>
      <c r="M104" s="2" t="s">
        <v>15</v>
      </c>
      <c r="N104" s="2" t="s">
        <v>236</v>
      </c>
      <c r="O104" s="4">
        <v>42867</v>
      </c>
    </row>
    <row r="105" spans="1:15">
      <c r="A105" s="7">
        <v>41754010</v>
      </c>
      <c r="B105" s="7">
        <v>5.64</v>
      </c>
      <c r="C105" s="1" t="s">
        <v>873</v>
      </c>
      <c r="D105" s="1" t="s">
        <v>11</v>
      </c>
      <c r="E105" s="8">
        <v>0.8849315068493151</v>
      </c>
      <c r="F105" s="9">
        <v>5.6284000000000001</v>
      </c>
      <c r="G105" s="9">
        <v>1.1599999999999611</v>
      </c>
      <c r="H105" s="9">
        <v>5.6951000000000001</v>
      </c>
      <c r="I105" s="9">
        <v>-6.6699999999999982</v>
      </c>
      <c r="J105" s="1" t="s">
        <v>17</v>
      </c>
      <c r="K105" s="1" t="s">
        <v>13</v>
      </c>
      <c r="L105" s="3">
        <v>5.35</v>
      </c>
      <c r="M105" s="2" t="s">
        <v>818</v>
      </c>
      <c r="N105" s="2" t="s">
        <v>808</v>
      </c>
      <c r="O105" s="4">
        <v>42867</v>
      </c>
    </row>
    <row r="106" spans="1:15">
      <c r="A106" s="7">
        <v>1580072</v>
      </c>
      <c r="B106" s="7">
        <v>5.63</v>
      </c>
      <c r="C106" s="1" t="s">
        <v>801</v>
      </c>
      <c r="D106" s="1" t="s">
        <v>36</v>
      </c>
      <c r="E106" s="8">
        <v>4.9643835616438352</v>
      </c>
      <c r="F106" s="9">
        <v>5.6143000000000001</v>
      </c>
      <c r="G106" s="9">
        <v>1.5699999999999825</v>
      </c>
      <c r="H106" s="9">
        <v>5.5671999999999997</v>
      </c>
      <c r="I106" s="9">
        <v>4.7100000000000364</v>
      </c>
      <c r="J106" s="1" t="s">
        <v>12</v>
      </c>
      <c r="K106" s="1" t="s">
        <v>52</v>
      </c>
      <c r="L106" s="3">
        <v>6.01</v>
      </c>
      <c r="M106" s="2" t="s">
        <v>15</v>
      </c>
      <c r="N106" s="2" t="s">
        <v>236</v>
      </c>
      <c r="O106" s="4">
        <v>42867</v>
      </c>
    </row>
    <row r="107" spans="1:15">
      <c r="A107" s="7">
        <v>101760007</v>
      </c>
      <c r="B107" s="7">
        <v>5.6</v>
      </c>
      <c r="C107" s="1" t="s">
        <v>803</v>
      </c>
      <c r="D107" s="1" t="s">
        <v>11</v>
      </c>
      <c r="E107" s="8">
        <v>2.8273972602739725</v>
      </c>
      <c r="F107" s="9">
        <v>5.4676999999999998</v>
      </c>
      <c r="G107" s="9">
        <v>13.229999999999986</v>
      </c>
      <c r="H107" s="9">
        <v>5.4459</v>
      </c>
      <c r="I107" s="9">
        <v>2.179999999999982</v>
      </c>
      <c r="J107" s="1" t="s">
        <v>12</v>
      </c>
      <c r="K107" s="1" t="s">
        <v>45</v>
      </c>
      <c r="L107" s="3">
        <v>4.9000000000000004</v>
      </c>
      <c r="M107" s="2" t="s">
        <v>758</v>
      </c>
      <c r="N107" s="2" t="s">
        <v>741</v>
      </c>
      <c r="O107" s="4">
        <v>42867</v>
      </c>
    </row>
    <row r="108" spans="1:15">
      <c r="A108" s="7">
        <v>101664068</v>
      </c>
      <c r="B108" s="7">
        <v>5.6</v>
      </c>
      <c r="C108" s="1" t="s">
        <v>916</v>
      </c>
      <c r="D108" s="1" t="s">
        <v>36</v>
      </c>
      <c r="E108" s="8">
        <v>2.504109589041096</v>
      </c>
      <c r="F108" s="9">
        <v>5.4230999999999998</v>
      </c>
      <c r="G108" s="9">
        <v>17.689999999999984</v>
      </c>
      <c r="H108" s="9">
        <v>5.3605</v>
      </c>
      <c r="I108" s="9">
        <v>6.2599999999999767</v>
      </c>
      <c r="J108" s="1" t="s">
        <v>12</v>
      </c>
      <c r="K108" s="1" t="s">
        <v>45</v>
      </c>
      <c r="L108" s="3">
        <v>3.3</v>
      </c>
      <c r="M108" s="2" t="s">
        <v>571</v>
      </c>
      <c r="N108" s="2" t="s">
        <v>577</v>
      </c>
      <c r="O108" s="4">
        <v>42867</v>
      </c>
    </row>
    <row r="109" spans="1:15">
      <c r="A109" s="7">
        <v>1480109</v>
      </c>
      <c r="B109" s="7">
        <v>5.6</v>
      </c>
      <c r="C109" s="1" t="s">
        <v>257</v>
      </c>
      <c r="D109" s="1" t="s">
        <v>25</v>
      </c>
      <c r="E109" s="8">
        <v>3.8520547945205479</v>
      </c>
      <c r="F109" s="9">
        <v>5.5523999999999996</v>
      </c>
      <c r="G109" s="9">
        <v>4.7600000000000087</v>
      </c>
      <c r="H109" s="9">
        <v>5.4962999999999997</v>
      </c>
      <c r="I109" s="9">
        <v>5.6099999999999817</v>
      </c>
      <c r="J109" s="1" t="s">
        <v>12</v>
      </c>
      <c r="K109" s="1" t="s">
        <v>52</v>
      </c>
      <c r="L109" s="3">
        <v>7.36</v>
      </c>
      <c r="M109" s="2" t="s">
        <v>253</v>
      </c>
      <c r="N109" s="2" t="s">
        <v>116</v>
      </c>
      <c r="O109" s="4">
        <v>42867</v>
      </c>
    </row>
    <row r="110" spans="1:15">
      <c r="A110" s="7">
        <v>1380235</v>
      </c>
      <c r="B110" s="7">
        <v>5.6</v>
      </c>
      <c r="C110" s="1" t="s">
        <v>970</v>
      </c>
      <c r="D110" s="1" t="s">
        <v>36</v>
      </c>
      <c r="E110" s="8">
        <v>2.1835616438356165</v>
      </c>
      <c r="F110" s="9">
        <v>5.5056000000000003</v>
      </c>
      <c r="G110" s="9">
        <v>9.4399999999999373</v>
      </c>
      <c r="H110" s="9">
        <v>5.4431000000000003</v>
      </c>
      <c r="I110" s="9">
        <v>6.25</v>
      </c>
      <c r="J110" s="1" t="s">
        <v>12</v>
      </c>
      <c r="K110" s="1" t="s">
        <v>52</v>
      </c>
      <c r="L110" s="3">
        <v>6.5</v>
      </c>
      <c r="M110" s="2" t="s">
        <v>706</v>
      </c>
      <c r="N110" s="2" t="s">
        <v>146</v>
      </c>
      <c r="O110" s="4">
        <v>42867</v>
      </c>
    </row>
    <row r="111" spans="1:15">
      <c r="A111" s="7">
        <v>1380112</v>
      </c>
      <c r="B111" s="7">
        <v>5.6</v>
      </c>
      <c r="C111" s="1" t="s">
        <v>298</v>
      </c>
      <c r="D111" s="1" t="s">
        <v>36</v>
      </c>
      <c r="E111" s="8">
        <v>2.8383561643835615</v>
      </c>
      <c r="F111" s="9">
        <v>5.5590000000000002</v>
      </c>
      <c r="G111" s="9">
        <v>4.0999999999999481</v>
      </c>
      <c r="H111" s="9">
        <v>5.4912000000000001</v>
      </c>
      <c r="I111" s="9">
        <v>6.7800000000000082</v>
      </c>
      <c r="J111" s="1" t="s">
        <v>12</v>
      </c>
      <c r="K111" s="1" t="s">
        <v>52</v>
      </c>
      <c r="L111" s="3">
        <v>6.2</v>
      </c>
      <c r="M111" s="2" t="s">
        <v>215</v>
      </c>
      <c r="N111" s="2" t="s">
        <v>354</v>
      </c>
      <c r="O111" s="4">
        <v>42867</v>
      </c>
    </row>
    <row r="112" spans="1:15">
      <c r="A112" s="7">
        <v>101662038</v>
      </c>
      <c r="B112" s="7">
        <v>5.58</v>
      </c>
      <c r="C112" s="1" t="s">
        <v>784</v>
      </c>
      <c r="D112" s="1" t="s">
        <v>25</v>
      </c>
      <c r="E112" s="8">
        <v>3.9452054794520546</v>
      </c>
      <c r="F112" s="9">
        <v>5.4576000000000002</v>
      </c>
      <c r="G112" s="9">
        <v>12.239999999999984</v>
      </c>
      <c r="H112" s="9">
        <v>5.4012000000000002</v>
      </c>
      <c r="I112" s="9">
        <v>5.6400000000000006</v>
      </c>
      <c r="J112" s="1" t="s">
        <v>12</v>
      </c>
      <c r="K112" s="1" t="s">
        <v>45</v>
      </c>
      <c r="L112" s="3">
        <v>3.78</v>
      </c>
      <c r="M112" s="2" t="s">
        <v>200</v>
      </c>
      <c r="N112" s="2" t="s">
        <v>231</v>
      </c>
      <c r="O112" s="4">
        <v>42867</v>
      </c>
    </row>
    <row r="113" spans="1:15">
      <c r="A113" s="7">
        <v>1680342</v>
      </c>
      <c r="B113" s="7">
        <v>5.57</v>
      </c>
      <c r="C113" s="1" t="s">
        <v>590</v>
      </c>
      <c r="D113" s="1" t="s">
        <v>36</v>
      </c>
      <c r="E113" s="8">
        <v>6.3041095890410963</v>
      </c>
      <c r="F113" s="9">
        <v>5.3231000000000002</v>
      </c>
      <c r="G113" s="9">
        <v>24.690000000000012</v>
      </c>
      <c r="H113" s="9">
        <v>5.2892999999999999</v>
      </c>
      <c r="I113" s="9">
        <v>3.3800000000000274</v>
      </c>
      <c r="J113" s="1" t="s">
        <v>12</v>
      </c>
      <c r="K113" s="1" t="s">
        <v>52</v>
      </c>
      <c r="L113" s="3">
        <v>3.48</v>
      </c>
      <c r="M113" s="2" t="s">
        <v>488</v>
      </c>
      <c r="N113" s="2" t="s">
        <v>472</v>
      </c>
      <c r="O113" s="4">
        <v>42867</v>
      </c>
    </row>
    <row r="114" spans="1:15">
      <c r="A114" s="7" t="s">
        <v>940</v>
      </c>
      <c r="B114" s="7">
        <v>5.56</v>
      </c>
      <c r="C114" s="1" t="s">
        <v>971</v>
      </c>
      <c r="D114" s="1" t="s">
        <v>36</v>
      </c>
      <c r="E114" s="8">
        <v>3.495890410958904</v>
      </c>
      <c r="F114" s="9">
        <v>5.51</v>
      </c>
      <c r="G114" s="9">
        <v>4.9999999999999822</v>
      </c>
      <c r="H114" s="9">
        <v>5.4581</v>
      </c>
      <c r="I114" s="9">
        <v>5.1899999999999835</v>
      </c>
      <c r="J114" s="1" t="s">
        <v>12</v>
      </c>
      <c r="K114" s="1" t="s">
        <v>52</v>
      </c>
      <c r="L114" s="3">
        <v>7.1</v>
      </c>
      <c r="M114" s="2" t="s">
        <v>376</v>
      </c>
      <c r="N114" s="2" t="s">
        <v>252</v>
      </c>
      <c r="O114" s="4">
        <v>42867</v>
      </c>
    </row>
    <row r="115" spans="1:15">
      <c r="A115" s="7">
        <v>101660016</v>
      </c>
      <c r="B115" s="7">
        <v>5.55</v>
      </c>
      <c r="C115" s="1" t="s">
        <v>303</v>
      </c>
      <c r="D115" s="1" t="s">
        <v>25</v>
      </c>
      <c r="E115" s="8">
        <v>1.8246575342465754</v>
      </c>
      <c r="F115" s="9">
        <v>5.3901000000000003</v>
      </c>
      <c r="G115" s="9">
        <v>15.989999999999949</v>
      </c>
      <c r="H115" s="9">
        <v>5.4051</v>
      </c>
      <c r="I115" s="9">
        <v>-1.499999999999968</v>
      </c>
      <c r="J115" s="1" t="s">
        <v>28</v>
      </c>
      <c r="K115" s="1" t="s">
        <v>45</v>
      </c>
      <c r="L115" s="3">
        <v>3.77</v>
      </c>
      <c r="M115" s="2" t="s">
        <v>38</v>
      </c>
      <c r="N115" s="2" t="s">
        <v>78</v>
      </c>
      <c r="O115" s="4">
        <v>42867</v>
      </c>
    </row>
    <row r="116" spans="1:15">
      <c r="A116" s="7">
        <v>1680342</v>
      </c>
      <c r="B116" s="7">
        <v>5.55</v>
      </c>
      <c r="C116" s="1" t="s">
        <v>590</v>
      </c>
      <c r="D116" s="1" t="s">
        <v>36</v>
      </c>
      <c r="E116" s="8">
        <v>6.3041095890410963</v>
      </c>
      <c r="F116" s="9">
        <v>5.3231000000000002</v>
      </c>
      <c r="G116" s="9">
        <v>22.689999999999966</v>
      </c>
      <c r="H116" s="9">
        <v>5.2892999999999999</v>
      </c>
      <c r="I116" s="9">
        <v>3.3800000000000274</v>
      </c>
      <c r="J116" s="1" t="s">
        <v>12</v>
      </c>
      <c r="K116" s="1" t="s">
        <v>52</v>
      </c>
      <c r="L116" s="3">
        <v>3.48</v>
      </c>
      <c r="M116" s="2" t="s">
        <v>488</v>
      </c>
      <c r="N116" s="2" t="s">
        <v>472</v>
      </c>
      <c r="O116" s="4">
        <v>42867</v>
      </c>
    </row>
    <row r="117" spans="1:15">
      <c r="A117" s="7">
        <v>1680342</v>
      </c>
      <c r="B117" s="7">
        <v>5.55</v>
      </c>
      <c r="C117" s="1" t="s">
        <v>590</v>
      </c>
      <c r="D117" s="1" t="s">
        <v>36</v>
      </c>
      <c r="E117" s="8">
        <v>6.3041095890410963</v>
      </c>
      <c r="F117" s="9">
        <v>5.3231000000000002</v>
      </c>
      <c r="G117" s="9">
        <v>22.689999999999966</v>
      </c>
      <c r="H117" s="9">
        <v>5.2892999999999999</v>
      </c>
      <c r="I117" s="9">
        <v>3.3800000000000274</v>
      </c>
      <c r="J117" s="1" t="s">
        <v>12</v>
      </c>
      <c r="K117" s="1" t="s">
        <v>52</v>
      </c>
      <c r="L117" s="3">
        <v>3.48</v>
      </c>
      <c r="M117" s="2" t="s">
        <v>488</v>
      </c>
      <c r="N117" s="2" t="s">
        <v>472</v>
      </c>
      <c r="O117" s="4">
        <v>42867</v>
      </c>
    </row>
    <row r="118" spans="1:15">
      <c r="A118" s="7">
        <v>1280115</v>
      </c>
      <c r="B118" s="7">
        <v>5.55</v>
      </c>
      <c r="C118" s="1" t="s">
        <v>972</v>
      </c>
      <c r="D118" s="1" t="s">
        <v>36</v>
      </c>
      <c r="E118" s="8">
        <v>1.9424657534246574</v>
      </c>
      <c r="F118" s="9">
        <v>5.4809999999999999</v>
      </c>
      <c r="G118" s="9">
        <v>6.899999999999995</v>
      </c>
      <c r="H118" s="9">
        <v>5.4177999999999997</v>
      </c>
      <c r="I118" s="9">
        <v>6.3200000000000145</v>
      </c>
      <c r="J118" s="1" t="s">
        <v>12</v>
      </c>
      <c r="K118" s="1" t="s">
        <v>52</v>
      </c>
      <c r="L118" s="3">
        <v>7.98</v>
      </c>
      <c r="M118" s="2" t="s">
        <v>214</v>
      </c>
      <c r="N118" s="2" t="s">
        <v>337</v>
      </c>
      <c r="O118" s="4">
        <v>42867</v>
      </c>
    </row>
    <row r="119" spans="1:15">
      <c r="A119" s="7">
        <v>101656001</v>
      </c>
      <c r="B119" s="7">
        <v>5.54</v>
      </c>
      <c r="C119" s="1" t="s">
        <v>487</v>
      </c>
      <c r="D119" s="1" t="s">
        <v>25</v>
      </c>
      <c r="E119" s="8">
        <v>3.7013698630136984</v>
      </c>
      <c r="F119" s="9">
        <v>5.5753000000000004</v>
      </c>
      <c r="G119" s="9">
        <v>-3.5300000000000331</v>
      </c>
      <c r="H119" s="9">
        <v>5.5209000000000001</v>
      </c>
      <c r="I119" s="9">
        <v>5.4400000000000226</v>
      </c>
      <c r="J119" s="1" t="s">
        <v>12</v>
      </c>
      <c r="K119" s="1" t="s">
        <v>45</v>
      </c>
      <c r="L119" s="3">
        <v>4.04</v>
      </c>
      <c r="M119" s="2" t="s">
        <v>115</v>
      </c>
      <c r="N119" s="2" t="s">
        <v>119</v>
      </c>
      <c r="O119" s="4">
        <v>42867</v>
      </c>
    </row>
    <row r="120" spans="1:15">
      <c r="A120" s="7">
        <v>101363002</v>
      </c>
      <c r="B120" s="7">
        <v>5.52</v>
      </c>
      <c r="C120" s="1" t="s">
        <v>915</v>
      </c>
      <c r="D120" s="1" t="s">
        <v>11</v>
      </c>
      <c r="E120" s="8">
        <v>1.3753424657534246</v>
      </c>
      <c r="F120" s="9">
        <v>5.5111999999999997</v>
      </c>
      <c r="G120" s="9">
        <v>0.8799999999999919</v>
      </c>
      <c r="H120" s="9">
        <v>5.5651000000000002</v>
      </c>
      <c r="I120" s="9">
        <v>-5.3900000000000503</v>
      </c>
      <c r="J120" s="1" t="s">
        <v>17</v>
      </c>
      <c r="K120" s="1" t="s">
        <v>45</v>
      </c>
      <c r="L120" s="3">
        <v>5.42</v>
      </c>
      <c r="M120" s="2" t="s">
        <v>483</v>
      </c>
      <c r="N120" s="2" t="s">
        <v>128</v>
      </c>
      <c r="O120" s="4">
        <v>42867</v>
      </c>
    </row>
    <row r="121" spans="1:15">
      <c r="A121" s="7" t="s">
        <v>533</v>
      </c>
      <c r="B121" s="7">
        <v>5.5</v>
      </c>
      <c r="C121" s="1" t="s">
        <v>535</v>
      </c>
      <c r="D121" s="1" t="s">
        <v>36</v>
      </c>
      <c r="E121" s="8">
        <v>2.6219178082191781</v>
      </c>
      <c r="F121" s="9">
        <v>5.4212999999999996</v>
      </c>
      <c r="G121" s="9">
        <v>7.8700000000000436</v>
      </c>
      <c r="H121" s="9">
        <v>5.3677000000000001</v>
      </c>
      <c r="I121" s="9">
        <v>5.3599999999999426</v>
      </c>
      <c r="J121" s="1" t="s">
        <v>12</v>
      </c>
      <c r="K121" s="1" t="s">
        <v>52</v>
      </c>
      <c r="L121" s="3">
        <v>7.05</v>
      </c>
      <c r="M121" s="2" t="s">
        <v>348</v>
      </c>
      <c r="N121" s="2" t="s">
        <v>355</v>
      </c>
      <c r="O121" s="4">
        <v>42867</v>
      </c>
    </row>
    <row r="122" spans="1:15">
      <c r="A122" s="7">
        <v>101656045</v>
      </c>
      <c r="B122" s="7">
        <v>5.5</v>
      </c>
      <c r="C122" s="1" t="s">
        <v>576</v>
      </c>
      <c r="D122" s="1" t="s">
        <v>11</v>
      </c>
      <c r="E122" s="8">
        <v>4.4493150684931511</v>
      </c>
      <c r="F122" s="9">
        <v>5.3552</v>
      </c>
      <c r="G122" s="9">
        <v>14.480000000000004</v>
      </c>
      <c r="H122" s="9">
        <v>5.3432000000000004</v>
      </c>
      <c r="I122" s="9">
        <v>1.1999999999999567</v>
      </c>
      <c r="J122" s="1" t="s">
        <v>17</v>
      </c>
      <c r="K122" s="1" t="s">
        <v>45</v>
      </c>
      <c r="L122" s="3">
        <v>3.29</v>
      </c>
      <c r="M122" s="2" t="s">
        <v>551</v>
      </c>
      <c r="N122" s="2" t="s">
        <v>548</v>
      </c>
      <c r="O122" s="4">
        <v>42867</v>
      </c>
    </row>
    <row r="123" spans="1:15">
      <c r="A123" s="7">
        <v>101652043</v>
      </c>
      <c r="B123" s="7">
        <v>5.48</v>
      </c>
      <c r="C123" s="1" t="s">
        <v>743</v>
      </c>
      <c r="D123" s="1" t="s">
        <v>25</v>
      </c>
      <c r="E123" s="8">
        <v>2.5205479452054793</v>
      </c>
      <c r="F123" s="9">
        <v>5.4158999999999997</v>
      </c>
      <c r="G123" s="9">
        <v>6.4100000000000712</v>
      </c>
      <c r="H123" s="9">
        <v>5.4</v>
      </c>
      <c r="I123" s="9">
        <v>1.5899999999999359</v>
      </c>
      <c r="J123" s="1" t="s">
        <v>12</v>
      </c>
      <c r="K123" s="1" t="s">
        <v>45</v>
      </c>
      <c r="L123" s="3">
        <v>3.5</v>
      </c>
      <c r="M123" s="2" t="s">
        <v>586</v>
      </c>
      <c r="N123" s="2" t="s">
        <v>582</v>
      </c>
      <c r="O123" s="4">
        <v>42867</v>
      </c>
    </row>
    <row r="124" spans="1:15">
      <c r="A124" s="7">
        <v>1480535</v>
      </c>
      <c r="B124" s="7">
        <v>5.45</v>
      </c>
      <c r="C124" s="1" t="s">
        <v>594</v>
      </c>
      <c r="D124" s="1" t="s">
        <v>36</v>
      </c>
      <c r="E124" s="8">
        <v>0.43287671232876712</v>
      </c>
      <c r="F124" s="9">
        <v>5.2436999999999996</v>
      </c>
      <c r="G124" s="9">
        <v>20.630000000000059</v>
      </c>
      <c r="H124" s="9">
        <v>5.2050999999999998</v>
      </c>
      <c r="I124" s="9">
        <v>3.8599999999999746</v>
      </c>
      <c r="J124" s="1" t="s">
        <v>12</v>
      </c>
      <c r="K124" s="1" t="s">
        <v>52</v>
      </c>
      <c r="L124" s="3">
        <v>5.95</v>
      </c>
      <c r="M124" s="2" t="s">
        <v>239</v>
      </c>
      <c r="N124" s="2" t="s">
        <v>183</v>
      </c>
      <c r="O124" s="4">
        <v>42867</v>
      </c>
    </row>
    <row r="125" spans="1:15">
      <c r="A125" s="7">
        <v>1480535</v>
      </c>
      <c r="B125" s="7">
        <v>5.45</v>
      </c>
      <c r="C125" s="1" t="s">
        <v>594</v>
      </c>
      <c r="D125" s="1" t="s">
        <v>36</v>
      </c>
      <c r="E125" s="8">
        <v>0.43287671232876712</v>
      </c>
      <c r="F125" s="9">
        <v>5.2436999999999996</v>
      </c>
      <c r="G125" s="9">
        <v>20.630000000000059</v>
      </c>
      <c r="H125" s="9">
        <v>5.2050999999999998</v>
      </c>
      <c r="I125" s="9">
        <v>3.8599999999999746</v>
      </c>
      <c r="J125" s="1" t="s">
        <v>12</v>
      </c>
      <c r="K125" s="1" t="s">
        <v>52</v>
      </c>
      <c r="L125" s="3">
        <v>5.95</v>
      </c>
      <c r="M125" s="2" t="s">
        <v>239</v>
      </c>
      <c r="N125" s="2" t="s">
        <v>183</v>
      </c>
      <c r="O125" s="4">
        <v>42867</v>
      </c>
    </row>
    <row r="126" spans="1:15">
      <c r="A126" s="7">
        <v>1180011</v>
      </c>
      <c r="B126" s="7">
        <v>5.45</v>
      </c>
      <c r="C126" s="1" t="s">
        <v>973</v>
      </c>
      <c r="D126" s="1" t="s">
        <v>36</v>
      </c>
      <c r="E126" s="8">
        <v>0.67397260273972603</v>
      </c>
      <c r="F126" s="9">
        <v>5.2576999999999998</v>
      </c>
      <c r="G126" s="9">
        <v>19.230000000000036</v>
      </c>
      <c r="H126" s="9">
        <v>5.2069000000000001</v>
      </c>
      <c r="I126" s="9">
        <v>5.0799999999999734</v>
      </c>
      <c r="J126" s="1" t="s">
        <v>12</v>
      </c>
      <c r="K126" s="1" t="s">
        <v>52</v>
      </c>
      <c r="L126" s="3">
        <v>7.02</v>
      </c>
      <c r="M126" s="2" t="s">
        <v>974</v>
      </c>
      <c r="N126" s="2" t="s">
        <v>229</v>
      </c>
      <c r="O126" s="4">
        <v>42867</v>
      </c>
    </row>
    <row r="127" spans="1:15">
      <c r="A127" s="7">
        <v>101554043</v>
      </c>
      <c r="B127" s="7">
        <v>5.42</v>
      </c>
      <c r="C127" s="1" t="s">
        <v>323</v>
      </c>
      <c r="D127" s="1" t="s">
        <v>11</v>
      </c>
      <c r="E127" s="8">
        <v>5.1068493150684935</v>
      </c>
      <c r="F127" s="9">
        <v>5.4795999999999996</v>
      </c>
      <c r="G127" s="9">
        <v>-5.9599999999999653</v>
      </c>
      <c r="H127" s="9">
        <v>5.4996999999999998</v>
      </c>
      <c r="I127" s="9">
        <v>-2.0100000000000229</v>
      </c>
      <c r="J127" s="1" t="s">
        <v>17</v>
      </c>
      <c r="K127" s="1" t="s">
        <v>45</v>
      </c>
      <c r="L127" s="3">
        <v>4.95</v>
      </c>
      <c r="M127" s="2" t="s">
        <v>190</v>
      </c>
      <c r="N127" s="2" t="s">
        <v>261</v>
      </c>
      <c r="O127" s="4">
        <v>42867</v>
      </c>
    </row>
    <row r="128" spans="1:15">
      <c r="A128" s="7">
        <v>101554053</v>
      </c>
      <c r="B128" s="7">
        <v>5.4</v>
      </c>
      <c r="C128" s="18" t="s">
        <v>335</v>
      </c>
      <c r="D128" s="19" t="s">
        <v>25</v>
      </c>
      <c r="E128" s="20">
        <v>1.2712328767123289</v>
      </c>
      <c r="F128" s="21">
        <v>5.2857000000000003</v>
      </c>
      <c r="G128" s="21">
        <v>11.430000000000007</v>
      </c>
      <c r="H128" s="21">
        <v>5.3459000000000003</v>
      </c>
      <c r="I128" s="21">
        <v>-6.0200000000000031</v>
      </c>
      <c r="J128" s="19" t="s">
        <v>218</v>
      </c>
      <c r="K128" s="19" t="s">
        <v>45</v>
      </c>
      <c r="L128" s="13">
        <v>4.9800000000000004</v>
      </c>
      <c r="M128" s="14" t="s">
        <v>129</v>
      </c>
      <c r="N128" s="14" t="s">
        <v>100</v>
      </c>
      <c r="O128" s="4">
        <v>42867</v>
      </c>
    </row>
    <row r="129" spans="1:15">
      <c r="A129" s="7">
        <v>41760019</v>
      </c>
      <c r="B129" s="7">
        <v>5.4</v>
      </c>
      <c r="C129" s="18" t="s">
        <v>975</v>
      </c>
      <c r="D129" s="19" t="s">
        <v>25</v>
      </c>
      <c r="E129" s="20">
        <v>0.92328767123287669</v>
      </c>
      <c r="F129" s="21">
        <v>5.3978999999999999</v>
      </c>
      <c r="G129" s="21">
        <v>0.21000000000004349</v>
      </c>
      <c r="H129" s="21">
        <v>5.4640000000000004</v>
      </c>
      <c r="I129" s="21">
        <v>-6.6100000000000492</v>
      </c>
      <c r="J129" s="19" t="s">
        <v>12</v>
      </c>
      <c r="K129" s="19" t="s">
        <v>13</v>
      </c>
      <c r="L129" s="13">
        <v>5.18</v>
      </c>
      <c r="M129" s="14" t="s">
        <v>843</v>
      </c>
      <c r="N129" s="14" t="s">
        <v>833</v>
      </c>
      <c r="O129" s="4">
        <v>42867</v>
      </c>
    </row>
    <row r="130" spans="1:15">
      <c r="A130" s="7">
        <v>1380225</v>
      </c>
      <c r="B130" s="7">
        <v>5.4</v>
      </c>
      <c r="C130" s="18" t="s">
        <v>870</v>
      </c>
      <c r="D130" s="19" t="s">
        <v>25</v>
      </c>
      <c r="E130" s="20">
        <v>3.106849315068493</v>
      </c>
      <c r="F130" s="21">
        <v>5.3367000000000004</v>
      </c>
      <c r="G130" s="21">
        <v>6.3299999999999912</v>
      </c>
      <c r="H130" s="21">
        <v>5.2952000000000004</v>
      </c>
      <c r="I130" s="21">
        <v>4.1500000000000092</v>
      </c>
      <c r="J130" s="19" t="s">
        <v>12</v>
      </c>
      <c r="K130" s="19" t="s">
        <v>52</v>
      </c>
      <c r="L130" s="13">
        <v>5.99</v>
      </c>
      <c r="M130" s="14" t="s">
        <v>772</v>
      </c>
      <c r="N130" s="14" t="s">
        <v>770</v>
      </c>
      <c r="O130" s="4">
        <v>42867</v>
      </c>
    </row>
    <row r="131" spans="1:15">
      <c r="A131" s="7">
        <v>11698467</v>
      </c>
      <c r="B131" s="7">
        <v>5.37</v>
      </c>
      <c r="C131" s="18" t="s">
        <v>749</v>
      </c>
      <c r="D131" s="19" t="s">
        <v>36</v>
      </c>
      <c r="E131" s="20">
        <v>0.10136986301369863</v>
      </c>
      <c r="F131" s="21">
        <v>5.3563999999999998</v>
      </c>
      <c r="G131" s="21">
        <v>1.3600000000000279</v>
      </c>
      <c r="H131" s="21">
        <v>5.2728999999999999</v>
      </c>
      <c r="I131" s="21">
        <v>8.3499999999999908</v>
      </c>
      <c r="J131" s="19" t="s">
        <v>28</v>
      </c>
      <c r="K131" s="19" t="s">
        <v>13</v>
      </c>
      <c r="L131" s="13">
        <v>3.42</v>
      </c>
      <c r="M131" s="14" t="s">
        <v>513</v>
      </c>
      <c r="N131" s="14" t="s">
        <v>505</v>
      </c>
      <c r="O131" s="4">
        <v>42867</v>
      </c>
    </row>
    <row r="132" spans="1:15">
      <c r="A132" s="7">
        <v>1580079</v>
      </c>
      <c r="B132" s="7">
        <v>5.36</v>
      </c>
      <c r="C132" s="18" t="s">
        <v>587</v>
      </c>
      <c r="D132" s="19" t="s">
        <v>25</v>
      </c>
      <c r="E132" s="20">
        <v>4.9452054794520546</v>
      </c>
      <c r="F132" s="21">
        <v>5.3113999999999999</v>
      </c>
      <c r="G132" s="21">
        <v>4.8600000000000421</v>
      </c>
      <c r="H132" s="21">
        <v>5.2721</v>
      </c>
      <c r="I132" s="21">
        <v>3.9299999999999891</v>
      </c>
      <c r="J132" s="19" t="s">
        <v>12</v>
      </c>
      <c r="K132" s="19" t="s">
        <v>52</v>
      </c>
      <c r="L132" s="13">
        <v>5.63</v>
      </c>
      <c r="M132" s="14" t="s">
        <v>232</v>
      </c>
      <c r="N132" s="14" t="s">
        <v>85</v>
      </c>
      <c r="O132" s="4">
        <v>42867</v>
      </c>
    </row>
    <row r="133" spans="1:15">
      <c r="A133" s="7" t="s">
        <v>266</v>
      </c>
      <c r="B133" s="7">
        <v>5.35</v>
      </c>
      <c r="C133" s="18" t="s">
        <v>267</v>
      </c>
      <c r="D133" s="19" t="s">
        <v>25</v>
      </c>
      <c r="E133" s="20">
        <v>3.6739726027397261</v>
      </c>
      <c r="F133" s="21">
        <v>5.2152000000000003</v>
      </c>
      <c r="G133" s="21">
        <v>13.479999999999936</v>
      </c>
      <c r="H133" s="21">
        <v>5.1997</v>
      </c>
      <c r="I133" s="21">
        <v>1.5500000000000291</v>
      </c>
      <c r="J133" s="19" t="s">
        <v>17</v>
      </c>
      <c r="K133" s="19" t="s">
        <v>121</v>
      </c>
      <c r="L133" s="13">
        <v>3.7</v>
      </c>
      <c r="M133" s="14" t="s">
        <v>132</v>
      </c>
      <c r="N133" s="14" t="s">
        <v>164</v>
      </c>
      <c r="O133" s="4">
        <v>42867</v>
      </c>
    </row>
    <row r="134" spans="1:15">
      <c r="A134" s="7">
        <v>101456008</v>
      </c>
      <c r="B134" s="7">
        <v>5.35</v>
      </c>
      <c r="C134" s="18" t="s">
        <v>531</v>
      </c>
      <c r="D134" s="19" t="s">
        <v>11</v>
      </c>
      <c r="E134" s="20">
        <v>1.8493150684931507</v>
      </c>
      <c r="F134" s="21">
        <v>5.4138000000000002</v>
      </c>
      <c r="G134" s="21">
        <v>-6.3800000000000523</v>
      </c>
      <c r="H134" s="21">
        <v>5.3647</v>
      </c>
      <c r="I134" s="21">
        <v>4.9100000000000144</v>
      </c>
      <c r="J134" s="19" t="s">
        <v>12</v>
      </c>
      <c r="K134" s="19" t="s">
        <v>45</v>
      </c>
      <c r="L134" s="13">
        <v>6.8</v>
      </c>
      <c r="M134" s="14" t="s">
        <v>241</v>
      </c>
      <c r="N134" s="14" t="s">
        <v>315</v>
      </c>
      <c r="O134" s="4">
        <v>42867</v>
      </c>
    </row>
    <row r="135" spans="1:15">
      <c r="A135" s="7">
        <v>101456008</v>
      </c>
      <c r="B135" s="7">
        <v>5.35</v>
      </c>
      <c r="C135" s="18" t="s">
        <v>531</v>
      </c>
      <c r="D135" s="19" t="s">
        <v>11</v>
      </c>
      <c r="E135" s="20">
        <v>1.8493150684931507</v>
      </c>
      <c r="F135" s="21">
        <v>5.4138000000000002</v>
      </c>
      <c r="G135" s="21">
        <v>-6.3800000000000523</v>
      </c>
      <c r="H135" s="21">
        <v>5.3647</v>
      </c>
      <c r="I135" s="21">
        <v>4.9100000000000144</v>
      </c>
      <c r="J135" s="19" t="s">
        <v>12</v>
      </c>
      <c r="K135" s="19" t="s">
        <v>45</v>
      </c>
      <c r="L135" s="13">
        <v>6.8</v>
      </c>
      <c r="M135" s="14" t="s">
        <v>241</v>
      </c>
      <c r="N135" s="14" t="s">
        <v>315</v>
      </c>
      <c r="O135" s="4">
        <v>42867</v>
      </c>
    </row>
    <row r="136" spans="1:15">
      <c r="A136" s="7">
        <v>101456008</v>
      </c>
      <c r="B136" s="7">
        <v>5.35</v>
      </c>
      <c r="C136" s="18" t="s">
        <v>531</v>
      </c>
      <c r="D136" s="19" t="s">
        <v>11</v>
      </c>
      <c r="E136" s="20">
        <v>1.8493150684931507</v>
      </c>
      <c r="F136" s="21">
        <v>5.4138000000000002</v>
      </c>
      <c r="G136" s="21">
        <v>-6.3800000000000523</v>
      </c>
      <c r="H136" s="21">
        <v>5.3647</v>
      </c>
      <c r="I136" s="21">
        <v>4.9100000000000144</v>
      </c>
      <c r="J136" s="19" t="s">
        <v>12</v>
      </c>
      <c r="K136" s="19" t="s">
        <v>45</v>
      </c>
      <c r="L136" s="13">
        <v>6.8</v>
      </c>
      <c r="M136" s="14" t="s">
        <v>241</v>
      </c>
      <c r="N136" s="14" t="s">
        <v>315</v>
      </c>
      <c r="O136" s="4">
        <v>42867</v>
      </c>
    </row>
    <row r="137" spans="1:15">
      <c r="A137" s="7">
        <v>101456008</v>
      </c>
      <c r="B137" s="7">
        <v>5.35</v>
      </c>
      <c r="C137" s="18" t="s">
        <v>531</v>
      </c>
      <c r="D137" s="19" t="s">
        <v>11</v>
      </c>
      <c r="E137" s="20">
        <v>1.8493150684931507</v>
      </c>
      <c r="F137" s="21">
        <v>5.4138000000000002</v>
      </c>
      <c r="G137" s="21">
        <v>-6.3800000000000523</v>
      </c>
      <c r="H137" s="21">
        <v>5.3647</v>
      </c>
      <c r="I137" s="21">
        <v>4.9100000000000144</v>
      </c>
      <c r="J137" s="19" t="s">
        <v>12</v>
      </c>
      <c r="K137" s="19" t="s">
        <v>45</v>
      </c>
      <c r="L137" s="13">
        <v>6.8</v>
      </c>
      <c r="M137" s="14" t="s">
        <v>241</v>
      </c>
      <c r="N137" s="14" t="s">
        <v>315</v>
      </c>
      <c r="O137" s="4">
        <v>42867</v>
      </c>
    </row>
    <row r="138" spans="1:15">
      <c r="A138" s="7">
        <v>1180092</v>
      </c>
      <c r="B138" s="7">
        <v>5.35</v>
      </c>
      <c r="C138" s="18" t="s">
        <v>326</v>
      </c>
      <c r="D138" s="19" t="s">
        <v>25</v>
      </c>
      <c r="E138" s="20">
        <v>0.94246575342465755</v>
      </c>
      <c r="F138" s="21">
        <v>5.2821999999999996</v>
      </c>
      <c r="G138" s="21">
        <v>6.7800000000000082</v>
      </c>
      <c r="H138" s="21">
        <v>5.2305000000000001</v>
      </c>
      <c r="I138" s="21">
        <v>5.1699999999999413</v>
      </c>
      <c r="J138" s="19" t="s">
        <v>12</v>
      </c>
      <c r="K138" s="19" t="s">
        <v>52</v>
      </c>
      <c r="L138" s="13">
        <v>6.96</v>
      </c>
      <c r="M138" s="14" t="s">
        <v>288</v>
      </c>
      <c r="N138" s="14" t="s">
        <v>339</v>
      </c>
      <c r="O138" s="4">
        <v>42867</v>
      </c>
    </row>
    <row r="139" spans="1:15">
      <c r="A139" s="7">
        <v>1180092</v>
      </c>
      <c r="B139" s="7">
        <v>5.35</v>
      </c>
      <c r="C139" s="18" t="s">
        <v>326</v>
      </c>
      <c r="D139" s="19" t="s">
        <v>25</v>
      </c>
      <c r="E139" s="20">
        <v>0.94246575342465755</v>
      </c>
      <c r="F139" s="21">
        <v>5.2821999999999996</v>
      </c>
      <c r="G139" s="21">
        <v>6.7800000000000082</v>
      </c>
      <c r="H139" s="21">
        <v>5.2305000000000001</v>
      </c>
      <c r="I139" s="21">
        <v>5.1699999999999413</v>
      </c>
      <c r="J139" s="19" t="s">
        <v>12</v>
      </c>
      <c r="K139" s="19" t="s">
        <v>52</v>
      </c>
      <c r="L139" s="13">
        <v>6.96</v>
      </c>
      <c r="M139" s="14" t="s">
        <v>288</v>
      </c>
      <c r="N139" s="14" t="s">
        <v>339</v>
      </c>
      <c r="O139" s="4">
        <v>42867</v>
      </c>
    </row>
    <row r="140" spans="1:15">
      <c r="A140" s="7">
        <v>101662059</v>
      </c>
      <c r="B140" s="7">
        <v>5.32</v>
      </c>
      <c r="C140" s="18" t="s">
        <v>574</v>
      </c>
      <c r="D140" s="19" t="s">
        <v>11</v>
      </c>
      <c r="E140" s="20">
        <v>4.2767123287671236</v>
      </c>
      <c r="F140" s="21">
        <v>5.3438999999999997</v>
      </c>
      <c r="G140" s="21">
        <v>-2.3899999999999366</v>
      </c>
      <c r="H140" s="21">
        <v>5.3342999999999998</v>
      </c>
      <c r="I140" s="21">
        <v>0.95999999999998309</v>
      </c>
      <c r="J140" s="19" t="s">
        <v>12</v>
      </c>
      <c r="K140" s="19" t="s">
        <v>45</v>
      </c>
      <c r="L140" s="13">
        <v>3.23</v>
      </c>
      <c r="M140" s="14" t="s">
        <v>459</v>
      </c>
      <c r="N140" s="14" t="s">
        <v>456</v>
      </c>
      <c r="O140" s="4">
        <v>42867</v>
      </c>
    </row>
    <row r="141" spans="1:15">
      <c r="A141" s="7">
        <v>101662059</v>
      </c>
      <c r="B141" s="7">
        <v>5.32</v>
      </c>
      <c r="C141" s="18" t="s">
        <v>574</v>
      </c>
      <c r="D141" s="19" t="s">
        <v>11</v>
      </c>
      <c r="E141" s="20">
        <v>4.2767123287671236</v>
      </c>
      <c r="F141" s="21">
        <v>5.3438999999999997</v>
      </c>
      <c r="G141" s="21">
        <v>-2.3899999999999366</v>
      </c>
      <c r="H141" s="21">
        <v>5.3342999999999998</v>
      </c>
      <c r="I141" s="21">
        <v>0.95999999999998309</v>
      </c>
      <c r="J141" s="19" t="s">
        <v>12</v>
      </c>
      <c r="K141" s="19" t="s">
        <v>45</v>
      </c>
      <c r="L141" s="13">
        <v>3.23</v>
      </c>
      <c r="M141" s="14" t="s">
        <v>459</v>
      </c>
      <c r="N141" s="14" t="s">
        <v>456</v>
      </c>
      <c r="O141" s="4">
        <v>42867</v>
      </c>
    </row>
    <row r="142" spans="1:15">
      <c r="A142" s="7" t="s">
        <v>266</v>
      </c>
      <c r="B142" s="7">
        <v>5.3</v>
      </c>
      <c r="C142" s="18" t="s">
        <v>267</v>
      </c>
      <c r="D142" s="19" t="s">
        <v>25</v>
      </c>
      <c r="E142" s="20">
        <v>3.6739726027397261</v>
      </c>
      <c r="F142" s="21">
        <v>5.2152000000000003</v>
      </c>
      <c r="G142" s="21">
        <v>8.4799999999999542</v>
      </c>
      <c r="H142" s="21">
        <v>5.1997</v>
      </c>
      <c r="I142" s="21">
        <v>1.5500000000000291</v>
      </c>
      <c r="J142" s="19" t="s">
        <v>17</v>
      </c>
      <c r="K142" s="19" t="s">
        <v>121</v>
      </c>
      <c r="L142" s="13">
        <v>3.7</v>
      </c>
      <c r="M142" s="14" t="s">
        <v>132</v>
      </c>
      <c r="N142" s="14" t="s">
        <v>164</v>
      </c>
      <c r="O142" s="4">
        <v>42867</v>
      </c>
    </row>
    <row r="143" spans="1:15">
      <c r="A143" s="7">
        <v>101664061</v>
      </c>
      <c r="B143" s="7">
        <v>5.3</v>
      </c>
      <c r="C143" s="18" t="s">
        <v>606</v>
      </c>
      <c r="D143" s="19" t="s">
        <v>25</v>
      </c>
      <c r="E143" s="20">
        <v>2.4356164383561643</v>
      </c>
      <c r="F143" s="21">
        <v>5.218</v>
      </c>
      <c r="G143" s="21">
        <v>8.1999999999999851</v>
      </c>
      <c r="H143" s="21">
        <v>5.1996000000000002</v>
      </c>
      <c r="I143" s="21">
        <v>1.839999999999975</v>
      </c>
      <c r="J143" s="19" t="s">
        <v>28</v>
      </c>
      <c r="K143" s="19" t="s">
        <v>45</v>
      </c>
      <c r="L143" s="13">
        <v>3.05</v>
      </c>
      <c r="M143" s="14" t="s">
        <v>546</v>
      </c>
      <c r="N143" s="14" t="s">
        <v>528</v>
      </c>
      <c r="O143" s="4">
        <v>42867</v>
      </c>
    </row>
    <row r="144" spans="1:15">
      <c r="A144" s="7">
        <v>101664061</v>
      </c>
      <c r="B144" s="7">
        <v>5.3</v>
      </c>
      <c r="C144" s="18" t="s">
        <v>606</v>
      </c>
      <c r="D144" s="19" t="s">
        <v>25</v>
      </c>
      <c r="E144" s="20">
        <v>2.4356164383561643</v>
      </c>
      <c r="F144" s="21">
        <v>5.218</v>
      </c>
      <c r="G144" s="21">
        <v>8.1999999999999851</v>
      </c>
      <c r="H144" s="21">
        <v>5.1996000000000002</v>
      </c>
      <c r="I144" s="21">
        <v>1.839999999999975</v>
      </c>
      <c r="J144" s="19" t="s">
        <v>28</v>
      </c>
      <c r="K144" s="19" t="s">
        <v>45</v>
      </c>
      <c r="L144" s="13">
        <v>3.05</v>
      </c>
      <c r="M144" s="14" t="s">
        <v>546</v>
      </c>
      <c r="N144" s="14" t="s">
        <v>528</v>
      </c>
      <c r="O144" s="4">
        <v>42867</v>
      </c>
    </row>
    <row r="145" spans="1:15">
      <c r="A145" s="7">
        <v>101564034</v>
      </c>
      <c r="B145" s="7">
        <v>5.3</v>
      </c>
      <c r="C145" s="18" t="s">
        <v>357</v>
      </c>
      <c r="D145" s="19" t="s">
        <v>11</v>
      </c>
      <c r="E145" s="20">
        <v>3.2931506849315069</v>
      </c>
      <c r="F145" s="21">
        <v>5.1525999999999996</v>
      </c>
      <c r="G145" s="21">
        <v>14.74000000000002</v>
      </c>
      <c r="H145" s="21">
        <v>5.1142000000000003</v>
      </c>
      <c r="I145" s="21">
        <v>3.8399999999999324</v>
      </c>
      <c r="J145" s="19" t="s">
        <v>12</v>
      </c>
      <c r="K145" s="19" t="s">
        <v>45</v>
      </c>
      <c r="L145" s="13">
        <v>4.3</v>
      </c>
      <c r="M145" s="14" t="s">
        <v>136</v>
      </c>
      <c r="N145" s="14" t="s">
        <v>237</v>
      </c>
      <c r="O145" s="4">
        <v>42867</v>
      </c>
    </row>
    <row r="146" spans="1:15">
      <c r="A146" s="7">
        <v>101558046</v>
      </c>
      <c r="B146" s="7">
        <v>5.3</v>
      </c>
      <c r="C146" s="18" t="s">
        <v>275</v>
      </c>
      <c r="D146" s="19" t="s">
        <v>11</v>
      </c>
      <c r="E146" s="20">
        <v>3.4876712328767123</v>
      </c>
      <c r="F146" s="21">
        <v>5.2984</v>
      </c>
      <c r="G146" s="21">
        <v>0.15999999999998238</v>
      </c>
      <c r="H146" s="21">
        <v>5.2489999999999997</v>
      </c>
      <c r="I146" s="21">
        <v>4.9400000000000333</v>
      </c>
      <c r="J146" s="19" t="s">
        <v>12</v>
      </c>
      <c r="K146" s="19" t="s">
        <v>45</v>
      </c>
      <c r="L146" s="13">
        <v>3.98</v>
      </c>
      <c r="M146" s="14" t="s">
        <v>141</v>
      </c>
      <c r="N146" s="14" t="s">
        <v>240</v>
      </c>
      <c r="O146" s="4">
        <v>42867</v>
      </c>
    </row>
    <row r="147" spans="1:15">
      <c r="A147" s="7">
        <v>101462039</v>
      </c>
      <c r="B147" s="7">
        <v>5.3</v>
      </c>
      <c r="C147" s="18" t="s">
        <v>264</v>
      </c>
      <c r="D147" s="19" t="s">
        <v>11</v>
      </c>
      <c r="E147" s="20">
        <v>2.5232876712328767</v>
      </c>
      <c r="F147" s="21">
        <v>5.2304000000000004</v>
      </c>
      <c r="G147" s="21">
        <v>6.959999999999944</v>
      </c>
      <c r="H147" s="21">
        <v>5.2103000000000002</v>
      </c>
      <c r="I147" s="21">
        <v>2.0100000000000229</v>
      </c>
      <c r="J147" s="19" t="s">
        <v>12</v>
      </c>
      <c r="K147" s="19" t="s">
        <v>45</v>
      </c>
      <c r="L147" s="13">
        <v>5.3</v>
      </c>
      <c r="M147" s="14" t="s">
        <v>251</v>
      </c>
      <c r="N147" s="14" t="s">
        <v>350</v>
      </c>
      <c r="O147" s="4">
        <v>42867</v>
      </c>
    </row>
    <row r="148" spans="1:15">
      <c r="A148" s="7">
        <v>101452019</v>
      </c>
      <c r="B148" s="7">
        <v>5.3</v>
      </c>
      <c r="C148" s="18" t="s">
        <v>508</v>
      </c>
      <c r="D148" s="19" t="s">
        <v>25</v>
      </c>
      <c r="E148" s="20">
        <v>0.29589041095890412</v>
      </c>
      <c r="F148" s="21">
        <v>5.0147000000000004</v>
      </c>
      <c r="G148" s="21">
        <v>28.529999999999944</v>
      </c>
      <c r="H148" s="21">
        <v>5.0179999999999998</v>
      </c>
      <c r="I148" s="21">
        <v>-0.32999999999994145</v>
      </c>
      <c r="J148" s="19" t="s">
        <v>28</v>
      </c>
      <c r="K148" s="19" t="s">
        <v>45</v>
      </c>
      <c r="L148" s="13">
        <v>7.8</v>
      </c>
      <c r="M148" s="14" t="s">
        <v>343</v>
      </c>
      <c r="N148" s="14" t="s">
        <v>233</v>
      </c>
      <c r="O148" s="4">
        <v>42867</v>
      </c>
    </row>
    <row r="149" spans="1:15">
      <c r="A149" s="7">
        <v>101452019</v>
      </c>
      <c r="B149" s="7">
        <v>5.3</v>
      </c>
      <c r="C149" s="18" t="s">
        <v>508</v>
      </c>
      <c r="D149" s="19" t="s">
        <v>25</v>
      </c>
      <c r="E149" s="20">
        <v>0.29589041095890412</v>
      </c>
      <c r="F149" s="21">
        <v>5.0147000000000004</v>
      </c>
      <c r="G149" s="21">
        <v>28.529999999999944</v>
      </c>
      <c r="H149" s="21">
        <v>5.0179999999999998</v>
      </c>
      <c r="I149" s="21">
        <v>-0.32999999999994145</v>
      </c>
      <c r="J149" s="19" t="s">
        <v>28</v>
      </c>
      <c r="K149" s="19" t="s">
        <v>45</v>
      </c>
      <c r="L149" s="13">
        <v>7.8</v>
      </c>
      <c r="M149" s="14" t="s">
        <v>343</v>
      </c>
      <c r="N149" s="14" t="s">
        <v>233</v>
      </c>
      <c r="O149" s="4">
        <v>42867</v>
      </c>
    </row>
    <row r="150" spans="1:15">
      <c r="A150" s="7">
        <v>101452019</v>
      </c>
      <c r="B150" s="7">
        <v>5.3</v>
      </c>
      <c r="C150" s="18" t="s">
        <v>508</v>
      </c>
      <c r="D150" s="19" t="s">
        <v>25</v>
      </c>
      <c r="E150" s="20">
        <v>0.29589041095890412</v>
      </c>
      <c r="F150" s="21">
        <v>5.0147000000000004</v>
      </c>
      <c r="G150" s="21">
        <v>28.529999999999944</v>
      </c>
      <c r="H150" s="21">
        <v>5.0179999999999998</v>
      </c>
      <c r="I150" s="21">
        <v>-0.32999999999994145</v>
      </c>
      <c r="J150" s="19" t="s">
        <v>28</v>
      </c>
      <c r="K150" s="19" t="s">
        <v>45</v>
      </c>
      <c r="L150" s="13">
        <v>7.8</v>
      </c>
      <c r="M150" s="14" t="s">
        <v>343</v>
      </c>
      <c r="N150" s="14" t="s">
        <v>233</v>
      </c>
      <c r="O150" s="4">
        <v>42867</v>
      </c>
    </row>
    <row r="151" spans="1:15">
      <c r="A151" s="7">
        <v>101452019</v>
      </c>
      <c r="B151" s="7">
        <v>5.3</v>
      </c>
      <c r="C151" s="18" t="s">
        <v>508</v>
      </c>
      <c r="D151" s="19" t="s">
        <v>25</v>
      </c>
      <c r="E151" s="20">
        <v>0.29589041095890412</v>
      </c>
      <c r="F151" s="21">
        <v>5.0147000000000004</v>
      </c>
      <c r="G151" s="21">
        <v>28.529999999999944</v>
      </c>
      <c r="H151" s="21">
        <v>5.0179999999999998</v>
      </c>
      <c r="I151" s="21">
        <v>-0.32999999999994145</v>
      </c>
      <c r="J151" s="19" t="s">
        <v>28</v>
      </c>
      <c r="K151" s="19" t="s">
        <v>45</v>
      </c>
      <c r="L151" s="13">
        <v>7.8</v>
      </c>
      <c r="M151" s="14" t="s">
        <v>343</v>
      </c>
      <c r="N151" s="14" t="s">
        <v>233</v>
      </c>
      <c r="O151" s="4">
        <v>42867</v>
      </c>
    </row>
    <row r="152" spans="1:15">
      <c r="A152" s="7">
        <v>11698816</v>
      </c>
      <c r="B152" s="7">
        <v>5.3</v>
      </c>
      <c r="C152" s="18" t="s">
        <v>976</v>
      </c>
      <c r="D152" s="19" t="s">
        <v>25</v>
      </c>
      <c r="E152" s="20">
        <v>0.25753424657534246</v>
      </c>
      <c r="F152" s="21">
        <v>4.9833999999999996</v>
      </c>
      <c r="G152" s="21">
        <v>31.660000000000021</v>
      </c>
      <c r="H152" s="21">
        <v>4.9880000000000004</v>
      </c>
      <c r="I152" s="21">
        <v>-0.46000000000008257</v>
      </c>
      <c r="J152" s="19" t="s">
        <v>12</v>
      </c>
      <c r="K152" s="19" t="s">
        <v>13</v>
      </c>
      <c r="L152" s="13">
        <v>3.74</v>
      </c>
      <c r="M152" s="14" t="s">
        <v>584</v>
      </c>
      <c r="N152" s="14" t="s">
        <v>585</v>
      </c>
      <c r="O152" s="4">
        <v>42867</v>
      </c>
    </row>
    <row r="153" spans="1:15">
      <c r="A153" s="7" t="s">
        <v>420</v>
      </c>
      <c r="B153" s="7">
        <v>5.25</v>
      </c>
      <c r="C153" s="18" t="s">
        <v>421</v>
      </c>
      <c r="D153" s="19" t="s">
        <v>11</v>
      </c>
      <c r="E153" s="20">
        <v>3.8493150684931505</v>
      </c>
      <c r="F153" s="21">
        <v>5.2683</v>
      </c>
      <c r="G153" s="21">
        <v>-1.8299999999999983</v>
      </c>
      <c r="H153" s="21">
        <v>5.2552000000000003</v>
      </c>
      <c r="I153" s="21">
        <v>1.3099999999999667</v>
      </c>
      <c r="J153" s="19" t="s">
        <v>55</v>
      </c>
      <c r="K153" s="19" t="s">
        <v>121</v>
      </c>
      <c r="L153" s="13">
        <v>3.56</v>
      </c>
      <c r="M153" s="14" t="s">
        <v>231</v>
      </c>
      <c r="N153" s="14" t="s">
        <v>49</v>
      </c>
      <c r="O153" s="4">
        <v>42867</v>
      </c>
    </row>
    <row r="154" spans="1:15">
      <c r="A154" s="7" t="s">
        <v>420</v>
      </c>
      <c r="B154" s="7">
        <v>5.25</v>
      </c>
      <c r="C154" s="18" t="s">
        <v>421</v>
      </c>
      <c r="D154" s="19" t="s">
        <v>11</v>
      </c>
      <c r="E154" s="20">
        <v>3.8493150684931505</v>
      </c>
      <c r="F154" s="21">
        <v>5.2683</v>
      </c>
      <c r="G154" s="21">
        <v>-1.8299999999999983</v>
      </c>
      <c r="H154" s="21">
        <v>5.2552000000000003</v>
      </c>
      <c r="I154" s="21">
        <v>1.3099999999999667</v>
      </c>
      <c r="J154" s="19" t="s">
        <v>55</v>
      </c>
      <c r="K154" s="19" t="s">
        <v>121</v>
      </c>
      <c r="L154" s="13">
        <v>3.56</v>
      </c>
      <c r="M154" s="14" t="s">
        <v>231</v>
      </c>
      <c r="N154" s="14" t="s">
        <v>49</v>
      </c>
      <c r="O154" s="4">
        <v>42867</v>
      </c>
    </row>
    <row r="155" spans="1:15">
      <c r="A155" s="7" t="s">
        <v>420</v>
      </c>
      <c r="B155" s="7">
        <v>5.25</v>
      </c>
      <c r="C155" s="18" t="s">
        <v>421</v>
      </c>
      <c r="D155" s="19" t="s">
        <v>11</v>
      </c>
      <c r="E155" s="20">
        <v>3.8493150684931505</v>
      </c>
      <c r="F155" s="21">
        <v>5.2683</v>
      </c>
      <c r="G155" s="21">
        <v>-1.8299999999999983</v>
      </c>
      <c r="H155" s="21">
        <v>5.2552000000000003</v>
      </c>
      <c r="I155" s="21">
        <v>1.3099999999999667</v>
      </c>
      <c r="J155" s="19" t="s">
        <v>55</v>
      </c>
      <c r="K155" s="19" t="s">
        <v>121</v>
      </c>
      <c r="L155" s="13">
        <v>3.56</v>
      </c>
      <c r="M155" s="14" t="s">
        <v>231</v>
      </c>
      <c r="N155" s="14" t="s">
        <v>49</v>
      </c>
      <c r="O155" s="4">
        <v>42867</v>
      </c>
    </row>
    <row r="156" spans="1:15">
      <c r="A156" s="7">
        <v>101651018</v>
      </c>
      <c r="B156" s="7">
        <v>5.25</v>
      </c>
      <c r="C156" s="18" t="s">
        <v>711</v>
      </c>
      <c r="D156" s="19" t="s">
        <v>25</v>
      </c>
      <c r="E156" s="20">
        <v>1.8712328767123287</v>
      </c>
      <c r="F156" s="21">
        <v>5.2087000000000003</v>
      </c>
      <c r="G156" s="21">
        <v>4.129999999999967</v>
      </c>
      <c r="H156" s="21">
        <v>5.2196999999999996</v>
      </c>
      <c r="I156" s="21">
        <v>-1.0999999999999233</v>
      </c>
      <c r="J156" s="19" t="s">
        <v>28</v>
      </c>
      <c r="K156" s="19" t="s">
        <v>45</v>
      </c>
      <c r="L156" s="13">
        <v>3.5</v>
      </c>
      <c r="M156" s="14" t="s">
        <v>44</v>
      </c>
      <c r="N156" s="14" t="s">
        <v>179</v>
      </c>
      <c r="O156" s="4">
        <v>42867</v>
      </c>
    </row>
    <row r="157" spans="1:15">
      <c r="A157" s="7">
        <v>11753001</v>
      </c>
      <c r="B157" s="7">
        <v>5.25</v>
      </c>
      <c r="C157" s="18" t="s">
        <v>675</v>
      </c>
      <c r="D157" s="19" t="s">
        <v>11</v>
      </c>
      <c r="E157" s="20">
        <v>0.39726027397260272</v>
      </c>
      <c r="F157" s="21">
        <v>4.8506</v>
      </c>
      <c r="G157" s="21">
        <v>39.94</v>
      </c>
      <c r="H157" s="21">
        <v>4.8525999999999998</v>
      </c>
      <c r="I157" s="21">
        <v>-0.19999999999997797</v>
      </c>
      <c r="J157" s="19" t="s">
        <v>12</v>
      </c>
      <c r="K157" s="19" t="s">
        <v>13</v>
      </c>
      <c r="L157" s="13">
        <v>4.29</v>
      </c>
      <c r="M157" s="14" t="s">
        <v>647</v>
      </c>
      <c r="N157" s="14" t="s">
        <v>635</v>
      </c>
      <c r="O157" s="4">
        <v>42867</v>
      </c>
    </row>
    <row r="158" spans="1:15">
      <c r="A158" s="7">
        <v>136196</v>
      </c>
      <c r="B158" s="7">
        <v>5.25</v>
      </c>
      <c r="C158" s="18" t="s">
        <v>313</v>
      </c>
      <c r="D158" s="19" t="s">
        <v>11</v>
      </c>
      <c r="E158" s="20">
        <v>6.7123287671232879</v>
      </c>
      <c r="F158" s="21">
        <v>5.2850999999999999</v>
      </c>
      <c r="G158" s="21">
        <v>-3.5099999999999909</v>
      </c>
      <c r="H158" s="21">
        <v>5.2663000000000002</v>
      </c>
      <c r="I158" s="21">
        <v>1.8799999999999706</v>
      </c>
      <c r="J158" s="19" t="s">
        <v>139</v>
      </c>
      <c r="K158" s="19" t="s">
        <v>121</v>
      </c>
      <c r="L158" s="13">
        <v>3.68</v>
      </c>
      <c r="M158" s="14" t="s">
        <v>96</v>
      </c>
      <c r="N158" s="14" t="s">
        <v>115</v>
      </c>
      <c r="O158" s="4">
        <v>42867</v>
      </c>
    </row>
    <row r="159" spans="1:15">
      <c r="A159" s="7">
        <v>41763005</v>
      </c>
      <c r="B159" s="7">
        <v>5.24</v>
      </c>
      <c r="C159" s="18" t="s">
        <v>883</v>
      </c>
      <c r="D159" s="19" t="s">
        <v>25</v>
      </c>
      <c r="E159" s="20">
        <v>0.92328767123287669</v>
      </c>
      <c r="F159" s="21">
        <v>5.2511999999999999</v>
      </c>
      <c r="G159" s="21">
        <v>-1.1199999999999655</v>
      </c>
      <c r="H159" s="21">
        <v>5.1990999999999996</v>
      </c>
      <c r="I159" s="21">
        <v>5.2100000000000257</v>
      </c>
      <c r="J159" s="19" t="s">
        <v>12</v>
      </c>
      <c r="K159" s="19" t="s">
        <v>13</v>
      </c>
      <c r="L159" s="13">
        <v>4.5999999999999996</v>
      </c>
      <c r="M159" s="14" t="s">
        <v>843</v>
      </c>
      <c r="N159" s="14" t="s">
        <v>835</v>
      </c>
      <c r="O159" s="4">
        <v>42867</v>
      </c>
    </row>
    <row r="160" spans="1:15">
      <c r="A160" s="7">
        <v>136205</v>
      </c>
      <c r="B160" s="7">
        <v>5.24</v>
      </c>
      <c r="C160" s="18" t="s">
        <v>705</v>
      </c>
      <c r="D160" s="19" t="s">
        <v>25</v>
      </c>
      <c r="E160" s="20">
        <v>3.7232876712328768</v>
      </c>
      <c r="F160" s="21">
        <v>5.1170999999999998</v>
      </c>
      <c r="G160" s="21">
        <v>12.290000000000045</v>
      </c>
      <c r="H160" s="21">
        <v>5.1410999999999998</v>
      </c>
      <c r="I160" s="21">
        <v>-2.4000000000000021</v>
      </c>
      <c r="J160" s="19" t="s">
        <v>28</v>
      </c>
      <c r="K160" s="19" t="s">
        <v>121</v>
      </c>
      <c r="L160" s="13">
        <v>3.98</v>
      </c>
      <c r="M160" s="14" t="s">
        <v>96</v>
      </c>
      <c r="N160" s="14" t="s">
        <v>159</v>
      </c>
      <c r="O160" s="4">
        <v>42867</v>
      </c>
    </row>
    <row r="161" spans="1:15">
      <c r="A161" s="7">
        <v>101656059</v>
      </c>
      <c r="B161" s="7">
        <v>5.23</v>
      </c>
      <c r="C161" s="18" t="s">
        <v>977</v>
      </c>
      <c r="D161" s="19" t="s">
        <v>25</v>
      </c>
      <c r="E161" s="20">
        <v>2.5397260273972604</v>
      </c>
      <c r="F161" s="21">
        <v>5.2325999999999997</v>
      </c>
      <c r="G161" s="21">
        <v>-0.25999999999992696</v>
      </c>
      <c r="H161" s="21">
        <v>5.2122999999999999</v>
      </c>
      <c r="I161" s="21">
        <v>2.0299999999999763</v>
      </c>
      <c r="J161" s="19" t="s">
        <v>12</v>
      </c>
      <c r="K161" s="19" t="s">
        <v>45</v>
      </c>
      <c r="L161" s="13">
        <v>3.48</v>
      </c>
      <c r="M161" s="14" t="s">
        <v>598</v>
      </c>
      <c r="N161" s="14" t="s">
        <v>593</v>
      </c>
      <c r="O161" s="4">
        <v>42867</v>
      </c>
    </row>
    <row r="162" spans="1:15">
      <c r="A162" s="7">
        <v>101559024</v>
      </c>
      <c r="B162" s="7">
        <v>5.22</v>
      </c>
      <c r="C162" s="18" t="s">
        <v>407</v>
      </c>
      <c r="D162" s="19" t="s">
        <v>11</v>
      </c>
      <c r="E162" s="20">
        <v>3.0301369863013701</v>
      </c>
      <c r="F162" s="21">
        <v>5.2709999999999999</v>
      </c>
      <c r="G162" s="21">
        <v>-5.1000000000000156</v>
      </c>
      <c r="H162" s="21">
        <v>5.2385000000000002</v>
      </c>
      <c r="I162" s="21">
        <v>3.2499999999999751</v>
      </c>
      <c r="J162" s="19" t="s">
        <v>12</v>
      </c>
      <c r="K162" s="19" t="s">
        <v>45</v>
      </c>
      <c r="L162" s="13">
        <v>4.8</v>
      </c>
      <c r="M162" s="14" t="s">
        <v>105</v>
      </c>
      <c r="N162" s="14" t="s">
        <v>59</v>
      </c>
      <c r="O162" s="4">
        <v>42867</v>
      </c>
    </row>
    <row r="163" spans="1:15">
      <c r="A163" s="7">
        <v>101559024</v>
      </c>
      <c r="B163" s="7">
        <v>5.22</v>
      </c>
      <c r="C163" s="18" t="s">
        <v>407</v>
      </c>
      <c r="D163" s="19" t="s">
        <v>11</v>
      </c>
      <c r="E163" s="20">
        <v>3.0301369863013701</v>
      </c>
      <c r="F163" s="21">
        <v>5.2709999999999999</v>
      </c>
      <c r="G163" s="21">
        <v>-5.1000000000000156</v>
      </c>
      <c r="H163" s="21">
        <v>5.2385000000000002</v>
      </c>
      <c r="I163" s="21">
        <v>3.2499999999999751</v>
      </c>
      <c r="J163" s="19" t="s">
        <v>12</v>
      </c>
      <c r="K163" s="19" t="s">
        <v>45</v>
      </c>
      <c r="L163" s="13">
        <v>4.8</v>
      </c>
      <c r="M163" s="14" t="s">
        <v>105</v>
      </c>
      <c r="N163" s="14" t="s">
        <v>59</v>
      </c>
      <c r="O163" s="4">
        <v>42867</v>
      </c>
    </row>
    <row r="164" spans="1:15">
      <c r="A164" s="7">
        <v>124570</v>
      </c>
      <c r="B164" s="7">
        <v>5.21</v>
      </c>
      <c r="C164" s="18" t="s">
        <v>857</v>
      </c>
      <c r="D164" s="19" t="s">
        <v>25</v>
      </c>
      <c r="E164" s="20">
        <v>3.8027397260273972</v>
      </c>
      <c r="F164" s="21">
        <v>5.2149000000000001</v>
      </c>
      <c r="G164" s="21">
        <v>-0.49000000000001265</v>
      </c>
      <c r="H164" s="21">
        <v>5.1718000000000002</v>
      </c>
      <c r="I164" s="21">
        <v>4.3099999999999916</v>
      </c>
      <c r="J164" s="19" t="s">
        <v>12</v>
      </c>
      <c r="K164" s="19" t="s">
        <v>52</v>
      </c>
      <c r="L164" s="13">
        <v>6.5</v>
      </c>
      <c r="M164" s="14" t="s">
        <v>243</v>
      </c>
      <c r="N164" s="14" t="s">
        <v>353</v>
      </c>
      <c r="O164" s="4">
        <v>42867</v>
      </c>
    </row>
    <row r="165" spans="1:15">
      <c r="A165" s="7" t="s">
        <v>841</v>
      </c>
      <c r="B165" s="7">
        <v>5.2</v>
      </c>
      <c r="C165" s="18" t="s">
        <v>842</v>
      </c>
      <c r="D165" s="19" t="s">
        <v>11</v>
      </c>
      <c r="E165" s="20">
        <v>4.1342465753424653</v>
      </c>
      <c r="F165" s="21">
        <v>5.2145000000000001</v>
      </c>
      <c r="G165" s="21">
        <v>-1.4499999999999957</v>
      </c>
      <c r="H165" s="21">
        <v>5.1539999999999999</v>
      </c>
      <c r="I165" s="21">
        <v>6.050000000000022</v>
      </c>
      <c r="J165" s="19" t="s">
        <v>12</v>
      </c>
      <c r="K165" s="19" t="s">
        <v>121</v>
      </c>
      <c r="L165" s="13">
        <v>3.38</v>
      </c>
      <c r="M165" s="14" t="s">
        <v>427</v>
      </c>
      <c r="N165" s="14" t="s">
        <v>401</v>
      </c>
      <c r="O165" s="4">
        <v>42867</v>
      </c>
    </row>
    <row r="166" spans="1:15">
      <c r="A166" s="7" t="s">
        <v>841</v>
      </c>
      <c r="B166" s="7">
        <v>5.2</v>
      </c>
      <c r="C166" s="18" t="s">
        <v>842</v>
      </c>
      <c r="D166" s="19" t="s">
        <v>11</v>
      </c>
      <c r="E166" s="20">
        <v>4.1342465753424653</v>
      </c>
      <c r="F166" s="21">
        <v>5.2145000000000001</v>
      </c>
      <c r="G166" s="21">
        <v>-1.4499999999999957</v>
      </c>
      <c r="H166" s="21">
        <v>5.1539999999999999</v>
      </c>
      <c r="I166" s="21">
        <v>6.050000000000022</v>
      </c>
      <c r="J166" s="19" t="s">
        <v>12</v>
      </c>
      <c r="K166" s="19" t="s">
        <v>121</v>
      </c>
      <c r="L166" s="13">
        <v>3.38</v>
      </c>
      <c r="M166" s="14" t="s">
        <v>427</v>
      </c>
      <c r="N166" s="14" t="s">
        <v>401</v>
      </c>
      <c r="O166" s="4">
        <v>42867</v>
      </c>
    </row>
    <row r="167" spans="1:15">
      <c r="A167" s="7" t="s">
        <v>291</v>
      </c>
      <c r="B167" s="7">
        <v>5.2</v>
      </c>
      <c r="C167" s="18" t="s">
        <v>292</v>
      </c>
      <c r="D167" s="19" t="s">
        <v>11</v>
      </c>
      <c r="E167" s="20">
        <v>3.0465753424657533</v>
      </c>
      <c r="F167" s="21">
        <v>5.2340999999999998</v>
      </c>
      <c r="G167" s="21">
        <v>-3.4099999999999575</v>
      </c>
      <c r="H167" s="21">
        <v>5.2137000000000002</v>
      </c>
      <c r="I167" s="21">
        <v>2.039999999999953</v>
      </c>
      <c r="J167" s="19" t="s">
        <v>12</v>
      </c>
      <c r="K167" s="19" t="s">
        <v>121</v>
      </c>
      <c r="L167" s="13">
        <v>4.58</v>
      </c>
      <c r="M167" s="14" t="s">
        <v>47</v>
      </c>
      <c r="N167" s="14" t="s">
        <v>104</v>
      </c>
      <c r="O167" s="4">
        <v>42867</v>
      </c>
    </row>
    <row r="168" spans="1:15">
      <c r="A168" s="7">
        <v>11698865</v>
      </c>
      <c r="B168" s="7">
        <v>5.2</v>
      </c>
      <c r="C168" s="18" t="s">
        <v>721</v>
      </c>
      <c r="D168" s="19" t="s">
        <v>25</v>
      </c>
      <c r="E168" s="20">
        <v>0.27123287671232876</v>
      </c>
      <c r="F168" s="21">
        <v>5.1460999999999997</v>
      </c>
      <c r="G168" s="21">
        <v>5.3900000000000503</v>
      </c>
      <c r="H168" s="21">
        <v>5.1501999999999999</v>
      </c>
      <c r="I168" s="21">
        <v>-0.41000000000002146</v>
      </c>
      <c r="J168" s="19" t="s">
        <v>12</v>
      </c>
      <c r="K168" s="19" t="s">
        <v>13</v>
      </c>
      <c r="L168" s="13">
        <v>3.67</v>
      </c>
      <c r="M168" s="14" t="s">
        <v>595</v>
      </c>
      <c r="N168" s="14" t="s">
        <v>586</v>
      </c>
      <c r="O168" s="4">
        <v>42867</v>
      </c>
    </row>
    <row r="169" spans="1:15">
      <c r="A169" s="7">
        <v>11698865</v>
      </c>
      <c r="B169" s="7">
        <v>5.2</v>
      </c>
      <c r="C169" s="18" t="s">
        <v>721</v>
      </c>
      <c r="D169" s="19" t="s">
        <v>25</v>
      </c>
      <c r="E169" s="20">
        <v>0.27123287671232876</v>
      </c>
      <c r="F169" s="21">
        <v>5.1460999999999997</v>
      </c>
      <c r="G169" s="21">
        <v>5.3900000000000503</v>
      </c>
      <c r="H169" s="21">
        <v>5.1501999999999999</v>
      </c>
      <c r="I169" s="21">
        <v>-0.41000000000002146</v>
      </c>
      <c r="J169" s="19" t="s">
        <v>12</v>
      </c>
      <c r="K169" s="19" t="s">
        <v>13</v>
      </c>
      <c r="L169" s="13">
        <v>3.67</v>
      </c>
      <c r="M169" s="14" t="s">
        <v>595</v>
      </c>
      <c r="N169" s="14" t="s">
        <v>586</v>
      </c>
      <c r="O169" s="4">
        <v>42867</v>
      </c>
    </row>
    <row r="170" spans="1:15">
      <c r="A170" s="7">
        <v>11698865</v>
      </c>
      <c r="B170" s="7">
        <v>5.2</v>
      </c>
      <c r="C170" s="18" t="s">
        <v>721</v>
      </c>
      <c r="D170" s="19" t="s">
        <v>25</v>
      </c>
      <c r="E170" s="20">
        <v>0.27123287671232876</v>
      </c>
      <c r="F170" s="21">
        <v>5.1460999999999997</v>
      </c>
      <c r="G170" s="21">
        <v>5.3900000000000503</v>
      </c>
      <c r="H170" s="21">
        <v>5.1501999999999999</v>
      </c>
      <c r="I170" s="21">
        <v>-0.41000000000002146</v>
      </c>
      <c r="J170" s="19" t="s">
        <v>12</v>
      </c>
      <c r="K170" s="19" t="s">
        <v>13</v>
      </c>
      <c r="L170" s="13">
        <v>3.67</v>
      </c>
      <c r="M170" s="14" t="s">
        <v>595</v>
      </c>
      <c r="N170" s="14" t="s">
        <v>586</v>
      </c>
      <c r="O170" s="4">
        <v>42867</v>
      </c>
    </row>
    <row r="171" spans="1:15">
      <c r="A171" s="7">
        <v>136777</v>
      </c>
      <c r="B171" s="7">
        <v>5.2</v>
      </c>
      <c r="C171" s="18" t="s">
        <v>709</v>
      </c>
      <c r="D171" s="19" t="s">
        <v>11</v>
      </c>
      <c r="E171" s="20">
        <v>4.4493150684931511</v>
      </c>
      <c r="F171" s="21">
        <v>5.1731999999999996</v>
      </c>
      <c r="G171" s="21">
        <v>2.6800000000000601</v>
      </c>
      <c r="H171" s="21">
        <v>5.1496000000000004</v>
      </c>
      <c r="I171" s="21">
        <v>2.3599999999999177</v>
      </c>
      <c r="J171" s="19" t="s">
        <v>17</v>
      </c>
      <c r="K171" s="19" t="s">
        <v>121</v>
      </c>
      <c r="L171" s="13">
        <v>3.1</v>
      </c>
      <c r="M171" s="14" t="s">
        <v>567</v>
      </c>
      <c r="N171" s="14" t="s">
        <v>543</v>
      </c>
      <c r="O171" s="4">
        <v>42867</v>
      </c>
    </row>
    <row r="172" spans="1:15">
      <c r="A172" s="7">
        <v>101654100</v>
      </c>
      <c r="B172" s="7">
        <v>5.19</v>
      </c>
      <c r="C172" s="18" t="s">
        <v>613</v>
      </c>
      <c r="D172" s="19" t="s">
        <v>11</v>
      </c>
      <c r="E172" s="20">
        <v>4.4958904109589044</v>
      </c>
      <c r="F172" s="21">
        <v>5.1883999999999997</v>
      </c>
      <c r="G172" s="21">
        <v>0.1600000000000712</v>
      </c>
      <c r="H172" s="21">
        <v>5.1654999999999998</v>
      </c>
      <c r="I172" s="21">
        <v>2.289999999999992</v>
      </c>
      <c r="J172" s="19" t="s">
        <v>17</v>
      </c>
      <c r="K172" s="19" t="s">
        <v>45</v>
      </c>
      <c r="L172" s="13">
        <v>3.28</v>
      </c>
      <c r="M172" s="14" t="s">
        <v>572</v>
      </c>
      <c r="N172" s="14" t="s">
        <v>567</v>
      </c>
      <c r="O172" s="4">
        <v>42867</v>
      </c>
    </row>
    <row r="173" spans="1:15">
      <c r="A173" s="7">
        <v>101360017</v>
      </c>
      <c r="B173" s="7">
        <v>5.17</v>
      </c>
      <c r="C173" s="18" t="s">
        <v>207</v>
      </c>
      <c r="D173" s="19" t="s">
        <v>11</v>
      </c>
      <c r="E173" s="20">
        <v>1.4931506849315068</v>
      </c>
      <c r="F173" s="21">
        <v>5.1848000000000001</v>
      </c>
      <c r="G173" s="21">
        <v>-1.4800000000000146</v>
      </c>
      <c r="H173" s="21">
        <v>5.2794999999999996</v>
      </c>
      <c r="I173" s="21">
        <v>-9.4699999999999562</v>
      </c>
      <c r="J173" s="19" t="s">
        <v>12</v>
      </c>
      <c r="K173" s="19" t="s">
        <v>45</v>
      </c>
      <c r="L173" s="13">
        <v>5.74</v>
      </c>
      <c r="M173" s="14" t="s">
        <v>208</v>
      </c>
      <c r="N173" s="14" t="s">
        <v>247</v>
      </c>
      <c r="O173" s="4">
        <v>42867</v>
      </c>
    </row>
    <row r="174" spans="1:15">
      <c r="A174" s="7">
        <v>101360017</v>
      </c>
      <c r="B174" s="7">
        <v>5.17</v>
      </c>
      <c r="C174" s="18" t="s">
        <v>207</v>
      </c>
      <c r="D174" s="19" t="s">
        <v>11</v>
      </c>
      <c r="E174" s="20">
        <v>1.4931506849315068</v>
      </c>
      <c r="F174" s="21">
        <v>5.1848000000000001</v>
      </c>
      <c r="G174" s="21">
        <v>-1.4800000000000146</v>
      </c>
      <c r="H174" s="21">
        <v>5.2794999999999996</v>
      </c>
      <c r="I174" s="21">
        <v>-9.4699999999999562</v>
      </c>
      <c r="J174" s="19" t="s">
        <v>12</v>
      </c>
      <c r="K174" s="19" t="s">
        <v>45</v>
      </c>
      <c r="L174" s="13">
        <v>5.74</v>
      </c>
      <c r="M174" s="14" t="s">
        <v>208</v>
      </c>
      <c r="N174" s="14" t="s">
        <v>247</v>
      </c>
      <c r="O174" s="4">
        <v>42867</v>
      </c>
    </row>
    <row r="175" spans="1:15">
      <c r="A175" s="7">
        <v>101555035</v>
      </c>
      <c r="B175" s="7">
        <v>5.16</v>
      </c>
      <c r="C175" s="18" t="s">
        <v>715</v>
      </c>
      <c r="D175" s="19" t="s">
        <v>11</v>
      </c>
      <c r="E175" s="20">
        <v>5.6</v>
      </c>
      <c r="F175" s="21">
        <v>5.15</v>
      </c>
      <c r="G175" s="21">
        <v>0.99999999999997868</v>
      </c>
      <c r="H175" s="21">
        <v>5.1801000000000004</v>
      </c>
      <c r="I175" s="21">
        <v>-3.0100000000000016</v>
      </c>
      <c r="J175" s="19" t="s">
        <v>12</v>
      </c>
      <c r="K175" s="19" t="s">
        <v>45</v>
      </c>
      <c r="L175" s="13">
        <v>3.97</v>
      </c>
      <c r="M175" s="14" t="s">
        <v>187</v>
      </c>
      <c r="N175" s="14" t="s">
        <v>157</v>
      </c>
      <c r="O175" s="4">
        <v>42867</v>
      </c>
    </row>
    <row r="176" spans="1:15">
      <c r="A176" s="7">
        <v>101554090</v>
      </c>
      <c r="B176" s="7">
        <v>5.16</v>
      </c>
      <c r="C176" s="18" t="s">
        <v>871</v>
      </c>
      <c r="D176" s="19" t="s">
        <v>11</v>
      </c>
      <c r="E176" s="20">
        <v>3.56986301369863</v>
      </c>
      <c r="F176" s="21">
        <v>5.1616999999999997</v>
      </c>
      <c r="G176" s="21">
        <v>-0.16999999999995907</v>
      </c>
      <c r="H176" s="21">
        <v>5.1254</v>
      </c>
      <c r="I176" s="21">
        <v>3.6299999999999777</v>
      </c>
      <c r="J176" s="19" t="s">
        <v>12</v>
      </c>
      <c r="K176" s="19" t="s">
        <v>45</v>
      </c>
      <c r="L176" s="13">
        <v>3.69</v>
      </c>
      <c r="M176" s="14" t="s">
        <v>108</v>
      </c>
      <c r="N176" s="14" t="s">
        <v>137</v>
      </c>
      <c r="O176" s="4">
        <v>42867</v>
      </c>
    </row>
    <row r="177" spans="1:15">
      <c r="A177" s="7">
        <v>101554090</v>
      </c>
      <c r="B177" s="7">
        <v>5.16</v>
      </c>
      <c r="C177" s="18" t="s">
        <v>871</v>
      </c>
      <c r="D177" s="19" t="s">
        <v>11</v>
      </c>
      <c r="E177" s="20">
        <v>3.56986301369863</v>
      </c>
      <c r="F177" s="21">
        <v>5.1616999999999997</v>
      </c>
      <c r="G177" s="21">
        <v>-0.16999999999995907</v>
      </c>
      <c r="H177" s="21">
        <v>5.1254</v>
      </c>
      <c r="I177" s="21">
        <v>3.6299999999999777</v>
      </c>
      <c r="J177" s="19" t="s">
        <v>12</v>
      </c>
      <c r="K177" s="19" t="s">
        <v>45</v>
      </c>
      <c r="L177" s="13">
        <v>3.69</v>
      </c>
      <c r="M177" s="14" t="s">
        <v>108</v>
      </c>
      <c r="N177" s="14" t="s">
        <v>137</v>
      </c>
      <c r="O177" s="4">
        <v>42867</v>
      </c>
    </row>
    <row r="178" spans="1:15">
      <c r="A178" s="7">
        <v>101551108</v>
      </c>
      <c r="B178" s="7">
        <v>5.16</v>
      </c>
      <c r="C178" s="18" t="s">
        <v>978</v>
      </c>
      <c r="D178" s="19" t="s">
        <v>11</v>
      </c>
      <c r="E178" s="20">
        <v>3.6219178082191781</v>
      </c>
      <c r="F178" s="21">
        <v>5.1626000000000003</v>
      </c>
      <c r="G178" s="21">
        <v>-0.26000000000001577</v>
      </c>
      <c r="H178" s="21">
        <v>5.1268000000000002</v>
      </c>
      <c r="I178" s="21">
        <v>3.5800000000000054</v>
      </c>
      <c r="J178" s="19" t="s">
        <v>12</v>
      </c>
      <c r="K178" s="19" t="s">
        <v>45</v>
      </c>
      <c r="L178" s="13">
        <v>3.6</v>
      </c>
      <c r="M178" s="14" t="s">
        <v>213</v>
      </c>
      <c r="N178" s="14" t="s">
        <v>125</v>
      </c>
      <c r="O178" s="4">
        <v>42867</v>
      </c>
    </row>
    <row r="179" spans="1:15">
      <c r="A179" s="7" t="s">
        <v>941</v>
      </c>
      <c r="B179" s="7">
        <v>5.15</v>
      </c>
      <c r="C179" s="18" t="s">
        <v>857</v>
      </c>
      <c r="D179" s="19" t="s">
        <v>25</v>
      </c>
      <c r="E179" s="20">
        <v>3.8027397260273972</v>
      </c>
      <c r="F179" s="21">
        <v>5.2149000000000001</v>
      </c>
      <c r="G179" s="21">
        <v>-6.4899999999999736</v>
      </c>
      <c r="H179" s="21">
        <v>5.1718000000000002</v>
      </c>
      <c r="I179" s="21">
        <v>4.3099999999999916</v>
      </c>
      <c r="J179" s="19" t="s">
        <v>12</v>
      </c>
      <c r="K179" s="19" t="s">
        <v>52</v>
      </c>
      <c r="L179" s="13">
        <v>6.5</v>
      </c>
      <c r="M179" s="14" t="s">
        <v>243</v>
      </c>
      <c r="N179" s="14" t="s">
        <v>353</v>
      </c>
      <c r="O179" s="4">
        <v>42867</v>
      </c>
    </row>
    <row r="180" spans="1:15">
      <c r="A180" s="7">
        <v>41755004</v>
      </c>
      <c r="B180" s="7">
        <v>5.14</v>
      </c>
      <c r="C180" s="18" t="s">
        <v>979</v>
      </c>
      <c r="D180" s="19" t="s">
        <v>11</v>
      </c>
      <c r="E180" s="20">
        <v>0.8246575342465754</v>
      </c>
      <c r="F180" s="21">
        <v>5.1418999999999997</v>
      </c>
      <c r="G180" s="21">
        <v>-0.19000000000000128</v>
      </c>
      <c r="H180" s="21">
        <v>5.0869</v>
      </c>
      <c r="I180" s="21">
        <v>5.4999999999999716</v>
      </c>
      <c r="J180" s="19" t="s">
        <v>12</v>
      </c>
      <c r="K180" s="19" t="s">
        <v>13</v>
      </c>
      <c r="L180" s="13">
        <v>4.3</v>
      </c>
      <c r="M180" s="14" t="s">
        <v>758</v>
      </c>
      <c r="N180" s="14" t="s">
        <v>747</v>
      </c>
      <c r="O180" s="4">
        <v>42867</v>
      </c>
    </row>
    <row r="181" spans="1:15">
      <c r="A181" s="7">
        <v>41756007</v>
      </c>
      <c r="B181" s="7">
        <v>5.13</v>
      </c>
      <c r="C181" s="18" t="s">
        <v>884</v>
      </c>
      <c r="D181" s="19" t="s">
        <v>11</v>
      </c>
      <c r="E181" s="20">
        <v>0.9452054794520548</v>
      </c>
      <c r="F181" s="21">
        <v>5.1352000000000002</v>
      </c>
      <c r="G181" s="21">
        <v>-0.52000000000003155</v>
      </c>
      <c r="H181" s="21">
        <v>5.0869</v>
      </c>
      <c r="I181" s="21">
        <v>4.8300000000000232</v>
      </c>
      <c r="J181" s="19" t="s">
        <v>12</v>
      </c>
      <c r="K181" s="19" t="s">
        <v>13</v>
      </c>
      <c r="L181" s="13">
        <v>4.82</v>
      </c>
      <c r="M181" s="14" t="s">
        <v>859</v>
      </c>
      <c r="N181" s="14" t="s">
        <v>854</v>
      </c>
      <c r="O181" s="4">
        <v>42867</v>
      </c>
    </row>
    <row r="182" spans="1:15">
      <c r="A182" s="7">
        <v>101575004</v>
      </c>
      <c r="B182" s="7">
        <v>5.12</v>
      </c>
      <c r="C182" s="18" t="s">
        <v>224</v>
      </c>
      <c r="D182" s="19" t="s">
        <v>11</v>
      </c>
      <c r="E182" s="20">
        <v>2.9643835616438357</v>
      </c>
      <c r="F182" s="21">
        <v>5.1238000000000001</v>
      </c>
      <c r="G182" s="21">
        <v>-0.38000000000000256</v>
      </c>
      <c r="H182" s="21">
        <v>5.0829000000000004</v>
      </c>
      <c r="I182" s="21">
        <v>4.0899999999999714</v>
      </c>
      <c r="J182" s="19" t="s">
        <v>12</v>
      </c>
      <c r="K182" s="19" t="s">
        <v>45</v>
      </c>
      <c r="L182" s="13">
        <v>4.99</v>
      </c>
      <c r="M182" s="14" t="s">
        <v>217</v>
      </c>
      <c r="N182" s="14" t="s">
        <v>236</v>
      </c>
      <c r="O182" s="4">
        <v>42867</v>
      </c>
    </row>
    <row r="183" spans="1:15">
      <c r="A183" s="7" t="s">
        <v>942</v>
      </c>
      <c r="B183" s="7">
        <v>5.1100000000000003</v>
      </c>
      <c r="C183" s="18" t="s">
        <v>552</v>
      </c>
      <c r="D183" s="19" t="s">
        <v>11</v>
      </c>
      <c r="E183" s="20">
        <v>9.2739726027397253</v>
      </c>
      <c r="F183" s="21">
        <v>5.1012000000000004</v>
      </c>
      <c r="G183" s="21">
        <v>0.8799999999999919</v>
      </c>
      <c r="H183" s="21">
        <v>5.0777999999999999</v>
      </c>
      <c r="I183" s="21">
        <v>2.3400000000000531</v>
      </c>
      <c r="J183" s="19" t="s">
        <v>12</v>
      </c>
      <c r="K183" s="19" t="s">
        <v>121</v>
      </c>
      <c r="L183" s="13">
        <v>3.55</v>
      </c>
      <c r="M183" s="14" t="s">
        <v>512</v>
      </c>
      <c r="N183" s="14" t="s">
        <v>448</v>
      </c>
      <c r="O183" s="4">
        <v>42867</v>
      </c>
    </row>
    <row r="184" spans="1:15">
      <c r="A184" s="7" t="s">
        <v>942</v>
      </c>
      <c r="B184" s="7">
        <v>5.1100000000000003</v>
      </c>
      <c r="C184" s="18" t="s">
        <v>552</v>
      </c>
      <c r="D184" s="19" t="s">
        <v>11</v>
      </c>
      <c r="E184" s="20">
        <v>9.2739726027397253</v>
      </c>
      <c r="F184" s="21">
        <v>5.1012000000000004</v>
      </c>
      <c r="G184" s="21">
        <v>0.8799999999999919</v>
      </c>
      <c r="H184" s="21">
        <v>5.0777999999999999</v>
      </c>
      <c r="I184" s="21">
        <v>2.3400000000000531</v>
      </c>
      <c r="J184" s="19" t="s">
        <v>12</v>
      </c>
      <c r="K184" s="19" t="s">
        <v>121</v>
      </c>
      <c r="L184" s="13">
        <v>3.55</v>
      </c>
      <c r="M184" s="14" t="s">
        <v>512</v>
      </c>
      <c r="N184" s="14" t="s">
        <v>448</v>
      </c>
      <c r="O184" s="4">
        <v>42867</v>
      </c>
    </row>
    <row r="185" spans="1:15">
      <c r="A185" s="7" t="s">
        <v>792</v>
      </c>
      <c r="B185" s="7">
        <v>5.1100000000000003</v>
      </c>
      <c r="C185" s="18" t="s">
        <v>790</v>
      </c>
      <c r="D185" s="19" t="s">
        <v>11</v>
      </c>
      <c r="E185" s="20">
        <v>3.6821917808219178</v>
      </c>
      <c r="F185" s="21">
        <v>5.3653000000000004</v>
      </c>
      <c r="G185" s="21">
        <v>-25.530000000000008</v>
      </c>
      <c r="H185" s="21">
        <v>5.3498999999999999</v>
      </c>
      <c r="I185" s="21">
        <v>1.5400000000000524</v>
      </c>
      <c r="J185" s="19" t="s">
        <v>28</v>
      </c>
      <c r="K185" s="19" t="s">
        <v>121</v>
      </c>
      <c r="L185" s="13">
        <v>3.2</v>
      </c>
      <c r="M185" s="14" t="s">
        <v>57</v>
      </c>
      <c r="N185" s="14" t="s">
        <v>35</v>
      </c>
      <c r="O185" s="4">
        <v>42867</v>
      </c>
    </row>
    <row r="186" spans="1:15">
      <c r="A186" s="7">
        <v>101461004</v>
      </c>
      <c r="B186" s="7">
        <v>5.1100000000000003</v>
      </c>
      <c r="C186" s="18" t="s">
        <v>980</v>
      </c>
      <c r="D186" s="19" t="s">
        <v>11</v>
      </c>
      <c r="E186" s="20">
        <v>1.8410958904109589</v>
      </c>
      <c r="F186" s="21">
        <v>5.1121999999999996</v>
      </c>
      <c r="G186" s="21">
        <v>-0.21999999999993136</v>
      </c>
      <c r="H186" s="21">
        <v>5.0632999999999999</v>
      </c>
      <c r="I186" s="21">
        <v>4.8899999999999721</v>
      </c>
      <c r="J186" s="19" t="s">
        <v>12</v>
      </c>
      <c r="K186" s="19" t="s">
        <v>45</v>
      </c>
      <c r="L186" s="13">
        <v>6.4</v>
      </c>
      <c r="M186" s="14" t="s">
        <v>116</v>
      </c>
      <c r="N186" s="14" t="s">
        <v>48</v>
      </c>
      <c r="O186" s="4">
        <v>42867</v>
      </c>
    </row>
    <row r="187" spans="1:15">
      <c r="A187" s="7">
        <v>101669005</v>
      </c>
      <c r="B187" s="7">
        <v>5.0999999999999996</v>
      </c>
      <c r="C187" s="18" t="s">
        <v>307</v>
      </c>
      <c r="D187" s="19" t="s">
        <v>11</v>
      </c>
      <c r="E187" s="20">
        <v>3.8356164383561642</v>
      </c>
      <c r="F187" s="21">
        <v>5.0696000000000003</v>
      </c>
      <c r="G187" s="21">
        <v>3.0399999999999316</v>
      </c>
      <c r="H187" s="21">
        <v>5.0289999999999999</v>
      </c>
      <c r="I187" s="21">
        <v>4.0600000000000414</v>
      </c>
      <c r="J187" s="19" t="s">
        <v>12</v>
      </c>
      <c r="K187" s="19" t="s">
        <v>45</v>
      </c>
      <c r="L187" s="13">
        <v>3.44</v>
      </c>
      <c r="M187" s="14" t="s">
        <v>37</v>
      </c>
      <c r="N187" s="14" t="s">
        <v>38</v>
      </c>
      <c r="O187" s="4">
        <v>42867</v>
      </c>
    </row>
    <row r="188" spans="1:15">
      <c r="A188" s="7">
        <v>101559004</v>
      </c>
      <c r="B188" s="7">
        <v>5.0999999999999996</v>
      </c>
      <c r="C188" s="18" t="s">
        <v>614</v>
      </c>
      <c r="D188" s="19" t="s">
        <v>11</v>
      </c>
      <c r="E188" s="20">
        <v>4.7726027397260271</v>
      </c>
      <c r="F188" s="21">
        <v>5.1071999999999997</v>
      </c>
      <c r="G188" s="21">
        <v>-0.72000000000000952</v>
      </c>
      <c r="H188" s="21">
        <v>5.0801999999999996</v>
      </c>
      <c r="I188" s="21">
        <v>2.7000000000000135</v>
      </c>
      <c r="J188" s="19" t="s">
        <v>12</v>
      </c>
      <c r="K188" s="19" t="s">
        <v>45</v>
      </c>
      <c r="L188" s="13">
        <v>5.19</v>
      </c>
      <c r="M188" s="14" t="s">
        <v>457</v>
      </c>
      <c r="N188" s="14" t="s">
        <v>378</v>
      </c>
      <c r="O188" s="4">
        <v>42867</v>
      </c>
    </row>
    <row r="189" spans="1:15">
      <c r="A189" s="7">
        <v>101559004</v>
      </c>
      <c r="B189" s="7">
        <v>5.0999999999999996</v>
      </c>
      <c r="C189" s="18" t="s">
        <v>614</v>
      </c>
      <c r="D189" s="19" t="s">
        <v>11</v>
      </c>
      <c r="E189" s="20">
        <v>4.7726027397260271</v>
      </c>
      <c r="F189" s="21">
        <v>5.1071999999999997</v>
      </c>
      <c r="G189" s="21">
        <v>-0.72000000000000952</v>
      </c>
      <c r="H189" s="21">
        <v>5.0801999999999996</v>
      </c>
      <c r="I189" s="21">
        <v>2.7000000000000135</v>
      </c>
      <c r="J189" s="19" t="s">
        <v>12</v>
      </c>
      <c r="K189" s="19" t="s">
        <v>45</v>
      </c>
      <c r="L189" s="13">
        <v>5.19</v>
      </c>
      <c r="M189" s="14" t="s">
        <v>457</v>
      </c>
      <c r="N189" s="14" t="s">
        <v>378</v>
      </c>
      <c r="O189" s="4">
        <v>42867</v>
      </c>
    </row>
    <row r="190" spans="1:15">
      <c r="A190" s="7">
        <v>101556032</v>
      </c>
      <c r="B190" s="7">
        <v>5.0999999999999996</v>
      </c>
      <c r="C190" s="18" t="s">
        <v>320</v>
      </c>
      <c r="D190" s="19" t="s">
        <v>11</v>
      </c>
      <c r="E190" s="20">
        <v>3.2630136986301368</v>
      </c>
      <c r="F190" s="21">
        <v>5.0689000000000002</v>
      </c>
      <c r="G190" s="21">
        <v>3.1099999999999461</v>
      </c>
      <c r="H190" s="21">
        <v>5.0353000000000003</v>
      </c>
      <c r="I190" s="21">
        <v>3.3599999999999852</v>
      </c>
      <c r="J190" s="19" t="s">
        <v>12</v>
      </c>
      <c r="K190" s="19" t="s">
        <v>45</v>
      </c>
      <c r="L190" s="13">
        <v>4.5599999999999996</v>
      </c>
      <c r="M190" s="14" t="s">
        <v>100</v>
      </c>
      <c r="N190" s="14" t="s">
        <v>101</v>
      </c>
      <c r="O190" s="4">
        <v>42867</v>
      </c>
    </row>
    <row r="191" spans="1:15">
      <c r="A191" s="7">
        <v>101554047</v>
      </c>
      <c r="B191" s="7">
        <v>5.0999999999999996</v>
      </c>
      <c r="C191" s="18" t="s">
        <v>532</v>
      </c>
      <c r="D191" s="19" t="s">
        <v>11</v>
      </c>
      <c r="E191" s="20">
        <v>1.1808219178082191</v>
      </c>
      <c r="F191" s="21">
        <v>4.9584999999999999</v>
      </c>
      <c r="G191" s="21">
        <v>14.149999999999974</v>
      </c>
      <c r="H191" s="21">
        <v>5.0026000000000002</v>
      </c>
      <c r="I191" s="21">
        <v>-4.410000000000025</v>
      </c>
      <c r="J191" s="19" t="s">
        <v>17</v>
      </c>
      <c r="K191" s="19" t="s">
        <v>45</v>
      </c>
      <c r="L191" s="13">
        <v>4.3600000000000003</v>
      </c>
      <c r="M191" s="14" t="s">
        <v>135</v>
      </c>
      <c r="N191" s="14" t="s">
        <v>127</v>
      </c>
      <c r="O191" s="4">
        <v>42867</v>
      </c>
    </row>
    <row r="192" spans="1:15">
      <c r="A192" s="7">
        <v>101554047</v>
      </c>
      <c r="B192" s="7">
        <v>5.0999999999999996</v>
      </c>
      <c r="C192" s="18" t="s">
        <v>532</v>
      </c>
      <c r="D192" s="19" t="s">
        <v>11</v>
      </c>
      <c r="E192" s="20">
        <v>1.1808219178082191</v>
      </c>
      <c r="F192" s="21">
        <v>4.9584999999999999</v>
      </c>
      <c r="G192" s="21">
        <v>14.149999999999974</v>
      </c>
      <c r="H192" s="21">
        <v>5.0026000000000002</v>
      </c>
      <c r="I192" s="21">
        <v>-4.410000000000025</v>
      </c>
      <c r="J192" s="19" t="s">
        <v>17</v>
      </c>
      <c r="K192" s="19" t="s">
        <v>45</v>
      </c>
      <c r="L192" s="13">
        <v>4.3600000000000003</v>
      </c>
      <c r="M192" s="14" t="s">
        <v>135</v>
      </c>
      <c r="N192" s="14" t="s">
        <v>127</v>
      </c>
      <c r="O192" s="4">
        <v>42867</v>
      </c>
    </row>
    <row r="193" spans="1:15">
      <c r="A193" s="7">
        <v>101554047</v>
      </c>
      <c r="B193" s="7">
        <v>5.0999999999999996</v>
      </c>
      <c r="C193" s="18" t="s">
        <v>532</v>
      </c>
      <c r="D193" s="19" t="s">
        <v>11</v>
      </c>
      <c r="E193" s="20">
        <v>1.1808219178082191</v>
      </c>
      <c r="F193" s="21">
        <v>4.9584999999999999</v>
      </c>
      <c r="G193" s="21">
        <v>14.149999999999974</v>
      </c>
      <c r="H193" s="21">
        <v>5.0026000000000002</v>
      </c>
      <c r="I193" s="21">
        <v>-4.410000000000025</v>
      </c>
      <c r="J193" s="19" t="s">
        <v>17</v>
      </c>
      <c r="K193" s="19" t="s">
        <v>45</v>
      </c>
      <c r="L193" s="13">
        <v>4.3600000000000003</v>
      </c>
      <c r="M193" s="14" t="s">
        <v>135</v>
      </c>
      <c r="N193" s="14" t="s">
        <v>127</v>
      </c>
      <c r="O193" s="4">
        <v>42867</v>
      </c>
    </row>
    <row r="194" spans="1:15">
      <c r="A194" s="7">
        <v>41654052</v>
      </c>
      <c r="B194" s="7">
        <v>5.0999999999999996</v>
      </c>
      <c r="C194" s="18" t="s">
        <v>463</v>
      </c>
      <c r="D194" s="19" t="s">
        <v>25</v>
      </c>
      <c r="E194" s="20">
        <v>0.28219178082191781</v>
      </c>
      <c r="F194" s="21">
        <v>4.9051</v>
      </c>
      <c r="G194" s="21">
        <v>19.489999999999963</v>
      </c>
      <c r="H194" s="21">
        <v>4.9086999999999996</v>
      </c>
      <c r="I194" s="21">
        <v>-0.35999999999996035</v>
      </c>
      <c r="J194" s="19" t="s">
        <v>17</v>
      </c>
      <c r="K194" s="19" t="s">
        <v>13</v>
      </c>
      <c r="L194" s="13">
        <v>3.4</v>
      </c>
      <c r="M194" s="14" t="s">
        <v>461</v>
      </c>
      <c r="N194" s="14" t="s">
        <v>456</v>
      </c>
      <c r="O194" s="4">
        <v>42867</v>
      </c>
    </row>
    <row r="195" spans="1:15">
      <c r="A195" s="7">
        <v>41654052</v>
      </c>
      <c r="B195" s="7">
        <v>5.0999999999999996</v>
      </c>
      <c r="C195" s="18" t="s">
        <v>463</v>
      </c>
      <c r="D195" s="19" t="s">
        <v>25</v>
      </c>
      <c r="E195" s="20">
        <v>0.28219178082191781</v>
      </c>
      <c r="F195" s="21">
        <v>4.9051</v>
      </c>
      <c r="G195" s="21">
        <v>19.489999999999963</v>
      </c>
      <c r="H195" s="21">
        <v>4.9086999999999996</v>
      </c>
      <c r="I195" s="21">
        <v>-0.35999999999996035</v>
      </c>
      <c r="J195" s="19" t="s">
        <v>17</v>
      </c>
      <c r="K195" s="19" t="s">
        <v>13</v>
      </c>
      <c r="L195" s="13">
        <v>3.4</v>
      </c>
      <c r="M195" s="14" t="s">
        <v>461</v>
      </c>
      <c r="N195" s="14" t="s">
        <v>456</v>
      </c>
      <c r="O195" s="4">
        <v>42867</v>
      </c>
    </row>
    <row r="196" spans="1:15">
      <c r="A196" s="7">
        <v>41654052</v>
      </c>
      <c r="B196" s="7">
        <v>5.0999999999999996</v>
      </c>
      <c r="C196" s="18" t="s">
        <v>463</v>
      </c>
      <c r="D196" s="19" t="s">
        <v>25</v>
      </c>
      <c r="E196" s="20">
        <v>0.28219178082191781</v>
      </c>
      <c r="F196" s="21">
        <v>4.9051</v>
      </c>
      <c r="G196" s="21">
        <v>19.489999999999963</v>
      </c>
      <c r="H196" s="21">
        <v>4.9086999999999996</v>
      </c>
      <c r="I196" s="21">
        <v>-0.35999999999996035</v>
      </c>
      <c r="J196" s="19" t="s">
        <v>17</v>
      </c>
      <c r="K196" s="19" t="s">
        <v>13</v>
      </c>
      <c r="L196" s="13">
        <v>3.4</v>
      </c>
      <c r="M196" s="14" t="s">
        <v>461</v>
      </c>
      <c r="N196" s="14" t="s">
        <v>456</v>
      </c>
      <c r="O196" s="4">
        <v>42867</v>
      </c>
    </row>
    <row r="197" spans="1:15">
      <c r="A197" s="7" t="s">
        <v>661</v>
      </c>
      <c r="B197" s="7">
        <v>5.09</v>
      </c>
      <c r="C197" s="18" t="s">
        <v>663</v>
      </c>
      <c r="D197" s="19" t="s">
        <v>25</v>
      </c>
      <c r="E197" s="20">
        <v>2.2109589041095892</v>
      </c>
      <c r="F197" s="21">
        <v>5.1215999999999999</v>
      </c>
      <c r="G197" s="21">
        <v>-3.1600000000000072</v>
      </c>
      <c r="H197" s="21">
        <v>5.1097000000000001</v>
      </c>
      <c r="I197" s="21">
        <v>1.18999999999998</v>
      </c>
      <c r="J197" s="19" t="s">
        <v>12</v>
      </c>
      <c r="K197" s="19" t="s">
        <v>121</v>
      </c>
      <c r="L197" s="13">
        <v>3.1</v>
      </c>
      <c r="M197" s="14" t="s">
        <v>458</v>
      </c>
      <c r="N197" s="14" t="s">
        <v>434</v>
      </c>
      <c r="O197" s="4">
        <v>42867</v>
      </c>
    </row>
    <row r="198" spans="1:15">
      <c r="A198" s="7">
        <v>41662040</v>
      </c>
      <c r="B198" s="7">
        <v>5.08</v>
      </c>
      <c r="C198" s="18" t="s">
        <v>500</v>
      </c>
      <c r="D198" s="19" t="s">
        <v>11</v>
      </c>
      <c r="E198" s="20">
        <v>0.25205479452054796</v>
      </c>
      <c r="F198" s="21">
        <v>4.9962999999999997</v>
      </c>
      <c r="G198" s="21">
        <v>8.370000000000033</v>
      </c>
      <c r="H198" s="21">
        <v>4.9318999999999997</v>
      </c>
      <c r="I198" s="21">
        <v>6.4400000000000013</v>
      </c>
      <c r="J198" s="19" t="s">
        <v>12</v>
      </c>
      <c r="K198" s="19" t="s">
        <v>13</v>
      </c>
      <c r="L198" s="13">
        <v>3.07</v>
      </c>
      <c r="M198" s="14" t="s">
        <v>450</v>
      </c>
      <c r="N198" s="14" t="s">
        <v>443</v>
      </c>
      <c r="O198" s="4">
        <v>42867</v>
      </c>
    </row>
    <row r="199" spans="1:15">
      <c r="A199" s="7">
        <v>41662040</v>
      </c>
      <c r="B199" s="7">
        <v>5.08</v>
      </c>
      <c r="C199" s="18" t="s">
        <v>500</v>
      </c>
      <c r="D199" s="19" t="s">
        <v>11</v>
      </c>
      <c r="E199" s="20">
        <v>0.25205479452054796</v>
      </c>
      <c r="F199" s="21">
        <v>4.9962999999999997</v>
      </c>
      <c r="G199" s="21">
        <v>8.370000000000033</v>
      </c>
      <c r="H199" s="21">
        <v>4.9318999999999997</v>
      </c>
      <c r="I199" s="21">
        <v>6.4400000000000013</v>
      </c>
      <c r="J199" s="19" t="s">
        <v>12</v>
      </c>
      <c r="K199" s="19" t="s">
        <v>13</v>
      </c>
      <c r="L199" s="13">
        <v>3.07</v>
      </c>
      <c r="M199" s="14" t="s">
        <v>450</v>
      </c>
      <c r="N199" s="14" t="s">
        <v>443</v>
      </c>
      <c r="O199" s="4">
        <v>42867</v>
      </c>
    </row>
    <row r="200" spans="1:15">
      <c r="A200" s="7" t="s">
        <v>605</v>
      </c>
      <c r="B200" s="7">
        <v>5.07</v>
      </c>
      <c r="C200" s="18" t="s">
        <v>607</v>
      </c>
      <c r="D200" s="19" t="s">
        <v>11</v>
      </c>
      <c r="E200" s="20">
        <v>4.3863013698630136</v>
      </c>
      <c r="F200" s="21">
        <v>5.1200999999999999</v>
      </c>
      <c r="G200" s="21">
        <v>-5.0099999999999589</v>
      </c>
      <c r="H200" s="21">
        <v>5.0956000000000001</v>
      </c>
      <c r="I200" s="21">
        <v>2.4499999999999744</v>
      </c>
      <c r="J200" s="19" t="s">
        <v>17</v>
      </c>
      <c r="K200" s="19" t="s">
        <v>121</v>
      </c>
      <c r="L200" s="13">
        <v>3.17</v>
      </c>
      <c r="M200" s="14" t="s">
        <v>567</v>
      </c>
      <c r="N200" s="14" t="s">
        <v>516</v>
      </c>
      <c r="O200" s="4">
        <v>42867</v>
      </c>
    </row>
    <row r="201" spans="1:15">
      <c r="A201" s="7">
        <v>1382012</v>
      </c>
      <c r="B201" s="7">
        <v>5.07</v>
      </c>
      <c r="C201" s="18" t="s">
        <v>201</v>
      </c>
      <c r="D201" s="19" t="s">
        <v>25</v>
      </c>
      <c r="E201" s="20">
        <v>0.68219178082191778</v>
      </c>
      <c r="F201" s="21">
        <v>5.0518999999999998</v>
      </c>
      <c r="G201" s="21">
        <v>1.8100000000000449</v>
      </c>
      <c r="H201" s="21">
        <v>4.9882</v>
      </c>
      <c r="I201" s="21">
        <v>6.3699999999999868</v>
      </c>
      <c r="J201" s="19" t="s">
        <v>12</v>
      </c>
      <c r="K201" s="19" t="s">
        <v>45</v>
      </c>
      <c r="L201" s="13">
        <v>6.24</v>
      </c>
      <c r="M201" s="14" t="s">
        <v>202</v>
      </c>
      <c r="N201" s="14" t="s">
        <v>212</v>
      </c>
      <c r="O201" s="4">
        <v>42867</v>
      </c>
    </row>
    <row r="202" spans="1:15">
      <c r="A202" s="7" t="s">
        <v>943</v>
      </c>
      <c r="B202" s="7">
        <v>5.05</v>
      </c>
      <c r="C202" s="18" t="s">
        <v>750</v>
      </c>
      <c r="D202" s="19" t="s">
        <v>11</v>
      </c>
      <c r="E202" s="20">
        <v>4.1808219178082195</v>
      </c>
      <c r="F202" s="21">
        <v>5.1317000000000004</v>
      </c>
      <c r="G202" s="21">
        <v>-8.170000000000055</v>
      </c>
      <c r="H202" s="21">
        <v>5.1224999999999996</v>
      </c>
      <c r="I202" s="21">
        <v>0.92000000000007631</v>
      </c>
      <c r="J202" s="19" t="s">
        <v>12</v>
      </c>
      <c r="K202" s="19" t="s">
        <v>121</v>
      </c>
      <c r="L202" s="13">
        <v>3.45</v>
      </c>
      <c r="M202" s="14" t="s">
        <v>436</v>
      </c>
      <c r="N202" s="14" t="s">
        <v>417</v>
      </c>
      <c r="O202" s="4">
        <v>42867</v>
      </c>
    </row>
    <row r="203" spans="1:15">
      <c r="A203" s="7" t="s">
        <v>805</v>
      </c>
      <c r="B203" s="7">
        <v>5.05</v>
      </c>
      <c r="C203" s="18" t="s">
        <v>807</v>
      </c>
      <c r="D203" s="19" t="s">
        <v>11</v>
      </c>
      <c r="E203" s="20">
        <v>4.1589041095890407</v>
      </c>
      <c r="F203" s="21">
        <v>5.1718999999999999</v>
      </c>
      <c r="G203" s="21">
        <v>-12.190000000000012</v>
      </c>
      <c r="H203" s="21">
        <v>5.1375999999999999</v>
      </c>
      <c r="I203" s="21">
        <v>3.4299999999999997</v>
      </c>
      <c r="J203" s="19" t="s">
        <v>12</v>
      </c>
      <c r="K203" s="19" t="s">
        <v>121</v>
      </c>
      <c r="L203" s="13">
        <v>3.3</v>
      </c>
      <c r="M203" s="14" t="s">
        <v>434</v>
      </c>
      <c r="N203" s="14" t="s">
        <v>412</v>
      </c>
      <c r="O203" s="4">
        <v>42867</v>
      </c>
    </row>
    <row r="204" spans="1:15">
      <c r="A204" s="7" t="s">
        <v>541</v>
      </c>
      <c r="B204" s="7">
        <v>5.05</v>
      </c>
      <c r="C204" s="18" t="s">
        <v>540</v>
      </c>
      <c r="D204" s="19" t="s">
        <v>11</v>
      </c>
      <c r="E204" s="20">
        <v>3.2986301369863016</v>
      </c>
      <c r="F204" s="21">
        <v>5.3543000000000003</v>
      </c>
      <c r="G204" s="21">
        <v>-30.430000000000046</v>
      </c>
      <c r="H204" s="21">
        <v>5.3352000000000004</v>
      </c>
      <c r="I204" s="21">
        <v>1.9099999999999895</v>
      </c>
      <c r="J204" s="19" t="s">
        <v>28</v>
      </c>
      <c r="K204" s="19" t="s">
        <v>121</v>
      </c>
      <c r="L204" s="13">
        <v>4.09</v>
      </c>
      <c r="M204" s="14" t="s">
        <v>69</v>
      </c>
      <c r="N204" s="14" t="s">
        <v>136</v>
      </c>
      <c r="O204" s="4">
        <v>42867</v>
      </c>
    </row>
    <row r="205" spans="1:15">
      <c r="A205" s="7">
        <v>101653030</v>
      </c>
      <c r="B205" s="7">
        <v>5.05</v>
      </c>
      <c r="C205" s="18" t="s">
        <v>446</v>
      </c>
      <c r="D205" s="19" t="s">
        <v>11</v>
      </c>
      <c r="E205" s="20">
        <v>4.2520547945205482</v>
      </c>
      <c r="F205" s="21">
        <v>5.0305999999999997</v>
      </c>
      <c r="G205" s="21">
        <v>1.9400000000000084</v>
      </c>
      <c r="H205" s="21">
        <v>4.9955999999999996</v>
      </c>
      <c r="I205" s="21">
        <v>3.5000000000000142</v>
      </c>
      <c r="J205" s="19" t="s">
        <v>17</v>
      </c>
      <c r="K205" s="19" t="s">
        <v>45</v>
      </c>
      <c r="L205" s="13">
        <v>3.23</v>
      </c>
      <c r="M205" s="14" t="s">
        <v>447</v>
      </c>
      <c r="N205" s="14" t="s">
        <v>442</v>
      </c>
      <c r="O205" s="4">
        <v>42867</v>
      </c>
    </row>
    <row r="206" spans="1:15">
      <c r="A206" s="7">
        <v>11755010</v>
      </c>
      <c r="B206" s="7">
        <v>5.05</v>
      </c>
      <c r="C206" s="18" t="s">
        <v>739</v>
      </c>
      <c r="D206" s="19" t="s">
        <v>11</v>
      </c>
      <c r="E206" s="20">
        <v>0.50684931506849318</v>
      </c>
      <c r="F206" s="21">
        <v>5.0210999999999997</v>
      </c>
      <c r="G206" s="21">
        <v>2.8900000000000148</v>
      </c>
      <c r="H206" s="21">
        <v>5.0202</v>
      </c>
      <c r="I206" s="21">
        <v>8.9999999999967883E-2</v>
      </c>
      <c r="J206" s="19" t="s">
        <v>12</v>
      </c>
      <c r="K206" s="19" t="s">
        <v>13</v>
      </c>
      <c r="L206" s="13">
        <v>4.5999999999999996</v>
      </c>
      <c r="M206" s="14" t="s">
        <v>692</v>
      </c>
      <c r="N206" s="14" t="s">
        <v>687</v>
      </c>
      <c r="O206" s="4">
        <v>42867</v>
      </c>
    </row>
    <row r="207" spans="1:15">
      <c r="A207" s="7">
        <v>1282350</v>
      </c>
      <c r="B207" s="7">
        <v>5.05</v>
      </c>
      <c r="C207" s="18" t="s">
        <v>429</v>
      </c>
      <c r="D207" s="19" t="s">
        <v>11</v>
      </c>
      <c r="E207" s="20">
        <v>5.3616438356164382</v>
      </c>
      <c r="F207" s="21">
        <v>5.05</v>
      </c>
      <c r="G207" s="21">
        <v>0</v>
      </c>
      <c r="H207" s="21">
        <v>5.03</v>
      </c>
      <c r="I207" s="21">
        <v>1.9999999999999574</v>
      </c>
      <c r="J207" s="19" t="s">
        <v>17</v>
      </c>
      <c r="K207" s="19" t="s">
        <v>45</v>
      </c>
      <c r="L207" s="13">
        <v>5.24</v>
      </c>
      <c r="M207" s="14" t="s">
        <v>117</v>
      </c>
      <c r="N207" s="14" t="s">
        <v>118</v>
      </c>
      <c r="O207" s="4">
        <v>42867</v>
      </c>
    </row>
    <row r="208" spans="1:15">
      <c r="A208" s="7">
        <v>136865</v>
      </c>
      <c r="B208" s="7">
        <v>5.05</v>
      </c>
      <c r="C208" s="18" t="s">
        <v>645</v>
      </c>
      <c r="D208" s="19" t="s">
        <v>11</v>
      </c>
      <c r="E208" s="20">
        <v>2.5561643835616437</v>
      </c>
      <c r="F208" s="21">
        <v>4.8745000000000003</v>
      </c>
      <c r="G208" s="21">
        <v>17.549999999999955</v>
      </c>
      <c r="H208" s="21">
        <v>4.8537999999999997</v>
      </c>
      <c r="I208" s="21">
        <v>2.0700000000000607</v>
      </c>
      <c r="J208" s="19" t="s">
        <v>26</v>
      </c>
      <c r="K208" s="19" t="s">
        <v>121</v>
      </c>
      <c r="L208" s="13">
        <v>3.55</v>
      </c>
      <c r="M208" s="14" t="s">
        <v>622</v>
      </c>
      <c r="N208" s="14" t="s">
        <v>601</v>
      </c>
      <c r="O208" s="4">
        <v>42867</v>
      </c>
    </row>
    <row r="209" spans="1:15">
      <c r="A209" s="7">
        <v>136865</v>
      </c>
      <c r="B209" s="7">
        <v>5.05</v>
      </c>
      <c r="C209" s="18" t="s">
        <v>645</v>
      </c>
      <c r="D209" s="19" t="s">
        <v>11</v>
      </c>
      <c r="E209" s="20">
        <v>2.5561643835616437</v>
      </c>
      <c r="F209" s="21">
        <v>4.8745000000000003</v>
      </c>
      <c r="G209" s="21">
        <v>17.549999999999955</v>
      </c>
      <c r="H209" s="21">
        <v>4.8537999999999997</v>
      </c>
      <c r="I209" s="21">
        <v>2.0700000000000607</v>
      </c>
      <c r="J209" s="19" t="s">
        <v>26</v>
      </c>
      <c r="K209" s="19" t="s">
        <v>121</v>
      </c>
      <c r="L209" s="13">
        <v>3.55</v>
      </c>
      <c r="M209" s="14" t="s">
        <v>622</v>
      </c>
      <c r="N209" s="14" t="s">
        <v>601</v>
      </c>
      <c r="O209" s="4">
        <v>42867</v>
      </c>
    </row>
    <row r="210" spans="1:15">
      <c r="A210" s="7">
        <v>101652027</v>
      </c>
      <c r="B210" s="7">
        <v>5.03</v>
      </c>
      <c r="C210" s="18" t="s">
        <v>426</v>
      </c>
      <c r="D210" s="19" t="s">
        <v>11</v>
      </c>
      <c r="E210" s="20">
        <v>9.1726027397260275</v>
      </c>
      <c r="F210" s="21">
        <v>5.0500999999999996</v>
      </c>
      <c r="G210" s="21">
        <v>-2.0099999999999341</v>
      </c>
      <c r="H210" s="21">
        <v>5.0338000000000003</v>
      </c>
      <c r="I210" s="21">
        <v>1.6299999999999315</v>
      </c>
      <c r="J210" s="19" t="s">
        <v>17</v>
      </c>
      <c r="K210" s="19" t="s">
        <v>45</v>
      </c>
      <c r="L210" s="13">
        <v>3.68</v>
      </c>
      <c r="M210" s="14" t="s">
        <v>416</v>
      </c>
      <c r="N210" s="14" t="s">
        <v>414</v>
      </c>
      <c r="O210" s="4">
        <v>42867</v>
      </c>
    </row>
    <row r="211" spans="1:15">
      <c r="A211" s="7">
        <v>11698700</v>
      </c>
      <c r="B211" s="7">
        <v>5.03</v>
      </c>
      <c r="C211" s="18" t="s">
        <v>981</v>
      </c>
      <c r="D211" s="19" t="s">
        <v>25</v>
      </c>
      <c r="E211" s="20">
        <v>0.20273972602739726</v>
      </c>
      <c r="F211" s="21">
        <v>4.9101999999999997</v>
      </c>
      <c r="G211" s="21">
        <v>11.980000000000057</v>
      </c>
      <c r="H211" s="21">
        <v>4.9076000000000004</v>
      </c>
      <c r="I211" s="21">
        <v>0.25999999999992696</v>
      </c>
      <c r="J211" s="19" t="s">
        <v>17</v>
      </c>
      <c r="K211" s="19" t="s">
        <v>13</v>
      </c>
      <c r="L211" s="13">
        <v>3.44</v>
      </c>
      <c r="M211" s="14" t="s">
        <v>557</v>
      </c>
      <c r="N211" s="14" t="s">
        <v>554</v>
      </c>
      <c r="O211" s="4">
        <v>42867</v>
      </c>
    </row>
    <row r="212" spans="1:15">
      <c r="A212" s="7">
        <v>11698700</v>
      </c>
      <c r="B212" s="7">
        <v>5.03</v>
      </c>
      <c r="C212" s="18" t="s">
        <v>981</v>
      </c>
      <c r="D212" s="19" t="s">
        <v>25</v>
      </c>
      <c r="E212" s="20">
        <v>0.20273972602739726</v>
      </c>
      <c r="F212" s="21">
        <v>4.9101999999999997</v>
      </c>
      <c r="G212" s="21">
        <v>11.980000000000057</v>
      </c>
      <c r="H212" s="21">
        <v>4.9076000000000004</v>
      </c>
      <c r="I212" s="21">
        <v>0.25999999999992696</v>
      </c>
      <c r="J212" s="19" t="s">
        <v>17</v>
      </c>
      <c r="K212" s="19" t="s">
        <v>13</v>
      </c>
      <c r="L212" s="13">
        <v>3.44</v>
      </c>
      <c r="M212" s="14" t="s">
        <v>557</v>
      </c>
      <c r="N212" s="14" t="s">
        <v>554</v>
      </c>
      <c r="O212" s="4">
        <v>42867</v>
      </c>
    </row>
    <row r="213" spans="1:15">
      <c r="A213" s="7">
        <v>101651006</v>
      </c>
      <c r="B213" s="7">
        <v>5.0199999999999996</v>
      </c>
      <c r="C213" s="18" t="s">
        <v>982</v>
      </c>
      <c r="D213" s="19" t="s">
        <v>11</v>
      </c>
      <c r="E213" s="20">
        <v>1.7753424657534247</v>
      </c>
      <c r="F213" s="21">
        <v>5.0540000000000003</v>
      </c>
      <c r="G213" s="21">
        <v>-3.4000000000000696</v>
      </c>
      <c r="H213" s="21">
        <v>5.0063000000000004</v>
      </c>
      <c r="I213" s="21">
        <v>4.7699999999999854</v>
      </c>
      <c r="J213" s="19" t="s">
        <v>12</v>
      </c>
      <c r="K213" s="19" t="s">
        <v>45</v>
      </c>
      <c r="L213" s="13">
        <v>3.2</v>
      </c>
      <c r="M213" s="14" t="s">
        <v>160</v>
      </c>
      <c r="N213" s="14" t="s">
        <v>58</v>
      </c>
      <c r="O213" s="4">
        <v>42867</v>
      </c>
    </row>
    <row r="214" spans="1:15">
      <c r="A214" s="7">
        <v>136762</v>
      </c>
      <c r="B214" s="7">
        <v>5.0199999999999996</v>
      </c>
      <c r="C214" s="18" t="s">
        <v>588</v>
      </c>
      <c r="D214" s="19" t="s">
        <v>11</v>
      </c>
      <c r="E214" s="20">
        <v>9.4410958904109581</v>
      </c>
      <c r="F214" s="21">
        <v>4.9863</v>
      </c>
      <c r="G214" s="21">
        <v>3.3699999999999619</v>
      </c>
      <c r="H214" s="21">
        <v>4.97</v>
      </c>
      <c r="I214" s="21">
        <v>1.6300000000000203</v>
      </c>
      <c r="J214" s="19" t="s">
        <v>17</v>
      </c>
      <c r="K214" s="19" t="s">
        <v>121</v>
      </c>
      <c r="L214" s="13">
        <v>3.35</v>
      </c>
      <c r="M214" s="14" t="s">
        <v>559</v>
      </c>
      <c r="N214" s="14" t="s">
        <v>537</v>
      </c>
      <c r="O214" s="4">
        <v>42867</v>
      </c>
    </row>
    <row r="215" spans="1:15">
      <c r="A215" s="7" t="s">
        <v>935</v>
      </c>
      <c r="B215" s="7">
        <v>5</v>
      </c>
      <c r="C215" s="18" t="s">
        <v>954</v>
      </c>
      <c r="D215" s="19" t="s">
        <v>11</v>
      </c>
      <c r="E215" s="20">
        <v>4.9616438356164387</v>
      </c>
      <c r="F215" s="21">
        <v>5.0898000000000003</v>
      </c>
      <c r="G215" s="21">
        <v>-8.9800000000000324</v>
      </c>
      <c r="H215" s="21">
        <v>5.0698999999999996</v>
      </c>
      <c r="I215" s="21">
        <v>1.9900000000000695</v>
      </c>
      <c r="J215" s="19" t="s">
        <v>12</v>
      </c>
      <c r="K215" s="19" t="s">
        <v>121</v>
      </c>
      <c r="L215" s="13">
        <v>4.7</v>
      </c>
      <c r="M215" s="14" t="s">
        <v>913</v>
      </c>
      <c r="N215" s="14" t="s">
        <v>860</v>
      </c>
      <c r="O215" s="4">
        <v>42867</v>
      </c>
    </row>
    <row r="216" spans="1:15">
      <c r="A216" s="7" t="s">
        <v>640</v>
      </c>
      <c r="B216" s="7">
        <v>5</v>
      </c>
      <c r="C216" s="18" t="s">
        <v>641</v>
      </c>
      <c r="D216" s="19" t="s">
        <v>11</v>
      </c>
      <c r="E216" s="20">
        <v>9.3890410958904109</v>
      </c>
      <c r="F216" s="21">
        <v>4.9366000000000003</v>
      </c>
      <c r="G216" s="21">
        <v>6.3399999999999679</v>
      </c>
      <c r="H216" s="21">
        <v>4.9203000000000001</v>
      </c>
      <c r="I216" s="21">
        <v>1.6300000000000203</v>
      </c>
      <c r="J216" s="19" t="s">
        <v>17</v>
      </c>
      <c r="K216" s="19" t="s">
        <v>121</v>
      </c>
      <c r="L216" s="13">
        <v>3.38</v>
      </c>
      <c r="M216" s="14" t="s">
        <v>559</v>
      </c>
      <c r="N216" s="14" t="s">
        <v>516</v>
      </c>
      <c r="O216" s="4">
        <v>42867</v>
      </c>
    </row>
    <row r="217" spans="1:15">
      <c r="A217" s="7" t="s">
        <v>568</v>
      </c>
      <c r="B217" s="7">
        <v>5</v>
      </c>
      <c r="C217" s="18" t="s">
        <v>453</v>
      </c>
      <c r="D217" s="19" t="s">
        <v>11</v>
      </c>
      <c r="E217" s="20">
        <v>3.8520547945205479</v>
      </c>
      <c r="F217" s="21">
        <v>5.0483000000000002</v>
      </c>
      <c r="G217" s="21">
        <v>-4.8300000000000232</v>
      </c>
      <c r="H217" s="21">
        <v>5.0152999999999999</v>
      </c>
      <c r="I217" s="21">
        <v>3.3000000000000362</v>
      </c>
      <c r="J217" s="19" t="s">
        <v>12</v>
      </c>
      <c r="K217" s="19" t="s">
        <v>121</v>
      </c>
      <c r="L217" s="13">
        <v>3.15</v>
      </c>
      <c r="M217" s="14" t="s">
        <v>147</v>
      </c>
      <c r="N217" s="14" t="s">
        <v>34</v>
      </c>
      <c r="O217" s="4">
        <v>42867</v>
      </c>
    </row>
    <row r="218" spans="1:15">
      <c r="A218" s="7" t="s">
        <v>522</v>
      </c>
      <c r="B218" s="7">
        <v>5</v>
      </c>
      <c r="C218" s="18" t="s">
        <v>525</v>
      </c>
      <c r="D218" s="19" t="s">
        <v>11</v>
      </c>
      <c r="E218" s="20">
        <v>3.6054794520547944</v>
      </c>
      <c r="F218" s="21">
        <v>4.9939999999999998</v>
      </c>
      <c r="G218" s="21">
        <v>0.60000000000002274</v>
      </c>
      <c r="H218" s="21">
        <v>4.9577</v>
      </c>
      <c r="I218" s="21">
        <v>3.6299999999999777</v>
      </c>
      <c r="J218" s="19" t="s">
        <v>12</v>
      </c>
      <c r="K218" s="19" t="s">
        <v>121</v>
      </c>
      <c r="L218" s="13">
        <v>3.67</v>
      </c>
      <c r="M218" s="14" t="s">
        <v>87</v>
      </c>
      <c r="N218" s="14" t="s">
        <v>187</v>
      </c>
      <c r="O218" s="4">
        <v>42867</v>
      </c>
    </row>
    <row r="219" spans="1:15">
      <c r="A219" s="7" t="s">
        <v>367</v>
      </c>
      <c r="B219" s="7">
        <v>5</v>
      </c>
      <c r="C219" s="18" t="s">
        <v>272</v>
      </c>
      <c r="D219" s="19" t="s">
        <v>11</v>
      </c>
      <c r="E219" s="20">
        <v>3.506849315068493</v>
      </c>
      <c r="F219" s="21">
        <v>5.0919999999999996</v>
      </c>
      <c r="G219" s="21">
        <v>-9.1999999999999638</v>
      </c>
      <c r="H219" s="21">
        <v>5.0545999999999998</v>
      </c>
      <c r="I219" s="21">
        <v>3.7399999999999878</v>
      </c>
      <c r="J219" s="19" t="s">
        <v>12</v>
      </c>
      <c r="K219" s="19" t="s">
        <v>121</v>
      </c>
      <c r="L219" s="13">
        <v>4</v>
      </c>
      <c r="M219" s="14" t="s">
        <v>137</v>
      </c>
      <c r="N219" s="14" t="s">
        <v>276</v>
      </c>
      <c r="O219" s="4">
        <v>42867</v>
      </c>
    </row>
    <row r="220" spans="1:15">
      <c r="A220" s="7" t="s">
        <v>563</v>
      </c>
      <c r="B220" s="7">
        <v>5</v>
      </c>
      <c r="C220" s="18" t="s">
        <v>565</v>
      </c>
      <c r="D220" s="19" t="s">
        <v>11</v>
      </c>
      <c r="E220" s="20">
        <v>1.9561643835616438</v>
      </c>
      <c r="F220" s="21">
        <v>4.8856999999999999</v>
      </c>
      <c r="G220" s="21">
        <v>11.430000000000007</v>
      </c>
      <c r="H220" s="21">
        <v>4.8360000000000003</v>
      </c>
      <c r="I220" s="21">
        <v>4.9699999999999633</v>
      </c>
      <c r="J220" s="19" t="s">
        <v>12</v>
      </c>
      <c r="K220" s="19" t="s">
        <v>52</v>
      </c>
      <c r="L220" s="13">
        <v>7.35</v>
      </c>
      <c r="M220" s="14" t="s">
        <v>250</v>
      </c>
      <c r="N220" s="14" t="s">
        <v>364</v>
      </c>
      <c r="O220" s="4">
        <v>42867</v>
      </c>
    </row>
    <row r="221" spans="1:15">
      <c r="A221" s="7">
        <v>101753007</v>
      </c>
      <c r="B221" s="7">
        <v>5</v>
      </c>
      <c r="C221" s="18" t="s">
        <v>863</v>
      </c>
      <c r="D221" s="19" t="s">
        <v>11</v>
      </c>
      <c r="E221" s="20">
        <v>2.9452054794520546</v>
      </c>
      <c r="F221" s="21">
        <v>5.0000999999999998</v>
      </c>
      <c r="G221" s="21">
        <v>-9.9999999999766942E-3</v>
      </c>
      <c r="H221" s="21">
        <v>4.9805000000000001</v>
      </c>
      <c r="I221" s="21">
        <v>1.9599999999999618</v>
      </c>
      <c r="J221" s="19" t="s">
        <v>17</v>
      </c>
      <c r="K221" s="19" t="s">
        <v>45</v>
      </c>
      <c r="L221" s="13">
        <v>4.8</v>
      </c>
      <c r="M221" s="14" t="s">
        <v>860</v>
      </c>
      <c r="N221" s="14" t="s">
        <v>851</v>
      </c>
      <c r="O221" s="4">
        <v>42867</v>
      </c>
    </row>
    <row r="222" spans="1:15">
      <c r="A222" s="7">
        <v>101753007</v>
      </c>
      <c r="B222" s="7">
        <v>5</v>
      </c>
      <c r="C222" s="18" t="s">
        <v>863</v>
      </c>
      <c r="D222" s="19" t="s">
        <v>11</v>
      </c>
      <c r="E222" s="20">
        <v>2.9452054794520546</v>
      </c>
      <c r="F222" s="21">
        <v>5.0000999999999998</v>
      </c>
      <c r="G222" s="21">
        <v>-9.9999999999766942E-3</v>
      </c>
      <c r="H222" s="21">
        <v>4.9805000000000001</v>
      </c>
      <c r="I222" s="21">
        <v>1.9599999999999618</v>
      </c>
      <c r="J222" s="19" t="s">
        <v>17</v>
      </c>
      <c r="K222" s="19" t="s">
        <v>45</v>
      </c>
      <c r="L222" s="13">
        <v>4.8</v>
      </c>
      <c r="M222" s="14" t="s">
        <v>860</v>
      </c>
      <c r="N222" s="14" t="s">
        <v>851</v>
      </c>
      <c r="O222" s="4">
        <v>42867</v>
      </c>
    </row>
    <row r="223" spans="1:15">
      <c r="A223" s="7">
        <v>101561015</v>
      </c>
      <c r="B223" s="7">
        <v>5</v>
      </c>
      <c r="C223" s="18" t="s">
        <v>206</v>
      </c>
      <c r="D223" s="19" t="s">
        <v>11</v>
      </c>
      <c r="E223" s="20">
        <v>1.1945205479452055</v>
      </c>
      <c r="F223" s="21">
        <v>4.9961000000000002</v>
      </c>
      <c r="G223" s="21">
        <v>0.38999999999997925</v>
      </c>
      <c r="H223" s="21">
        <v>4.9546000000000001</v>
      </c>
      <c r="I223" s="21">
        <v>4.1500000000000092</v>
      </c>
      <c r="J223" s="19" t="s">
        <v>12</v>
      </c>
      <c r="K223" s="19" t="s">
        <v>45</v>
      </c>
      <c r="L223" s="13">
        <v>4.1399999999999997</v>
      </c>
      <c r="M223" s="14" t="s">
        <v>126</v>
      </c>
      <c r="N223" s="14" t="s">
        <v>123</v>
      </c>
      <c r="O223" s="4">
        <v>42867</v>
      </c>
    </row>
    <row r="224" spans="1:15">
      <c r="A224" s="7">
        <v>101474004</v>
      </c>
      <c r="B224" s="7">
        <v>5</v>
      </c>
      <c r="C224" s="18" t="s">
        <v>536</v>
      </c>
      <c r="D224" s="19" t="s">
        <v>11</v>
      </c>
      <c r="E224" s="20">
        <v>1.9479452054794522</v>
      </c>
      <c r="F224" s="21">
        <v>4.9905999999999997</v>
      </c>
      <c r="G224" s="21">
        <v>0.9400000000000297</v>
      </c>
      <c r="H224" s="21">
        <v>4.9402999999999997</v>
      </c>
      <c r="I224" s="21">
        <v>5.0300000000000011</v>
      </c>
      <c r="J224" s="19" t="s">
        <v>12</v>
      </c>
      <c r="K224" s="19" t="s">
        <v>45</v>
      </c>
      <c r="L224" s="13">
        <v>6.28</v>
      </c>
      <c r="M224" s="14" t="s">
        <v>271</v>
      </c>
      <c r="N224" s="14" t="s">
        <v>189</v>
      </c>
      <c r="O224" s="4">
        <v>42867</v>
      </c>
    </row>
    <row r="225" spans="1:15">
      <c r="A225" s="7">
        <v>101474004</v>
      </c>
      <c r="B225" s="7">
        <v>5</v>
      </c>
      <c r="C225" s="18" t="s">
        <v>536</v>
      </c>
      <c r="D225" s="19" t="s">
        <v>11</v>
      </c>
      <c r="E225" s="20">
        <v>1.9479452054794522</v>
      </c>
      <c r="F225" s="21">
        <v>4.9905999999999997</v>
      </c>
      <c r="G225" s="21">
        <v>0.9400000000000297</v>
      </c>
      <c r="H225" s="21">
        <v>4.9402999999999997</v>
      </c>
      <c r="I225" s="21">
        <v>5.0300000000000011</v>
      </c>
      <c r="J225" s="19" t="s">
        <v>12</v>
      </c>
      <c r="K225" s="19" t="s">
        <v>45</v>
      </c>
      <c r="L225" s="13">
        <v>6.28</v>
      </c>
      <c r="M225" s="14" t="s">
        <v>271</v>
      </c>
      <c r="N225" s="14" t="s">
        <v>189</v>
      </c>
      <c r="O225" s="4">
        <v>42867</v>
      </c>
    </row>
    <row r="226" spans="1:15">
      <c r="A226" s="7">
        <v>41763003</v>
      </c>
      <c r="B226" s="7">
        <v>5</v>
      </c>
      <c r="C226" s="18" t="s">
        <v>849</v>
      </c>
      <c r="D226" s="19" t="s">
        <v>11</v>
      </c>
      <c r="E226" s="20">
        <v>0.83013698630136989</v>
      </c>
      <c r="F226" s="21">
        <v>5.0014000000000003</v>
      </c>
      <c r="G226" s="21">
        <v>-0.14000000000002899</v>
      </c>
      <c r="H226" s="21">
        <v>5.0673000000000004</v>
      </c>
      <c r="I226" s="21">
        <v>-6.590000000000007</v>
      </c>
      <c r="J226" s="19" t="s">
        <v>12</v>
      </c>
      <c r="K226" s="19" t="s">
        <v>13</v>
      </c>
      <c r="L226" s="13">
        <v>4.6100000000000003</v>
      </c>
      <c r="M226" s="14" t="s">
        <v>763</v>
      </c>
      <c r="N226" s="14" t="s">
        <v>753</v>
      </c>
      <c r="O226" s="4">
        <v>42867</v>
      </c>
    </row>
    <row r="227" spans="1:15">
      <c r="A227" s="7">
        <v>41763003</v>
      </c>
      <c r="B227" s="7">
        <v>5</v>
      </c>
      <c r="C227" s="18" t="s">
        <v>849</v>
      </c>
      <c r="D227" s="19" t="s">
        <v>11</v>
      </c>
      <c r="E227" s="20">
        <v>0.83013698630136989</v>
      </c>
      <c r="F227" s="21">
        <v>5.0014000000000003</v>
      </c>
      <c r="G227" s="21">
        <v>-0.14000000000002899</v>
      </c>
      <c r="H227" s="21">
        <v>5.0673000000000004</v>
      </c>
      <c r="I227" s="21">
        <v>-6.590000000000007</v>
      </c>
      <c r="J227" s="19" t="s">
        <v>12</v>
      </c>
      <c r="K227" s="19" t="s">
        <v>13</v>
      </c>
      <c r="L227" s="13">
        <v>4.6100000000000003</v>
      </c>
      <c r="M227" s="14" t="s">
        <v>763</v>
      </c>
      <c r="N227" s="14" t="s">
        <v>753</v>
      </c>
      <c r="O227" s="4">
        <v>42867</v>
      </c>
    </row>
    <row r="228" spans="1:15">
      <c r="A228" s="7">
        <v>41651039</v>
      </c>
      <c r="B228" s="7">
        <v>5</v>
      </c>
      <c r="C228" s="18" t="s">
        <v>521</v>
      </c>
      <c r="D228" s="19" t="s">
        <v>25</v>
      </c>
      <c r="E228" s="20">
        <v>0.23561643835616439</v>
      </c>
      <c r="F228" s="21">
        <v>4.718</v>
      </c>
      <c r="G228" s="21">
        <v>28.200000000000003</v>
      </c>
      <c r="H228" s="21">
        <v>4.6688000000000001</v>
      </c>
      <c r="I228" s="21">
        <v>4.919999999999991</v>
      </c>
      <c r="J228" s="19" t="s">
        <v>12</v>
      </c>
      <c r="K228" s="19" t="s">
        <v>13</v>
      </c>
      <c r="L228" s="13">
        <v>2.8</v>
      </c>
      <c r="M228" s="14" t="s">
        <v>438</v>
      </c>
      <c r="N228" s="14" t="s">
        <v>436</v>
      </c>
      <c r="O228" s="4">
        <v>42867</v>
      </c>
    </row>
    <row r="229" spans="1:15">
      <c r="A229" s="7">
        <v>11698789</v>
      </c>
      <c r="B229" s="7">
        <v>5</v>
      </c>
      <c r="C229" s="18" t="s">
        <v>631</v>
      </c>
      <c r="D229" s="19" t="s">
        <v>11</v>
      </c>
      <c r="E229" s="20">
        <v>0.25205479452054796</v>
      </c>
      <c r="F229" s="21">
        <v>4.7777000000000003</v>
      </c>
      <c r="G229" s="21">
        <v>22.229999999999972</v>
      </c>
      <c r="H229" s="21">
        <v>4.7827000000000002</v>
      </c>
      <c r="I229" s="21">
        <v>-0.49999999999998934</v>
      </c>
      <c r="J229" s="19" t="s">
        <v>12</v>
      </c>
      <c r="K229" s="19" t="s">
        <v>13</v>
      </c>
      <c r="L229" s="13">
        <v>3.4</v>
      </c>
      <c r="M229" s="14" t="s">
        <v>585</v>
      </c>
      <c r="N229" s="14" t="s">
        <v>579</v>
      </c>
      <c r="O229" s="4">
        <v>42867</v>
      </c>
    </row>
    <row r="230" spans="1:15">
      <c r="A230" s="7">
        <v>11698789</v>
      </c>
      <c r="B230" s="7">
        <v>5</v>
      </c>
      <c r="C230" s="18" t="s">
        <v>631</v>
      </c>
      <c r="D230" s="19" t="s">
        <v>11</v>
      </c>
      <c r="E230" s="20">
        <v>0.25205479452054796</v>
      </c>
      <c r="F230" s="21">
        <v>4.7777000000000003</v>
      </c>
      <c r="G230" s="21">
        <v>22.229999999999972</v>
      </c>
      <c r="H230" s="21">
        <v>4.7827000000000002</v>
      </c>
      <c r="I230" s="21">
        <v>-0.49999999999998934</v>
      </c>
      <c r="J230" s="19" t="s">
        <v>12</v>
      </c>
      <c r="K230" s="19" t="s">
        <v>13</v>
      </c>
      <c r="L230" s="13">
        <v>3.4</v>
      </c>
      <c r="M230" s="14" t="s">
        <v>585</v>
      </c>
      <c r="N230" s="14" t="s">
        <v>579</v>
      </c>
      <c r="O230" s="4">
        <v>42867</v>
      </c>
    </row>
    <row r="231" spans="1:15">
      <c r="A231" s="7">
        <v>11698789</v>
      </c>
      <c r="B231" s="7">
        <v>5</v>
      </c>
      <c r="C231" s="18" t="s">
        <v>631</v>
      </c>
      <c r="D231" s="19" t="s">
        <v>11</v>
      </c>
      <c r="E231" s="20">
        <v>0.25205479452054796</v>
      </c>
      <c r="F231" s="21">
        <v>4.7777000000000003</v>
      </c>
      <c r="G231" s="21">
        <v>22.229999999999972</v>
      </c>
      <c r="H231" s="21">
        <v>4.7827000000000002</v>
      </c>
      <c r="I231" s="21">
        <v>-0.49999999999998934</v>
      </c>
      <c r="J231" s="19" t="s">
        <v>12</v>
      </c>
      <c r="K231" s="19" t="s">
        <v>13</v>
      </c>
      <c r="L231" s="13">
        <v>3.4</v>
      </c>
      <c r="M231" s="14" t="s">
        <v>585</v>
      </c>
      <c r="N231" s="14" t="s">
        <v>579</v>
      </c>
      <c r="O231" s="4">
        <v>42867</v>
      </c>
    </row>
    <row r="232" spans="1:15">
      <c r="A232" s="7">
        <v>11698789</v>
      </c>
      <c r="B232" s="7">
        <v>5</v>
      </c>
      <c r="C232" s="18" t="s">
        <v>631</v>
      </c>
      <c r="D232" s="19" t="s">
        <v>11</v>
      </c>
      <c r="E232" s="20">
        <v>0.25205479452054796</v>
      </c>
      <c r="F232" s="21">
        <v>4.7777000000000003</v>
      </c>
      <c r="G232" s="21">
        <v>22.229999999999972</v>
      </c>
      <c r="H232" s="21">
        <v>4.7827000000000002</v>
      </c>
      <c r="I232" s="21">
        <v>-0.49999999999998934</v>
      </c>
      <c r="J232" s="19" t="s">
        <v>12</v>
      </c>
      <c r="K232" s="19" t="s">
        <v>13</v>
      </c>
      <c r="L232" s="13">
        <v>3.4</v>
      </c>
      <c r="M232" s="14" t="s">
        <v>585</v>
      </c>
      <c r="N232" s="14" t="s">
        <v>579</v>
      </c>
      <c r="O232" s="4">
        <v>42867</v>
      </c>
    </row>
    <row r="233" spans="1:15">
      <c r="A233" s="7">
        <v>1282435</v>
      </c>
      <c r="B233" s="7">
        <v>5</v>
      </c>
      <c r="C233" s="18" t="s">
        <v>555</v>
      </c>
      <c r="D233" s="19" t="s">
        <v>11</v>
      </c>
      <c r="E233" s="20">
        <v>2.4602739726027396</v>
      </c>
      <c r="F233" s="21">
        <v>5.0526999999999997</v>
      </c>
      <c r="G233" s="21">
        <v>-5.2699999999999747</v>
      </c>
      <c r="H233" s="21">
        <v>5.0110000000000001</v>
      </c>
      <c r="I233" s="21">
        <v>4.1699999999999626</v>
      </c>
      <c r="J233" s="19" t="s">
        <v>12</v>
      </c>
      <c r="K233" s="19" t="s">
        <v>45</v>
      </c>
      <c r="L233" s="13">
        <v>5.96</v>
      </c>
      <c r="M233" s="14" t="s">
        <v>454</v>
      </c>
      <c r="N233" s="14" t="s">
        <v>143</v>
      </c>
      <c r="O233" s="4">
        <v>42867</v>
      </c>
    </row>
    <row r="234" spans="1:15">
      <c r="A234" s="7">
        <v>136097</v>
      </c>
      <c r="B234" s="7">
        <v>5</v>
      </c>
      <c r="C234" s="18" t="s">
        <v>525</v>
      </c>
      <c r="D234" s="19" t="s">
        <v>11</v>
      </c>
      <c r="E234" s="20">
        <v>3.6054794520547944</v>
      </c>
      <c r="F234" s="21">
        <v>4.9939999999999998</v>
      </c>
      <c r="G234" s="21">
        <v>0.60000000000002274</v>
      </c>
      <c r="H234" s="21">
        <v>4.9577</v>
      </c>
      <c r="I234" s="21">
        <v>3.6299999999999777</v>
      </c>
      <c r="J234" s="19" t="s">
        <v>12</v>
      </c>
      <c r="K234" s="19" t="s">
        <v>121</v>
      </c>
      <c r="L234" s="13">
        <v>3.67</v>
      </c>
      <c r="M234" s="14" t="s">
        <v>87</v>
      </c>
      <c r="N234" s="14" t="s">
        <v>187</v>
      </c>
      <c r="O234" s="4">
        <v>42867</v>
      </c>
    </row>
    <row r="235" spans="1:15">
      <c r="A235" s="7">
        <v>124966</v>
      </c>
      <c r="B235" s="7">
        <v>5</v>
      </c>
      <c r="C235" s="18" t="s">
        <v>983</v>
      </c>
      <c r="D235" s="19" t="s">
        <v>11</v>
      </c>
      <c r="E235" s="20">
        <v>12.358904109589041</v>
      </c>
      <c r="F235" s="21">
        <v>5.2233999999999998</v>
      </c>
      <c r="G235" s="21">
        <v>-22.339999999999982</v>
      </c>
      <c r="H235" s="21">
        <v>5.1997</v>
      </c>
      <c r="I235" s="21">
        <v>2.3699999999999832</v>
      </c>
      <c r="J235" s="19" t="s">
        <v>12</v>
      </c>
      <c r="K235" s="19" t="s">
        <v>52</v>
      </c>
      <c r="L235" s="13">
        <v>5.28</v>
      </c>
      <c r="M235" s="14" t="s">
        <v>220</v>
      </c>
      <c r="N235" s="14" t="s">
        <v>188</v>
      </c>
      <c r="O235" s="4">
        <v>42867</v>
      </c>
    </row>
    <row r="236" spans="1:15">
      <c r="A236" s="7">
        <v>1080111</v>
      </c>
      <c r="B236" s="7">
        <v>4.99</v>
      </c>
      <c r="C236" s="18" t="s">
        <v>642</v>
      </c>
      <c r="D236" s="19" t="s">
        <v>25</v>
      </c>
      <c r="E236" s="20">
        <v>0.38356164383561642</v>
      </c>
      <c r="F236" s="21">
        <v>4.8196000000000003</v>
      </c>
      <c r="G236" s="21">
        <v>17.039999999999988</v>
      </c>
      <c r="H236" s="21">
        <v>4.7788000000000004</v>
      </c>
      <c r="I236" s="21">
        <v>4.0799999999999947</v>
      </c>
      <c r="J236" s="19" t="s">
        <v>12</v>
      </c>
      <c r="K236" s="19" t="s">
        <v>52</v>
      </c>
      <c r="L236" s="13">
        <v>4.9000000000000004</v>
      </c>
      <c r="M236" s="14" t="s">
        <v>171</v>
      </c>
      <c r="N236" s="14" t="s">
        <v>374</v>
      </c>
      <c r="O236" s="4">
        <v>42867</v>
      </c>
    </row>
    <row r="237" spans="1:15">
      <c r="A237" s="7">
        <v>1080111</v>
      </c>
      <c r="B237" s="7">
        <v>4.99</v>
      </c>
      <c r="C237" s="18" t="s">
        <v>642</v>
      </c>
      <c r="D237" s="19" t="s">
        <v>25</v>
      </c>
      <c r="E237" s="20">
        <v>0.38356164383561642</v>
      </c>
      <c r="F237" s="21">
        <v>4.8196000000000003</v>
      </c>
      <c r="G237" s="21">
        <v>17.039999999999988</v>
      </c>
      <c r="H237" s="21">
        <v>4.7788000000000004</v>
      </c>
      <c r="I237" s="21">
        <v>4.0799999999999947</v>
      </c>
      <c r="J237" s="19" t="s">
        <v>12</v>
      </c>
      <c r="K237" s="19" t="s">
        <v>52</v>
      </c>
      <c r="L237" s="13">
        <v>4.9000000000000004</v>
      </c>
      <c r="M237" s="14" t="s">
        <v>171</v>
      </c>
      <c r="N237" s="14" t="s">
        <v>374</v>
      </c>
      <c r="O237" s="4">
        <v>42867</v>
      </c>
    </row>
    <row r="238" spans="1:15">
      <c r="A238" s="7">
        <v>101664039</v>
      </c>
      <c r="B238" s="7">
        <v>4.97</v>
      </c>
      <c r="C238" s="18" t="s">
        <v>800</v>
      </c>
      <c r="D238" s="19" t="s">
        <v>11</v>
      </c>
      <c r="E238" s="20">
        <v>2.1726027397260275</v>
      </c>
      <c r="F238" s="21">
        <v>4.9402999999999997</v>
      </c>
      <c r="G238" s="21">
        <v>2.970000000000006</v>
      </c>
      <c r="H238" s="21">
        <v>4.9330999999999996</v>
      </c>
      <c r="I238" s="21">
        <v>0.72000000000000952</v>
      </c>
      <c r="J238" s="19" t="s">
        <v>12</v>
      </c>
      <c r="K238" s="19" t="s">
        <v>45</v>
      </c>
      <c r="L238" s="13">
        <v>3.03</v>
      </c>
      <c r="M238" s="14" t="s">
        <v>422</v>
      </c>
      <c r="N238" s="14" t="s">
        <v>418</v>
      </c>
      <c r="O238" s="4">
        <v>42867</v>
      </c>
    </row>
    <row r="239" spans="1:15">
      <c r="A239" s="7">
        <v>101664039</v>
      </c>
      <c r="B239" s="7">
        <v>4.97</v>
      </c>
      <c r="C239" s="18" t="s">
        <v>800</v>
      </c>
      <c r="D239" s="19" t="s">
        <v>11</v>
      </c>
      <c r="E239" s="20">
        <v>2.1726027397260275</v>
      </c>
      <c r="F239" s="21">
        <v>4.9402999999999997</v>
      </c>
      <c r="G239" s="21">
        <v>2.970000000000006</v>
      </c>
      <c r="H239" s="21">
        <v>4.9330999999999996</v>
      </c>
      <c r="I239" s="21">
        <v>0.72000000000000952</v>
      </c>
      <c r="J239" s="19" t="s">
        <v>12</v>
      </c>
      <c r="K239" s="19" t="s">
        <v>45</v>
      </c>
      <c r="L239" s="13">
        <v>3.03</v>
      </c>
      <c r="M239" s="14" t="s">
        <v>422</v>
      </c>
      <c r="N239" s="14" t="s">
        <v>418</v>
      </c>
      <c r="O239" s="4">
        <v>42867</v>
      </c>
    </row>
    <row r="240" spans="1:15">
      <c r="A240" s="7">
        <v>11698662</v>
      </c>
      <c r="B240" s="7">
        <v>4.96</v>
      </c>
      <c r="C240" s="18" t="s">
        <v>910</v>
      </c>
      <c r="D240" s="19" t="s">
        <v>25</v>
      </c>
      <c r="E240" s="20">
        <v>0.19726027397260273</v>
      </c>
      <c r="F240" s="21">
        <v>4.8611000000000004</v>
      </c>
      <c r="G240" s="21">
        <v>9.8899999999999544</v>
      </c>
      <c r="H240" s="21">
        <v>4.7838000000000003</v>
      </c>
      <c r="I240" s="21">
        <v>7.7300000000000146</v>
      </c>
      <c r="J240" s="19" t="s">
        <v>12</v>
      </c>
      <c r="K240" s="19" t="s">
        <v>13</v>
      </c>
      <c r="L240" s="13">
        <v>2.94</v>
      </c>
      <c r="M240" s="14" t="s">
        <v>554</v>
      </c>
      <c r="N240" s="14" t="s">
        <v>551</v>
      </c>
      <c r="O240" s="4">
        <v>42867</v>
      </c>
    </row>
    <row r="241" spans="1:15">
      <c r="A241" s="7">
        <v>101455035</v>
      </c>
      <c r="B241" s="7">
        <v>4.95</v>
      </c>
      <c r="C241" s="18" t="s">
        <v>309</v>
      </c>
      <c r="D241" s="19" t="s">
        <v>11</v>
      </c>
      <c r="E241" s="20">
        <v>0.53150684931506853</v>
      </c>
      <c r="F241" s="21">
        <v>4.8792</v>
      </c>
      <c r="G241" s="21">
        <v>7.0800000000000196</v>
      </c>
      <c r="H241" s="21">
        <v>4.8791000000000002</v>
      </c>
      <c r="I241" s="21">
        <v>9.9999999999766942E-3</v>
      </c>
      <c r="J241" s="19" t="s">
        <v>17</v>
      </c>
      <c r="K241" s="19" t="s">
        <v>45</v>
      </c>
      <c r="L241" s="13">
        <v>5</v>
      </c>
      <c r="M241" s="14" t="s">
        <v>244</v>
      </c>
      <c r="N241" s="14" t="s">
        <v>251</v>
      </c>
      <c r="O241" s="4">
        <v>42867</v>
      </c>
    </row>
    <row r="242" spans="1:15">
      <c r="A242" s="7">
        <v>41652028</v>
      </c>
      <c r="B242" s="7">
        <v>4.95</v>
      </c>
      <c r="C242" s="18" t="s">
        <v>697</v>
      </c>
      <c r="D242" s="19" t="s">
        <v>11</v>
      </c>
      <c r="E242" s="20">
        <v>0.59452054794520548</v>
      </c>
      <c r="F242" s="21">
        <v>4.9027000000000003</v>
      </c>
      <c r="G242" s="21">
        <v>4.7299999999999898</v>
      </c>
      <c r="H242" s="21">
        <v>4.9135999999999997</v>
      </c>
      <c r="I242" s="21">
        <v>-1.0899999999999466</v>
      </c>
      <c r="J242" s="19" t="s">
        <v>17</v>
      </c>
      <c r="K242" s="19" t="s">
        <v>13</v>
      </c>
      <c r="L242" s="13">
        <v>4.2</v>
      </c>
      <c r="M242" s="14" t="s">
        <v>627</v>
      </c>
      <c r="N242" s="14" t="s">
        <v>611</v>
      </c>
      <c r="O242" s="4">
        <v>42867</v>
      </c>
    </row>
    <row r="243" spans="1:15">
      <c r="A243" s="7">
        <v>11761025</v>
      </c>
      <c r="B243" s="7">
        <v>4.9400000000000004</v>
      </c>
      <c r="C243" s="18" t="s">
        <v>899</v>
      </c>
      <c r="D243" s="19" t="s">
        <v>11</v>
      </c>
      <c r="E243" s="20">
        <v>0.67397260273972603</v>
      </c>
      <c r="F243" s="21">
        <v>4.9458000000000002</v>
      </c>
      <c r="G243" s="21">
        <v>-0.57999999999998053</v>
      </c>
      <c r="H243" s="21">
        <v>4.8832000000000004</v>
      </c>
      <c r="I243" s="21">
        <v>6.2599999999999767</v>
      </c>
      <c r="J243" s="19" t="s">
        <v>12</v>
      </c>
      <c r="K243" s="19" t="s">
        <v>13</v>
      </c>
      <c r="L243" s="13">
        <v>4.3499999999999996</v>
      </c>
      <c r="M243" s="14" t="s">
        <v>851</v>
      </c>
      <c r="N243" s="14" t="s">
        <v>843</v>
      </c>
      <c r="O243" s="4">
        <v>42867</v>
      </c>
    </row>
    <row r="244" spans="1:15">
      <c r="A244" s="7">
        <v>11754060</v>
      </c>
      <c r="B244" s="7">
        <v>4.92</v>
      </c>
      <c r="C244" s="18" t="s">
        <v>864</v>
      </c>
      <c r="D244" s="19" t="s">
        <v>11</v>
      </c>
      <c r="E244" s="20">
        <v>0.43561643835616437</v>
      </c>
      <c r="F244" s="21">
        <v>4.8559999999999999</v>
      </c>
      <c r="G244" s="21">
        <v>6.4000000000000057</v>
      </c>
      <c r="H244" s="21">
        <v>4.8575999999999997</v>
      </c>
      <c r="I244" s="21">
        <v>-0.15999999999998238</v>
      </c>
      <c r="J244" s="19" t="s">
        <v>12</v>
      </c>
      <c r="K244" s="19" t="s">
        <v>13</v>
      </c>
      <c r="L244" s="13">
        <v>4.71</v>
      </c>
      <c r="M244" s="14" t="s">
        <v>860</v>
      </c>
      <c r="N244" s="14" t="s">
        <v>851</v>
      </c>
      <c r="O244" s="4">
        <v>42867</v>
      </c>
    </row>
    <row r="245" spans="1:15">
      <c r="A245" s="7">
        <v>101554091</v>
      </c>
      <c r="B245" s="7">
        <v>4.9000000000000004</v>
      </c>
      <c r="C245" s="18" t="s">
        <v>855</v>
      </c>
      <c r="D245" s="19" t="s">
        <v>11</v>
      </c>
      <c r="E245" s="20">
        <v>1.5863013698630137</v>
      </c>
      <c r="F245" s="21">
        <v>4.9008000000000003</v>
      </c>
      <c r="G245" s="21">
        <v>-7.9999999999991189E-2</v>
      </c>
      <c r="H245" s="21">
        <v>4.9175000000000004</v>
      </c>
      <c r="I245" s="21">
        <v>-1.6700000000000159</v>
      </c>
      <c r="J245" s="19" t="s">
        <v>17</v>
      </c>
      <c r="K245" s="19" t="s">
        <v>45</v>
      </c>
      <c r="L245" s="13">
        <v>3.41</v>
      </c>
      <c r="M245" s="14" t="s">
        <v>158</v>
      </c>
      <c r="N245" s="14" t="s">
        <v>60</v>
      </c>
      <c r="O245" s="4">
        <v>42867</v>
      </c>
    </row>
    <row r="246" spans="1:15">
      <c r="A246" s="7">
        <v>41672006</v>
      </c>
      <c r="B246" s="7">
        <v>4.9000000000000004</v>
      </c>
      <c r="C246" s="18" t="s">
        <v>674</v>
      </c>
      <c r="D246" s="19" t="s">
        <v>36</v>
      </c>
      <c r="E246" s="20">
        <v>0.13698630136986301</v>
      </c>
      <c r="F246" s="21">
        <v>4.9295999999999998</v>
      </c>
      <c r="G246" s="21">
        <v>-2.9599999999999405</v>
      </c>
      <c r="H246" s="21">
        <v>4.851</v>
      </c>
      <c r="I246" s="21">
        <v>7.8599999999999781</v>
      </c>
      <c r="J246" s="19" t="s">
        <v>12</v>
      </c>
      <c r="K246" s="19" t="s">
        <v>13</v>
      </c>
      <c r="L246" s="13">
        <v>3.63</v>
      </c>
      <c r="M246" s="14" t="s">
        <v>409</v>
      </c>
      <c r="N246" s="14" t="s">
        <v>405</v>
      </c>
      <c r="O246" s="4">
        <v>42867</v>
      </c>
    </row>
    <row r="247" spans="1:15">
      <c r="A247" s="7">
        <v>41653054</v>
      </c>
      <c r="B247" s="7">
        <v>4.9000000000000004</v>
      </c>
      <c r="C247" s="18" t="s">
        <v>506</v>
      </c>
      <c r="D247" s="19" t="s">
        <v>11</v>
      </c>
      <c r="E247" s="20">
        <v>0.30410958904109592</v>
      </c>
      <c r="F247" s="21">
        <v>4.8197999999999999</v>
      </c>
      <c r="G247" s="21">
        <v>8.0200000000000493</v>
      </c>
      <c r="H247" s="21">
        <v>4.8228999999999997</v>
      </c>
      <c r="I247" s="21">
        <v>-0.30999999999998806</v>
      </c>
      <c r="J247" s="19" t="s">
        <v>12</v>
      </c>
      <c r="K247" s="19" t="s">
        <v>13</v>
      </c>
      <c r="L247" s="13">
        <v>3.32</v>
      </c>
      <c r="M247" s="14" t="s">
        <v>471</v>
      </c>
      <c r="N247" s="14" t="s">
        <v>472</v>
      </c>
      <c r="O247" s="4">
        <v>42867</v>
      </c>
    </row>
    <row r="248" spans="1:15">
      <c r="A248" s="7">
        <v>41653054</v>
      </c>
      <c r="B248" s="7">
        <v>4.9000000000000004</v>
      </c>
      <c r="C248" s="18" t="s">
        <v>506</v>
      </c>
      <c r="D248" s="19" t="s">
        <v>11</v>
      </c>
      <c r="E248" s="20">
        <v>0.30410958904109592</v>
      </c>
      <c r="F248" s="21">
        <v>4.8197999999999999</v>
      </c>
      <c r="G248" s="21">
        <v>8.0200000000000493</v>
      </c>
      <c r="H248" s="21">
        <v>4.8228999999999997</v>
      </c>
      <c r="I248" s="21">
        <v>-0.30999999999998806</v>
      </c>
      <c r="J248" s="19" t="s">
        <v>12</v>
      </c>
      <c r="K248" s="19" t="s">
        <v>13</v>
      </c>
      <c r="L248" s="13">
        <v>3.32</v>
      </c>
      <c r="M248" s="14" t="s">
        <v>471</v>
      </c>
      <c r="N248" s="14" t="s">
        <v>472</v>
      </c>
      <c r="O248" s="4">
        <v>42867</v>
      </c>
    </row>
    <row r="249" spans="1:15">
      <c r="A249" s="7">
        <v>11762029</v>
      </c>
      <c r="B249" s="7">
        <v>4.9000000000000004</v>
      </c>
      <c r="C249" s="18" t="s">
        <v>984</v>
      </c>
      <c r="D249" s="19" t="s">
        <v>11</v>
      </c>
      <c r="E249" s="20">
        <v>0.38904109589041097</v>
      </c>
      <c r="F249" s="21">
        <v>4.8491999999999997</v>
      </c>
      <c r="G249" s="21">
        <v>5.0800000000000622</v>
      </c>
      <c r="H249" s="21">
        <v>4.8513000000000002</v>
      </c>
      <c r="I249" s="21">
        <v>-0.21000000000004349</v>
      </c>
      <c r="J249" s="19" t="s">
        <v>17</v>
      </c>
      <c r="K249" s="19" t="s">
        <v>13</v>
      </c>
      <c r="L249" s="13">
        <v>4.58</v>
      </c>
      <c r="M249" s="14" t="s">
        <v>869</v>
      </c>
      <c r="N249" s="14" t="s">
        <v>860</v>
      </c>
      <c r="O249" s="4">
        <v>42867</v>
      </c>
    </row>
    <row r="250" spans="1:15">
      <c r="A250" s="7">
        <v>11762029</v>
      </c>
      <c r="B250" s="7">
        <v>4.9000000000000004</v>
      </c>
      <c r="C250" s="18" t="s">
        <v>984</v>
      </c>
      <c r="D250" s="19" t="s">
        <v>11</v>
      </c>
      <c r="E250" s="20">
        <v>0.38904109589041097</v>
      </c>
      <c r="F250" s="21">
        <v>4.8491999999999997</v>
      </c>
      <c r="G250" s="21">
        <v>5.0800000000000622</v>
      </c>
      <c r="H250" s="21">
        <v>4.8513000000000002</v>
      </c>
      <c r="I250" s="21">
        <v>-0.21000000000004349</v>
      </c>
      <c r="J250" s="19" t="s">
        <v>17</v>
      </c>
      <c r="K250" s="19" t="s">
        <v>13</v>
      </c>
      <c r="L250" s="13">
        <v>4.58</v>
      </c>
      <c r="M250" s="14" t="s">
        <v>869</v>
      </c>
      <c r="N250" s="14" t="s">
        <v>860</v>
      </c>
      <c r="O250" s="4">
        <v>42867</v>
      </c>
    </row>
    <row r="251" spans="1:15">
      <c r="A251" s="7">
        <v>11698571</v>
      </c>
      <c r="B251" s="7">
        <v>4.9000000000000004</v>
      </c>
      <c r="C251" s="18" t="s">
        <v>566</v>
      </c>
      <c r="D251" s="19" t="s">
        <v>11</v>
      </c>
      <c r="E251" s="20">
        <v>0.16712328767123288</v>
      </c>
      <c r="F251" s="21">
        <v>4.8658000000000001</v>
      </c>
      <c r="G251" s="21">
        <v>3.420000000000023</v>
      </c>
      <c r="H251" s="21">
        <v>4.8503999999999996</v>
      </c>
      <c r="I251" s="21">
        <v>1.5400000000000524</v>
      </c>
      <c r="J251" s="19" t="s">
        <v>17</v>
      </c>
      <c r="K251" s="19" t="s">
        <v>13</v>
      </c>
      <c r="L251" s="13">
        <v>3.37</v>
      </c>
      <c r="M251" s="14" t="s">
        <v>542</v>
      </c>
      <c r="N251" s="14" t="s">
        <v>529</v>
      </c>
      <c r="O251" s="4">
        <v>42867</v>
      </c>
    </row>
    <row r="252" spans="1:15">
      <c r="A252" s="7">
        <v>1382314</v>
      </c>
      <c r="B252" s="7">
        <v>4.9000000000000004</v>
      </c>
      <c r="C252" s="18" t="s">
        <v>769</v>
      </c>
      <c r="D252" s="19" t="s">
        <v>11</v>
      </c>
      <c r="E252" s="20">
        <v>1.1095890410958904</v>
      </c>
      <c r="F252" s="21">
        <v>4.7831999999999999</v>
      </c>
      <c r="G252" s="21">
        <v>11.680000000000046</v>
      </c>
      <c r="H252" s="21">
        <v>4.8289999999999997</v>
      </c>
      <c r="I252" s="21">
        <v>-4.5799999999999841</v>
      </c>
      <c r="J252" s="19" t="s">
        <v>12</v>
      </c>
      <c r="K252" s="19" t="s">
        <v>45</v>
      </c>
      <c r="L252" s="13">
        <v>4.83</v>
      </c>
      <c r="M252" s="14" t="s">
        <v>166</v>
      </c>
      <c r="N252" s="14" t="s">
        <v>770</v>
      </c>
      <c r="O252" s="4">
        <v>42867</v>
      </c>
    </row>
    <row r="253" spans="1:15">
      <c r="A253" s="7">
        <v>143077</v>
      </c>
      <c r="B253" s="7">
        <v>4.9000000000000004</v>
      </c>
      <c r="C253" s="18" t="s">
        <v>985</v>
      </c>
      <c r="D253" s="19" t="s">
        <v>11</v>
      </c>
      <c r="E253" s="20">
        <v>4.9424657534246572</v>
      </c>
      <c r="F253" s="21">
        <v>5.0396999999999998</v>
      </c>
      <c r="G253" s="21">
        <v>-13.969999999999949</v>
      </c>
      <c r="H253" s="21">
        <v>5.0197000000000003</v>
      </c>
      <c r="I253" s="21">
        <v>1.9999999999999574</v>
      </c>
      <c r="J253" s="19" t="s">
        <v>17</v>
      </c>
      <c r="K253" s="19" t="s">
        <v>121</v>
      </c>
      <c r="L253" s="13">
        <v>4.5999999999999996</v>
      </c>
      <c r="M253" s="14" t="s">
        <v>879</v>
      </c>
      <c r="N253" s="14" t="s">
        <v>844</v>
      </c>
      <c r="O253" s="4">
        <v>42867</v>
      </c>
    </row>
    <row r="254" spans="1:15">
      <c r="A254" s="7">
        <v>122411</v>
      </c>
      <c r="B254" s="7">
        <v>4.9000000000000004</v>
      </c>
      <c r="C254" s="18" t="s">
        <v>583</v>
      </c>
      <c r="D254" s="19" t="s">
        <v>11</v>
      </c>
      <c r="E254" s="20">
        <v>3.2191780821917808</v>
      </c>
      <c r="F254" s="21">
        <v>4.8291000000000004</v>
      </c>
      <c r="G254" s="21">
        <v>7.0899999999999963</v>
      </c>
      <c r="H254" s="21">
        <v>4.8879000000000001</v>
      </c>
      <c r="I254" s="21">
        <v>-5.8799999999999741</v>
      </c>
      <c r="J254" s="19" t="s">
        <v>12</v>
      </c>
      <c r="K254" s="19" t="s">
        <v>121</v>
      </c>
      <c r="L254" s="13">
        <v>3.8</v>
      </c>
      <c r="M254" s="14" t="s">
        <v>332</v>
      </c>
      <c r="N254" s="14" t="s">
        <v>154</v>
      </c>
      <c r="O254" s="4">
        <v>42867</v>
      </c>
    </row>
    <row r="255" spans="1:15">
      <c r="A255" s="7" t="s">
        <v>282</v>
      </c>
      <c r="B255" s="7">
        <v>4.8899999999999997</v>
      </c>
      <c r="C255" s="18" t="s">
        <v>234</v>
      </c>
      <c r="D255" s="19" t="s">
        <v>11</v>
      </c>
      <c r="E255" s="20">
        <v>4.580821917808219</v>
      </c>
      <c r="F255" s="21">
        <v>4.8198999999999996</v>
      </c>
      <c r="G255" s="21">
        <v>7.0100000000000051</v>
      </c>
      <c r="H255" s="21">
        <v>4.8247999999999998</v>
      </c>
      <c r="I255" s="21">
        <v>-0.49000000000001265</v>
      </c>
      <c r="J255" s="19" t="s">
        <v>17</v>
      </c>
      <c r="K255" s="19" t="s">
        <v>52</v>
      </c>
      <c r="L255" s="13">
        <v>5.14</v>
      </c>
      <c r="M255" s="14" t="s">
        <v>235</v>
      </c>
      <c r="N255" s="14" t="s">
        <v>369</v>
      </c>
      <c r="O255" s="4">
        <v>42867</v>
      </c>
    </row>
    <row r="256" spans="1:15">
      <c r="A256" s="7">
        <v>1080091</v>
      </c>
      <c r="B256" s="7">
        <v>4.8899999999999997</v>
      </c>
      <c r="C256" s="18" t="s">
        <v>624</v>
      </c>
      <c r="D256" s="19" t="s">
        <v>11</v>
      </c>
      <c r="E256" s="20">
        <v>3.2684931506849315</v>
      </c>
      <c r="F256" s="21">
        <v>4.8899999999999997</v>
      </c>
      <c r="G256" s="21">
        <v>0</v>
      </c>
      <c r="H256" s="21">
        <v>4.8795999999999999</v>
      </c>
      <c r="I256" s="21">
        <v>1.0399999999999743</v>
      </c>
      <c r="J256" s="19" t="s">
        <v>17</v>
      </c>
      <c r="K256" s="19" t="s">
        <v>52</v>
      </c>
      <c r="L256" s="13">
        <v>3.95</v>
      </c>
      <c r="M256" s="14" t="s">
        <v>499</v>
      </c>
      <c r="N256" s="14" t="s">
        <v>392</v>
      </c>
      <c r="O256" s="4">
        <v>42867</v>
      </c>
    </row>
    <row r="257" spans="1:15">
      <c r="A257" s="7">
        <v>111796623</v>
      </c>
      <c r="B257" s="7">
        <v>4.88</v>
      </c>
      <c r="C257" s="18" t="s">
        <v>986</v>
      </c>
      <c r="D257" s="19" t="s">
        <v>11</v>
      </c>
      <c r="E257" s="20">
        <v>0.95890410958904104</v>
      </c>
      <c r="F257" s="21">
        <v>4.8192000000000004</v>
      </c>
      <c r="G257" s="21">
        <v>6.0799999999999521</v>
      </c>
      <c r="H257" s="21">
        <v>4.8049999999999997</v>
      </c>
      <c r="I257" s="21">
        <v>1.4200000000000657</v>
      </c>
      <c r="J257" s="19" t="s">
        <v>55</v>
      </c>
      <c r="K257" s="19" t="s">
        <v>56</v>
      </c>
      <c r="L257" s="13">
        <v>4.5999999999999996</v>
      </c>
      <c r="M257" s="14" t="s">
        <v>869</v>
      </c>
      <c r="N257" s="14" t="s">
        <v>867</v>
      </c>
      <c r="O257" s="4">
        <v>42867</v>
      </c>
    </row>
    <row r="258" spans="1:15">
      <c r="A258" s="7">
        <v>101664060</v>
      </c>
      <c r="B258" s="7">
        <v>4.87</v>
      </c>
      <c r="C258" s="18" t="s">
        <v>549</v>
      </c>
      <c r="D258" s="19" t="s">
        <v>11</v>
      </c>
      <c r="E258" s="20">
        <v>2.4219178082191779</v>
      </c>
      <c r="F258" s="21">
        <v>4.8792999999999997</v>
      </c>
      <c r="G258" s="21">
        <v>-0.92999999999996419</v>
      </c>
      <c r="H258" s="21">
        <v>4.8677000000000001</v>
      </c>
      <c r="I258" s="21">
        <v>1.1599999999999611</v>
      </c>
      <c r="J258" s="19" t="s">
        <v>17</v>
      </c>
      <c r="K258" s="19" t="s">
        <v>45</v>
      </c>
      <c r="L258" s="13">
        <v>2.94</v>
      </c>
      <c r="M258" s="14" t="s">
        <v>537</v>
      </c>
      <c r="N258" s="14" t="s">
        <v>539</v>
      </c>
      <c r="O258" s="4">
        <v>42867</v>
      </c>
    </row>
    <row r="259" spans="1:15">
      <c r="A259" s="7">
        <v>11698571</v>
      </c>
      <c r="B259" s="7">
        <v>4.87</v>
      </c>
      <c r="C259" s="18" t="s">
        <v>566</v>
      </c>
      <c r="D259" s="19" t="s">
        <v>11</v>
      </c>
      <c r="E259" s="20">
        <v>0.16712328767123288</v>
      </c>
      <c r="F259" s="21">
        <v>4.8658000000000001</v>
      </c>
      <c r="G259" s="21">
        <v>0.41999999999999815</v>
      </c>
      <c r="H259" s="21">
        <v>4.8503999999999996</v>
      </c>
      <c r="I259" s="21">
        <v>1.5400000000000524</v>
      </c>
      <c r="J259" s="19" t="s">
        <v>17</v>
      </c>
      <c r="K259" s="19" t="s">
        <v>13</v>
      </c>
      <c r="L259" s="13">
        <v>3.37</v>
      </c>
      <c r="M259" s="14" t="s">
        <v>542</v>
      </c>
      <c r="N259" s="14" t="s">
        <v>529</v>
      </c>
      <c r="O259" s="4">
        <v>42867</v>
      </c>
    </row>
    <row r="260" spans="1:15">
      <c r="A260" s="7">
        <v>11698571</v>
      </c>
      <c r="B260" s="7">
        <v>4.87</v>
      </c>
      <c r="C260" s="18" t="s">
        <v>566</v>
      </c>
      <c r="D260" s="19" t="s">
        <v>11</v>
      </c>
      <c r="E260" s="20">
        <v>0.16712328767123288</v>
      </c>
      <c r="F260" s="21">
        <v>4.8658000000000001</v>
      </c>
      <c r="G260" s="21">
        <v>0.41999999999999815</v>
      </c>
      <c r="H260" s="21">
        <v>4.8503999999999996</v>
      </c>
      <c r="I260" s="21">
        <v>1.5400000000000524</v>
      </c>
      <c r="J260" s="19" t="s">
        <v>17</v>
      </c>
      <c r="K260" s="19" t="s">
        <v>13</v>
      </c>
      <c r="L260" s="13">
        <v>3.37</v>
      </c>
      <c r="M260" s="14" t="s">
        <v>542</v>
      </c>
      <c r="N260" s="14" t="s">
        <v>529</v>
      </c>
      <c r="O260" s="4">
        <v>42867</v>
      </c>
    </row>
    <row r="261" spans="1:15">
      <c r="A261" s="7">
        <v>136270</v>
      </c>
      <c r="B261" s="7">
        <v>4.87</v>
      </c>
      <c r="C261" s="18" t="s">
        <v>526</v>
      </c>
      <c r="D261" s="19" t="s">
        <v>11</v>
      </c>
      <c r="E261" s="20">
        <v>3.8356164383561642</v>
      </c>
      <c r="F261" s="21">
        <v>4.8962000000000003</v>
      </c>
      <c r="G261" s="21">
        <v>-2.6200000000000223</v>
      </c>
      <c r="H261" s="21">
        <v>4.8949999999999996</v>
      </c>
      <c r="I261" s="21">
        <v>0.1200000000000756</v>
      </c>
      <c r="J261" s="19" t="s">
        <v>17</v>
      </c>
      <c r="K261" s="19" t="s">
        <v>121</v>
      </c>
      <c r="L261" s="13">
        <v>3.14</v>
      </c>
      <c r="M261" s="14" t="s">
        <v>161</v>
      </c>
      <c r="N261" s="14" t="s">
        <v>39</v>
      </c>
      <c r="O261" s="4">
        <v>42867</v>
      </c>
    </row>
    <row r="262" spans="1:15">
      <c r="A262" s="7" t="s">
        <v>282</v>
      </c>
      <c r="B262" s="7">
        <v>4.8499999999999996</v>
      </c>
      <c r="C262" s="18" t="s">
        <v>234</v>
      </c>
      <c r="D262" s="19" t="s">
        <v>11</v>
      </c>
      <c r="E262" s="20">
        <v>4.580821917808219</v>
      </c>
      <c r="F262" s="21">
        <v>4.8198999999999996</v>
      </c>
      <c r="G262" s="21">
        <v>3.0100000000000016</v>
      </c>
      <c r="H262" s="21">
        <v>4.8247999999999998</v>
      </c>
      <c r="I262" s="21">
        <v>-0.49000000000001265</v>
      </c>
      <c r="J262" s="19" t="s">
        <v>17</v>
      </c>
      <c r="K262" s="19" t="s">
        <v>52</v>
      </c>
      <c r="L262" s="13">
        <v>5.14</v>
      </c>
      <c r="M262" s="14" t="s">
        <v>235</v>
      </c>
      <c r="N262" s="14" t="s">
        <v>369</v>
      </c>
      <c r="O262" s="4">
        <v>42867</v>
      </c>
    </row>
    <row r="263" spans="1:15">
      <c r="A263" s="7" t="s">
        <v>289</v>
      </c>
      <c r="B263" s="7">
        <v>4.8499999999999996</v>
      </c>
      <c r="C263" s="18" t="s">
        <v>290</v>
      </c>
      <c r="D263" s="19" t="s">
        <v>11</v>
      </c>
      <c r="E263" s="20">
        <v>4.8465753424657532</v>
      </c>
      <c r="F263" s="21">
        <v>4.8311999999999999</v>
      </c>
      <c r="G263" s="21">
        <v>1.8799999999999706</v>
      </c>
      <c r="H263" s="21">
        <v>4.8316999999999997</v>
      </c>
      <c r="I263" s="21">
        <v>-4.9999999999972289E-2</v>
      </c>
      <c r="J263" s="19" t="s">
        <v>17</v>
      </c>
      <c r="K263" s="19" t="s">
        <v>52</v>
      </c>
      <c r="L263" s="13">
        <v>4.8</v>
      </c>
      <c r="M263" s="14" t="s">
        <v>249</v>
      </c>
      <c r="N263" s="14" t="s">
        <v>331</v>
      </c>
      <c r="O263" s="4">
        <v>42867</v>
      </c>
    </row>
    <row r="264" spans="1:15">
      <c r="A264" s="7" t="s">
        <v>289</v>
      </c>
      <c r="B264" s="7">
        <v>4.8499999999999996</v>
      </c>
      <c r="C264" s="18" t="s">
        <v>290</v>
      </c>
      <c r="D264" s="19" t="s">
        <v>11</v>
      </c>
      <c r="E264" s="20">
        <v>4.8465753424657532</v>
      </c>
      <c r="F264" s="21">
        <v>4.8311999999999999</v>
      </c>
      <c r="G264" s="21">
        <v>1.8799999999999706</v>
      </c>
      <c r="H264" s="21">
        <v>4.8316999999999997</v>
      </c>
      <c r="I264" s="21">
        <v>-4.9999999999972289E-2</v>
      </c>
      <c r="J264" s="19" t="s">
        <v>17</v>
      </c>
      <c r="K264" s="19" t="s">
        <v>52</v>
      </c>
      <c r="L264" s="13">
        <v>4.8</v>
      </c>
      <c r="M264" s="14" t="s">
        <v>249</v>
      </c>
      <c r="N264" s="14" t="s">
        <v>331</v>
      </c>
      <c r="O264" s="4">
        <v>42867</v>
      </c>
    </row>
    <row r="265" spans="1:15">
      <c r="A265" s="7">
        <v>111795224</v>
      </c>
      <c r="B265" s="7">
        <v>4.8499999999999996</v>
      </c>
      <c r="C265" s="18" t="s">
        <v>911</v>
      </c>
      <c r="D265" s="19" t="s">
        <v>25</v>
      </c>
      <c r="E265" s="20">
        <v>0.16438356164383561</v>
      </c>
      <c r="F265" s="21">
        <v>4.8068999999999997</v>
      </c>
      <c r="G265" s="21">
        <v>4.3099999999999916</v>
      </c>
      <c r="H265" s="21">
        <v>4.7603999999999997</v>
      </c>
      <c r="I265" s="21">
        <v>4.6499999999999986</v>
      </c>
      <c r="J265" s="19" t="s">
        <v>12</v>
      </c>
      <c r="K265" s="19" t="s">
        <v>56</v>
      </c>
      <c r="L265" s="13">
        <v>4.51</v>
      </c>
      <c r="M265" s="14" t="s">
        <v>831</v>
      </c>
      <c r="N265" s="14" t="s">
        <v>824</v>
      </c>
      <c r="O265" s="4">
        <v>42867</v>
      </c>
    </row>
    <row r="266" spans="1:15">
      <c r="A266" s="7">
        <v>111795224</v>
      </c>
      <c r="B266" s="7">
        <v>4.8499999999999996</v>
      </c>
      <c r="C266" s="18" t="s">
        <v>911</v>
      </c>
      <c r="D266" s="19" t="s">
        <v>25</v>
      </c>
      <c r="E266" s="20">
        <v>0.16438356164383561</v>
      </c>
      <c r="F266" s="21">
        <v>4.8068999999999997</v>
      </c>
      <c r="G266" s="21">
        <v>4.3099999999999916</v>
      </c>
      <c r="H266" s="21">
        <v>4.7603999999999997</v>
      </c>
      <c r="I266" s="21">
        <v>4.6499999999999986</v>
      </c>
      <c r="J266" s="19" t="s">
        <v>12</v>
      </c>
      <c r="K266" s="19" t="s">
        <v>56</v>
      </c>
      <c r="L266" s="13">
        <v>4.51</v>
      </c>
      <c r="M266" s="14" t="s">
        <v>831</v>
      </c>
      <c r="N266" s="14" t="s">
        <v>824</v>
      </c>
      <c r="O266" s="4">
        <v>42867</v>
      </c>
    </row>
    <row r="267" spans="1:15">
      <c r="A267" s="7">
        <v>41654043</v>
      </c>
      <c r="B267" s="7">
        <v>4.8499999999999996</v>
      </c>
      <c r="C267" s="18" t="s">
        <v>504</v>
      </c>
      <c r="D267" s="19" t="s">
        <v>11</v>
      </c>
      <c r="E267" s="20">
        <v>0.17534246575342466</v>
      </c>
      <c r="F267" s="21">
        <v>4.6239999999999997</v>
      </c>
      <c r="G267" s="21">
        <v>22.599999999999998</v>
      </c>
      <c r="H267" s="21">
        <v>4.6614000000000004</v>
      </c>
      <c r="I267" s="21">
        <v>-3.7400000000000766</v>
      </c>
      <c r="J267" s="19" t="s">
        <v>12</v>
      </c>
      <c r="K267" s="19" t="s">
        <v>13</v>
      </c>
      <c r="L267" s="13">
        <v>3</v>
      </c>
      <c r="M267" s="14" t="s">
        <v>423</v>
      </c>
      <c r="N267" s="14" t="s">
        <v>417</v>
      </c>
      <c r="O267" s="4">
        <v>42867</v>
      </c>
    </row>
    <row r="268" spans="1:15">
      <c r="A268" s="7">
        <v>11698950</v>
      </c>
      <c r="B268" s="7">
        <v>4.8499999999999996</v>
      </c>
      <c r="C268" s="18" t="s">
        <v>616</v>
      </c>
      <c r="D268" s="19" t="s">
        <v>11</v>
      </c>
      <c r="E268" s="20">
        <v>0.29863013698630136</v>
      </c>
      <c r="F268" s="21">
        <v>4.8265000000000002</v>
      </c>
      <c r="G268" s="21">
        <v>2.349999999999941</v>
      </c>
      <c r="H268" s="21">
        <v>4.7994000000000003</v>
      </c>
      <c r="I268" s="21">
        <v>2.7099999999999902</v>
      </c>
      <c r="J268" s="19" t="s">
        <v>17</v>
      </c>
      <c r="K268" s="19" t="s">
        <v>13</v>
      </c>
      <c r="L268" s="13">
        <v>3.76</v>
      </c>
      <c r="M268" s="14" t="s">
        <v>609</v>
      </c>
      <c r="N268" s="14" t="s">
        <v>601</v>
      </c>
      <c r="O268" s="4">
        <v>42867</v>
      </c>
    </row>
    <row r="269" spans="1:15">
      <c r="A269" s="7">
        <v>11698950</v>
      </c>
      <c r="B269" s="7">
        <v>4.8499999999999996</v>
      </c>
      <c r="C269" s="18" t="s">
        <v>616</v>
      </c>
      <c r="D269" s="19" t="s">
        <v>11</v>
      </c>
      <c r="E269" s="20">
        <v>0.29863013698630136</v>
      </c>
      <c r="F269" s="21">
        <v>4.8265000000000002</v>
      </c>
      <c r="G269" s="21">
        <v>2.349999999999941</v>
      </c>
      <c r="H269" s="21">
        <v>4.7994000000000003</v>
      </c>
      <c r="I269" s="21">
        <v>2.7099999999999902</v>
      </c>
      <c r="J269" s="19" t="s">
        <v>17</v>
      </c>
      <c r="K269" s="19" t="s">
        <v>13</v>
      </c>
      <c r="L269" s="13">
        <v>3.76</v>
      </c>
      <c r="M269" s="14" t="s">
        <v>609</v>
      </c>
      <c r="N269" s="14" t="s">
        <v>601</v>
      </c>
      <c r="O269" s="4">
        <v>42867</v>
      </c>
    </row>
    <row r="270" spans="1:15">
      <c r="A270" s="7">
        <v>11698950</v>
      </c>
      <c r="B270" s="7">
        <v>4.8499999999999996</v>
      </c>
      <c r="C270" s="18" t="s">
        <v>616</v>
      </c>
      <c r="D270" s="19" t="s">
        <v>11</v>
      </c>
      <c r="E270" s="20">
        <v>0.29863013698630136</v>
      </c>
      <c r="F270" s="21">
        <v>4.8265000000000002</v>
      </c>
      <c r="G270" s="21">
        <v>2.349999999999941</v>
      </c>
      <c r="H270" s="21">
        <v>4.7994000000000003</v>
      </c>
      <c r="I270" s="21">
        <v>2.7099999999999902</v>
      </c>
      <c r="J270" s="19" t="s">
        <v>17</v>
      </c>
      <c r="K270" s="19" t="s">
        <v>13</v>
      </c>
      <c r="L270" s="13">
        <v>3.76</v>
      </c>
      <c r="M270" s="14" t="s">
        <v>609</v>
      </c>
      <c r="N270" s="14" t="s">
        <v>601</v>
      </c>
      <c r="O270" s="4">
        <v>42867</v>
      </c>
    </row>
    <row r="271" spans="1:15">
      <c r="A271" s="7">
        <v>136270</v>
      </c>
      <c r="B271" s="7">
        <v>4.8499999999999996</v>
      </c>
      <c r="C271" s="18" t="s">
        <v>526</v>
      </c>
      <c r="D271" s="19" t="s">
        <v>11</v>
      </c>
      <c r="E271" s="20">
        <v>3.8356164383561642</v>
      </c>
      <c r="F271" s="21">
        <v>4.8962000000000003</v>
      </c>
      <c r="G271" s="21">
        <v>-4.6200000000000685</v>
      </c>
      <c r="H271" s="21">
        <v>4.8949999999999996</v>
      </c>
      <c r="I271" s="21">
        <v>0.1200000000000756</v>
      </c>
      <c r="J271" s="19" t="s">
        <v>17</v>
      </c>
      <c r="K271" s="19" t="s">
        <v>121</v>
      </c>
      <c r="L271" s="13">
        <v>3.14</v>
      </c>
      <c r="M271" s="14" t="s">
        <v>161</v>
      </c>
      <c r="N271" s="14" t="s">
        <v>39</v>
      </c>
      <c r="O271" s="4">
        <v>42867</v>
      </c>
    </row>
    <row r="272" spans="1:15">
      <c r="A272" s="7">
        <v>136270</v>
      </c>
      <c r="B272" s="7">
        <v>4.8499999999999996</v>
      </c>
      <c r="C272" s="18" t="s">
        <v>526</v>
      </c>
      <c r="D272" s="19" t="s">
        <v>11</v>
      </c>
      <c r="E272" s="20">
        <v>3.8356164383561642</v>
      </c>
      <c r="F272" s="21">
        <v>4.8962000000000003</v>
      </c>
      <c r="G272" s="21">
        <v>-4.6200000000000685</v>
      </c>
      <c r="H272" s="21">
        <v>4.8949999999999996</v>
      </c>
      <c r="I272" s="21">
        <v>0.1200000000000756</v>
      </c>
      <c r="J272" s="19" t="s">
        <v>17</v>
      </c>
      <c r="K272" s="19" t="s">
        <v>121</v>
      </c>
      <c r="L272" s="13">
        <v>3.14</v>
      </c>
      <c r="M272" s="14" t="s">
        <v>161</v>
      </c>
      <c r="N272" s="14" t="s">
        <v>39</v>
      </c>
      <c r="O272" s="4">
        <v>42867</v>
      </c>
    </row>
    <row r="273" spans="1:15">
      <c r="A273" s="7">
        <v>1282221</v>
      </c>
      <c r="B273" s="7">
        <v>4.84</v>
      </c>
      <c r="C273" s="18" t="s">
        <v>305</v>
      </c>
      <c r="D273" s="19" t="s">
        <v>25</v>
      </c>
      <c r="E273" s="20">
        <v>0.13150684931506848</v>
      </c>
      <c r="F273" s="21">
        <v>4.9425999999999997</v>
      </c>
      <c r="G273" s="21">
        <v>-10.25999999999998</v>
      </c>
      <c r="H273" s="21">
        <v>4.9229000000000003</v>
      </c>
      <c r="I273" s="21">
        <v>1.9699999999999385</v>
      </c>
      <c r="J273" s="19" t="s">
        <v>28</v>
      </c>
      <c r="K273" s="19" t="s">
        <v>45</v>
      </c>
      <c r="L273" s="13">
        <v>4.8099999999999996</v>
      </c>
      <c r="M273" s="14" t="s">
        <v>311</v>
      </c>
      <c r="N273" s="14" t="s">
        <v>375</v>
      </c>
      <c r="O273" s="4">
        <v>42867</v>
      </c>
    </row>
    <row r="274" spans="1:15">
      <c r="A274" s="7">
        <v>1282221</v>
      </c>
      <c r="B274" s="7">
        <v>4.84</v>
      </c>
      <c r="C274" s="18" t="s">
        <v>305</v>
      </c>
      <c r="D274" s="19" t="s">
        <v>25</v>
      </c>
      <c r="E274" s="20">
        <v>0.13150684931506848</v>
      </c>
      <c r="F274" s="21">
        <v>4.9425999999999997</v>
      </c>
      <c r="G274" s="21">
        <v>-10.25999999999998</v>
      </c>
      <c r="H274" s="21">
        <v>4.9229000000000003</v>
      </c>
      <c r="I274" s="21">
        <v>1.9699999999999385</v>
      </c>
      <c r="J274" s="19" t="s">
        <v>28</v>
      </c>
      <c r="K274" s="19" t="s">
        <v>45</v>
      </c>
      <c r="L274" s="13">
        <v>4.8099999999999996</v>
      </c>
      <c r="M274" s="14" t="s">
        <v>311</v>
      </c>
      <c r="N274" s="14" t="s">
        <v>375</v>
      </c>
      <c r="O274" s="4">
        <v>42867</v>
      </c>
    </row>
    <row r="275" spans="1:15">
      <c r="A275" s="7" t="s">
        <v>289</v>
      </c>
      <c r="B275" s="7">
        <v>4.83</v>
      </c>
      <c r="C275" s="18" t="s">
        <v>290</v>
      </c>
      <c r="D275" s="19" t="s">
        <v>11</v>
      </c>
      <c r="E275" s="20">
        <v>4.8465753424657532</v>
      </c>
      <c r="F275" s="21">
        <v>4.8311999999999999</v>
      </c>
      <c r="G275" s="21">
        <v>-0.11999999999998678</v>
      </c>
      <c r="H275" s="21">
        <v>4.8316999999999997</v>
      </c>
      <c r="I275" s="21">
        <v>-4.9999999999972289E-2</v>
      </c>
      <c r="J275" s="19" t="s">
        <v>17</v>
      </c>
      <c r="K275" s="19" t="s">
        <v>52</v>
      </c>
      <c r="L275" s="13">
        <v>4.8</v>
      </c>
      <c r="M275" s="14" t="s">
        <v>249</v>
      </c>
      <c r="N275" s="14" t="s">
        <v>331</v>
      </c>
      <c r="O275" s="4">
        <v>42867</v>
      </c>
    </row>
    <row r="276" spans="1:15">
      <c r="A276" s="7">
        <v>136554</v>
      </c>
      <c r="B276" s="7">
        <v>4.83</v>
      </c>
      <c r="C276" s="18" t="s">
        <v>502</v>
      </c>
      <c r="D276" s="19" t="s">
        <v>11</v>
      </c>
      <c r="E276" s="20">
        <v>4.1890410958904107</v>
      </c>
      <c r="F276" s="21">
        <v>5.0103999999999997</v>
      </c>
      <c r="G276" s="21">
        <v>-18.039999999999967</v>
      </c>
      <c r="H276" s="21">
        <v>4.9829999999999997</v>
      </c>
      <c r="I276" s="21">
        <v>2.7400000000000091</v>
      </c>
      <c r="J276" s="19" t="s">
        <v>17</v>
      </c>
      <c r="K276" s="19" t="s">
        <v>19</v>
      </c>
      <c r="L276" s="13">
        <v>2.99</v>
      </c>
      <c r="M276" s="14" t="s">
        <v>443</v>
      </c>
      <c r="N276" s="14" t="s">
        <v>422</v>
      </c>
      <c r="O276" s="4">
        <v>42867</v>
      </c>
    </row>
    <row r="277" spans="1:15">
      <c r="A277" s="7">
        <v>136554</v>
      </c>
      <c r="B277" s="7">
        <v>4.83</v>
      </c>
      <c r="C277" s="18" t="s">
        <v>502</v>
      </c>
      <c r="D277" s="19" t="s">
        <v>11</v>
      </c>
      <c r="E277" s="20">
        <v>4.1890410958904107</v>
      </c>
      <c r="F277" s="21">
        <v>5.0103999999999997</v>
      </c>
      <c r="G277" s="21">
        <v>-18.039999999999967</v>
      </c>
      <c r="H277" s="21">
        <v>4.9829999999999997</v>
      </c>
      <c r="I277" s="21">
        <v>2.7400000000000091</v>
      </c>
      <c r="J277" s="19" t="s">
        <v>17</v>
      </c>
      <c r="K277" s="19" t="s">
        <v>19</v>
      </c>
      <c r="L277" s="13">
        <v>2.99</v>
      </c>
      <c r="M277" s="14" t="s">
        <v>443</v>
      </c>
      <c r="N277" s="14" t="s">
        <v>422</v>
      </c>
      <c r="O277" s="4">
        <v>42867</v>
      </c>
    </row>
    <row r="278" spans="1:15">
      <c r="A278" s="7">
        <v>111796308</v>
      </c>
      <c r="B278" s="7">
        <v>4.82</v>
      </c>
      <c r="C278" s="18" t="s">
        <v>987</v>
      </c>
      <c r="D278" s="19" t="s">
        <v>11</v>
      </c>
      <c r="E278" s="20">
        <v>0.44657534246575342</v>
      </c>
      <c r="F278" s="21">
        <v>4.7649999999999997</v>
      </c>
      <c r="G278" s="21">
        <v>5.5000000000000604</v>
      </c>
      <c r="H278" s="21">
        <v>4.7423999999999999</v>
      </c>
      <c r="I278" s="21">
        <v>2.2599999999999731</v>
      </c>
      <c r="J278" s="19" t="s">
        <v>55</v>
      </c>
      <c r="K278" s="19" t="s">
        <v>56</v>
      </c>
      <c r="L278" s="13">
        <v>4.55</v>
      </c>
      <c r="M278" s="14" t="s">
        <v>860</v>
      </c>
      <c r="N278" s="14" t="s">
        <v>854</v>
      </c>
      <c r="O278" s="4">
        <v>42867</v>
      </c>
    </row>
    <row r="279" spans="1:15">
      <c r="A279" s="7">
        <v>101652007</v>
      </c>
      <c r="B279" s="7">
        <v>4.82</v>
      </c>
      <c r="C279" s="18" t="s">
        <v>278</v>
      </c>
      <c r="D279" s="19" t="s">
        <v>11</v>
      </c>
      <c r="E279" s="20">
        <v>1.8246575342465754</v>
      </c>
      <c r="F279" s="21">
        <v>4.7743000000000002</v>
      </c>
      <c r="G279" s="21">
        <v>4.5700000000000074</v>
      </c>
      <c r="H279" s="21">
        <v>4.7908999999999997</v>
      </c>
      <c r="I279" s="21">
        <v>-1.6599999999999504</v>
      </c>
      <c r="J279" s="19" t="s">
        <v>17</v>
      </c>
      <c r="K279" s="19" t="s">
        <v>45</v>
      </c>
      <c r="L279" s="13">
        <v>3.08</v>
      </c>
      <c r="M279" s="14" t="s">
        <v>38</v>
      </c>
      <c r="N279" s="14" t="s">
        <v>78</v>
      </c>
      <c r="O279" s="4">
        <v>42867</v>
      </c>
    </row>
    <row r="280" spans="1:15">
      <c r="A280" s="7" t="s">
        <v>545</v>
      </c>
      <c r="B280" s="7">
        <v>4.8</v>
      </c>
      <c r="C280" s="18" t="s">
        <v>530</v>
      </c>
      <c r="D280" s="19" t="s">
        <v>11</v>
      </c>
      <c r="E280" s="20">
        <v>2.2712328767123289</v>
      </c>
      <c r="F280" s="21">
        <v>4.7365000000000004</v>
      </c>
      <c r="G280" s="21">
        <v>6.3499999999999446</v>
      </c>
      <c r="H280" s="21">
        <v>4.7253999999999996</v>
      </c>
      <c r="I280" s="21">
        <v>1.1100000000000776</v>
      </c>
      <c r="J280" s="19" t="s">
        <v>17</v>
      </c>
      <c r="K280" s="19" t="s">
        <v>121</v>
      </c>
      <c r="L280" s="13">
        <v>2.84</v>
      </c>
      <c r="M280" s="14" t="s">
        <v>505</v>
      </c>
      <c r="N280" s="14" t="s">
        <v>452</v>
      </c>
      <c r="O280" s="4">
        <v>42867</v>
      </c>
    </row>
    <row r="281" spans="1:15">
      <c r="A281" s="7">
        <v>111794865</v>
      </c>
      <c r="B281" s="7">
        <v>4.8</v>
      </c>
      <c r="C281" s="18" t="s">
        <v>988</v>
      </c>
      <c r="D281" s="19" t="s">
        <v>11</v>
      </c>
      <c r="E281" s="20">
        <v>0.38630136986301372</v>
      </c>
      <c r="F281" s="21">
        <v>4.7468000000000004</v>
      </c>
      <c r="G281" s="21">
        <v>5.319999999999947</v>
      </c>
      <c r="H281" s="21">
        <v>4.7199</v>
      </c>
      <c r="I281" s="21">
        <v>2.6900000000000368</v>
      </c>
      <c r="J281" s="19" t="s">
        <v>55</v>
      </c>
      <c r="K281" s="19" t="s">
        <v>56</v>
      </c>
      <c r="L281" s="13">
        <v>4.5998999999999999</v>
      </c>
      <c r="M281" s="14" t="s">
        <v>811</v>
      </c>
      <c r="N281" s="14" t="s">
        <v>808</v>
      </c>
      <c r="O281" s="4">
        <v>42867</v>
      </c>
    </row>
    <row r="282" spans="1:15">
      <c r="A282" s="7">
        <v>11763002</v>
      </c>
      <c r="B282" s="7">
        <v>4.8</v>
      </c>
      <c r="C282" s="18" t="s">
        <v>839</v>
      </c>
      <c r="D282" s="19" t="s">
        <v>25</v>
      </c>
      <c r="E282" s="20">
        <v>0.42465753424657532</v>
      </c>
      <c r="F282" s="21">
        <v>4.8232999999999997</v>
      </c>
      <c r="G282" s="21">
        <v>-2.3299999999999876</v>
      </c>
      <c r="H282" s="21">
        <v>4.7843</v>
      </c>
      <c r="I282" s="21">
        <v>3.8999999999999702</v>
      </c>
      <c r="J282" s="19" t="s">
        <v>12</v>
      </c>
      <c r="K282" s="19" t="s">
        <v>13</v>
      </c>
      <c r="L282" s="13">
        <v>3.88</v>
      </c>
      <c r="M282" s="14" t="s">
        <v>658</v>
      </c>
      <c r="N282" s="14" t="s">
        <v>651</v>
      </c>
      <c r="O282" s="4">
        <v>42867</v>
      </c>
    </row>
    <row r="283" spans="1:15">
      <c r="A283" s="7">
        <v>11763002</v>
      </c>
      <c r="B283" s="7">
        <v>4.8</v>
      </c>
      <c r="C283" s="18" t="s">
        <v>839</v>
      </c>
      <c r="D283" s="19" t="s">
        <v>25</v>
      </c>
      <c r="E283" s="20">
        <v>0.42465753424657532</v>
      </c>
      <c r="F283" s="21">
        <v>4.8232999999999997</v>
      </c>
      <c r="G283" s="21">
        <v>-2.3299999999999876</v>
      </c>
      <c r="H283" s="21">
        <v>4.7843</v>
      </c>
      <c r="I283" s="21">
        <v>3.8999999999999702</v>
      </c>
      <c r="J283" s="19" t="s">
        <v>12</v>
      </c>
      <c r="K283" s="19" t="s">
        <v>13</v>
      </c>
      <c r="L283" s="13">
        <v>3.88</v>
      </c>
      <c r="M283" s="14" t="s">
        <v>658</v>
      </c>
      <c r="N283" s="14" t="s">
        <v>651</v>
      </c>
      <c r="O283" s="4">
        <v>42867</v>
      </c>
    </row>
    <row r="284" spans="1:15">
      <c r="A284" s="7">
        <v>136642</v>
      </c>
      <c r="B284" s="7">
        <v>4.8</v>
      </c>
      <c r="C284" s="18" t="s">
        <v>530</v>
      </c>
      <c r="D284" s="19" t="s">
        <v>11</v>
      </c>
      <c r="E284" s="20">
        <v>2.2712328767123289</v>
      </c>
      <c r="F284" s="21">
        <v>4.7365000000000004</v>
      </c>
      <c r="G284" s="21">
        <v>6.3499999999999446</v>
      </c>
      <c r="H284" s="21">
        <v>4.7253999999999996</v>
      </c>
      <c r="I284" s="21">
        <v>1.1100000000000776</v>
      </c>
      <c r="J284" s="19" t="s">
        <v>17</v>
      </c>
      <c r="K284" s="19" t="s">
        <v>121</v>
      </c>
      <c r="L284" s="13">
        <v>2.84</v>
      </c>
      <c r="M284" s="14" t="s">
        <v>505</v>
      </c>
      <c r="N284" s="14" t="s">
        <v>452</v>
      </c>
      <c r="O284" s="4">
        <v>42867</v>
      </c>
    </row>
    <row r="285" spans="1:15">
      <c r="A285" s="7">
        <v>136642</v>
      </c>
      <c r="B285" s="7">
        <v>4.8</v>
      </c>
      <c r="C285" s="18" t="s">
        <v>530</v>
      </c>
      <c r="D285" s="19" t="s">
        <v>11</v>
      </c>
      <c r="E285" s="20">
        <v>2.2712328767123289</v>
      </c>
      <c r="F285" s="21">
        <v>4.7365000000000004</v>
      </c>
      <c r="G285" s="21">
        <v>6.3499999999999446</v>
      </c>
      <c r="H285" s="21">
        <v>4.7253999999999996</v>
      </c>
      <c r="I285" s="21">
        <v>1.1100000000000776</v>
      </c>
      <c r="J285" s="19" t="s">
        <v>17</v>
      </c>
      <c r="K285" s="19" t="s">
        <v>121</v>
      </c>
      <c r="L285" s="13">
        <v>2.84</v>
      </c>
      <c r="M285" s="14" t="s">
        <v>505</v>
      </c>
      <c r="N285" s="14" t="s">
        <v>452</v>
      </c>
      <c r="O285" s="4">
        <v>42867</v>
      </c>
    </row>
    <row r="286" spans="1:15">
      <c r="A286" s="7">
        <v>136642</v>
      </c>
      <c r="B286" s="7">
        <v>4.8</v>
      </c>
      <c r="C286" s="18" t="s">
        <v>530</v>
      </c>
      <c r="D286" s="19" t="s">
        <v>11</v>
      </c>
      <c r="E286" s="20">
        <v>2.2712328767123289</v>
      </c>
      <c r="F286" s="21">
        <v>4.7365000000000004</v>
      </c>
      <c r="G286" s="21">
        <v>6.3499999999999446</v>
      </c>
      <c r="H286" s="21">
        <v>4.7253999999999996</v>
      </c>
      <c r="I286" s="21">
        <v>1.1100000000000776</v>
      </c>
      <c r="J286" s="19" t="s">
        <v>17</v>
      </c>
      <c r="K286" s="19" t="s">
        <v>121</v>
      </c>
      <c r="L286" s="13">
        <v>2.84</v>
      </c>
      <c r="M286" s="14" t="s">
        <v>505</v>
      </c>
      <c r="N286" s="14" t="s">
        <v>452</v>
      </c>
      <c r="O286" s="4">
        <v>42867</v>
      </c>
    </row>
    <row r="287" spans="1:15">
      <c r="A287" s="7">
        <v>136642</v>
      </c>
      <c r="B287" s="7">
        <v>4.8</v>
      </c>
      <c r="C287" s="18" t="s">
        <v>530</v>
      </c>
      <c r="D287" s="19" t="s">
        <v>11</v>
      </c>
      <c r="E287" s="20">
        <v>2.2712328767123289</v>
      </c>
      <c r="F287" s="21">
        <v>4.7365000000000004</v>
      </c>
      <c r="G287" s="21">
        <v>6.3499999999999446</v>
      </c>
      <c r="H287" s="21">
        <v>4.7253999999999996</v>
      </c>
      <c r="I287" s="21">
        <v>1.1100000000000776</v>
      </c>
      <c r="J287" s="19" t="s">
        <v>17</v>
      </c>
      <c r="K287" s="19" t="s">
        <v>121</v>
      </c>
      <c r="L287" s="13">
        <v>2.84</v>
      </c>
      <c r="M287" s="14" t="s">
        <v>505</v>
      </c>
      <c r="N287" s="14" t="s">
        <v>452</v>
      </c>
      <c r="O287" s="4">
        <v>42867</v>
      </c>
    </row>
    <row r="288" spans="1:15">
      <c r="A288" s="7">
        <v>136642</v>
      </c>
      <c r="B288" s="7">
        <v>4.8</v>
      </c>
      <c r="C288" s="18" t="s">
        <v>530</v>
      </c>
      <c r="D288" s="19" t="s">
        <v>11</v>
      </c>
      <c r="E288" s="20">
        <v>2.2712328767123289</v>
      </c>
      <c r="F288" s="21">
        <v>4.7365000000000004</v>
      </c>
      <c r="G288" s="21">
        <v>6.3499999999999446</v>
      </c>
      <c r="H288" s="21">
        <v>4.7253999999999996</v>
      </c>
      <c r="I288" s="21">
        <v>1.1100000000000776</v>
      </c>
      <c r="J288" s="19" t="s">
        <v>17</v>
      </c>
      <c r="K288" s="19" t="s">
        <v>121</v>
      </c>
      <c r="L288" s="13">
        <v>2.84</v>
      </c>
      <c r="M288" s="14" t="s">
        <v>505</v>
      </c>
      <c r="N288" s="14" t="s">
        <v>452</v>
      </c>
      <c r="O288" s="4">
        <v>42867</v>
      </c>
    </row>
    <row r="289" spans="1:15">
      <c r="A289" s="7">
        <v>136642</v>
      </c>
      <c r="B289" s="7">
        <v>4.8</v>
      </c>
      <c r="C289" s="18" t="s">
        <v>530</v>
      </c>
      <c r="D289" s="19" t="s">
        <v>11</v>
      </c>
      <c r="E289" s="20">
        <v>2.2712328767123289</v>
      </c>
      <c r="F289" s="21">
        <v>4.7365000000000004</v>
      </c>
      <c r="G289" s="21">
        <v>6.3499999999999446</v>
      </c>
      <c r="H289" s="21">
        <v>4.7253999999999996</v>
      </c>
      <c r="I289" s="21">
        <v>1.1100000000000776</v>
      </c>
      <c r="J289" s="19" t="s">
        <v>17</v>
      </c>
      <c r="K289" s="19" t="s">
        <v>121</v>
      </c>
      <c r="L289" s="13">
        <v>2.84</v>
      </c>
      <c r="M289" s="14" t="s">
        <v>505</v>
      </c>
      <c r="N289" s="14" t="s">
        <v>452</v>
      </c>
      <c r="O289" s="4">
        <v>42867</v>
      </c>
    </row>
    <row r="290" spans="1:15">
      <c r="A290" s="7">
        <v>136222</v>
      </c>
      <c r="B290" s="7">
        <v>4.8</v>
      </c>
      <c r="C290" s="18" t="s">
        <v>402</v>
      </c>
      <c r="D290" s="19" t="s">
        <v>11</v>
      </c>
      <c r="E290" s="20">
        <v>3.7945205479452055</v>
      </c>
      <c r="F290" s="21">
        <v>4.7205000000000004</v>
      </c>
      <c r="G290" s="21">
        <v>7.949999999999946</v>
      </c>
      <c r="H290" s="21">
        <v>4.7184999999999997</v>
      </c>
      <c r="I290" s="21">
        <v>0.20000000000006679</v>
      </c>
      <c r="J290" s="19" t="s">
        <v>17</v>
      </c>
      <c r="K290" s="19" t="s">
        <v>121</v>
      </c>
      <c r="L290" s="13">
        <v>2.99</v>
      </c>
      <c r="M290" s="14" t="s">
        <v>23</v>
      </c>
      <c r="N290" s="14" t="s">
        <v>140</v>
      </c>
      <c r="O290" s="4">
        <v>42867</v>
      </c>
    </row>
    <row r="291" spans="1:15">
      <c r="A291" s="7">
        <v>136222</v>
      </c>
      <c r="B291" s="7">
        <v>4.8</v>
      </c>
      <c r="C291" s="18" t="s">
        <v>402</v>
      </c>
      <c r="D291" s="19" t="s">
        <v>11</v>
      </c>
      <c r="E291" s="20">
        <v>3.7945205479452055</v>
      </c>
      <c r="F291" s="21">
        <v>4.7205000000000004</v>
      </c>
      <c r="G291" s="21">
        <v>7.949999999999946</v>
      </c>
      <c r="H291" s="21">
        <v>4.7184999999999997</v>
      </c>
      <c r="I291" s="21">
        <v>0.20000000000006679</v>
      </c>
      <c r="J291" s="19" t="s">
        <v>17</v>
      </c>
      <c r="K291" s="19" t="s">
        <v>121</v>
      </c>
      <c r="L291" s="13">
        <v>2.99</v>
      </c>
      <c r="M291" s="14" t="s">
        <v>23</v>
      </c>
      <c r="N291" s="14" t="s">
        <v>140</v>
      </c>
      <c r="O291" s="4">
        <v>42867</v>
      </c>
    </row>
    <row r="292" spans="1:15">
      <c r="A292" s="7">
        <v>41659040</v>
      </c>
      <c r="B292" s="7">
        <v>4.79</v>
      </c>
      <c r="C292" s="18" t="s">
        <v>603</v>
      </c>
      <c r="D292" s="19" t="s">
        <v>11</v>
      </c>
      <c r="E292" s="20">
        <v>0.28767123287671231</v>
      </c>
      <c r="F292" s="21">
        <v>4.7946999999999997</v>
      </c>
      <c r="G292" s="21">
        <v>-0.46999999999997044</v>
      </c>
      <c r="H292" s="21">
        <v>4.7407000000000004</v>
      </c>
      <c r="I292" s="21">
        <v>5.3999999999999382</v>
      </c>
      <c r="J292" s="19" t="s">
        <v>12</v>
      </c>
      <c r="K292" s="19" t="s">
        <v>13</v>
      </c>
      <c r="L292" s="13">
        <v>2.75</v>
      </c>
      <c r="M292" s="14" t="s">
        <v>474</v>
      </c>
      <c r="N292" s="14" t="s">
        <v>459</v>
      </c>
      <c r="O292" s="4">
        <v>42867</v>
      </c>
    </row>
    <row r="293" spans="1:15">
      <c r="A293" s="7">
        <v>111795706</v>
      </c>
      <c r="B293" s="7">
        <v>4.75</v>
      </c>
      <c r="C293" s="18" t="s">
        <v>989</v>
      </c>
      <c r="D293" s="19" t="s">
        <v>11</v>
      </c>
      <c r="E293" s="20">
        <v>0.42465753424657532</v>
      </c>
      <c r="F293" s="21">
        <v>4.7584</v>
      </c>
      <c r="G293" s="21">
        <v>-0.83999999999999631</v>
      </c>
      <c r="H293" s="21">
        <v>4.7343000000000002</v>
      </c>
      <c r="I293" s="21">
        <v>2.4099999999999788</v>
      </c>
      <c r="J293" s="19" t="s">
        <v>12</v>
      </c>
      <c r="K293" s="19" t="s">
        <v>56</v>
      </c>
      <c r="L293" s="13">
        <v>4.5</v>
      </c>
      <c r="M293" s="14" t="s">
        <v>840</v>
      </c>
      <c r="N293" s="14" t="s">
        <v>833</v>
      </c>
      <c r="O293" s="4">
        <v>42867</v>
      </c>
    </row>
    <row r="294" spans="1:15">
      <c r="A294" s="7">
        <v>111610418</v>
      </c>
      <c r="B294" s="7">
        <v>4.75</v>
      </c>
      <c r="C294" s="18" t="s">
        <v>751</v>
      </c>
      <c r="D294" s="19" t="s">
        <v>11</v>
      </c>
      <c r="E294" s="20">
        <v>0.21643835616438356</v>
      </c>
      <c r="F294" s="21">
        <v>4.6318999999999999</v>
      </c>
      <c r="G294" s="21">
        <v>11.810000000000009</v>
      </c>
      <c r="H294" s="21">
        <v>4.5961999999999996</v>
      </c>
      <c r="I294" s="21">
        <v>3.5700000000000287</v>
      </c>
      <c r="J294" s="19" t="s">
        <v>55</v>
      </c>
      <c r="K294" s="19" t="s">
        <v>56</v>
      </c>
      <c r="L294" s="13">
        <v>2.91</v>
      </c>
      <c r="M294" s="14" t="s">
        <v>433</v>
      </c>
      <c r="N294" s="14" t="s">
        <v>430</v>
      </c>
      <c r="O294" s="4">
        <v>42867</v>
      </c>
    </row>
    <row r="295" spans="1:15">
      <c r="A295" s="7">
        <v>11758002</v>
      </c>
      <c r="B295" s="7">
        <v>4.75</v>
      </c>
      <c r="C295" s="18" t="s">
        <v>912</v>
      </c>
      <c r="D295" s="19" t="s">
        <v>11</v>
      </c>
      <c r="E295" s="20">
        <v>0.41369863013698632</v>
      </c>
      <c r="F295" s="21">
        <v>4.7129000000000003</v>
      </c>
      <c r="G295" s="21">
        <v>3.7099999999999689</v>
      </c>
      <c r="H295" s="21">
        <v>4.6725000000000003</v>
      </c>
      <c r="I295" s="21">
        <v>4.0399999999999991</v>
      </c>
      <c r="J295" s="19" t="s">
        <v>12</v>
      </c>
      <c r="K295" s="19" t="s">
        <v>13</v>
      </c>
      <c r="L295" s="13">
        <v>3.72</v>
      </c>
      <c r="M295" s="14" t="s">
        <v>653</v>
      </c>
      <c r="N295" s="14" t="s">
        <v>644</v>
      </c>
      <c r="O295" s="4">
        <v>42867</v>
      </c>
    </row>
    <row r="296" spans="1:15">
      <c r="A296" s="7">
        <v>111695506</v>
      </c>
      <c r="B296" s="7">
        <v>4.7300000000000004</v>
      </c>
      <c r="C296" s="18" t="s">
        <v>550</v>
      </c>
      <c r="D296" s="19" t="s">
        <v>11</v>
      </c>
      <c r="E296" s="20">
        <v>0.19452054794520549</v>
      </c>
      <c r="F296" s="21">
        <v>4.7211999999999996</v>
      </c>
      <c r="G296" s="21">
        <v>0.88000000000008072</v>
      </c>
      <c r="H296" s="21">
        <v>4.6826999999999996</v>
      </c>
      <c r="I296" s="21">
        <v>3.8499999999999979</v>
      </c>
      <c r="J296" s="19" t="s">
        <v>12</v>
      </c>
      <c r="K296" s="19" t="s">
        <v>56</v>
      </c>
      <c r="L296" s="13">
        <v>3.05</v>
      </c>
      <c r="M296" s="14" t="s">
        <v>427</v>
      </c>
      <c r="N296" s="14" t="s">
        <v>425</v>
      </c>
      <c r="O296" s="4">
        <v>42867</v>
      </c>
    </row>
    <row r="297" spans="1:15">
      <c r="A297" s="7">
        <v>11754079</v>
      </c>
      <c r="B297" s="7">
        <v>4.72</v>
      </c>
      <c r="C297" s="18" t="s">
        <v>990</v>
      </c>
      <c r="D297" s="19" t="s">
        <v>11</v>
      </c>
      <c r="E297" s="20">
        <v>0.73424657534246573</v>
      </c>
      <c r="F297" s="21">
        <v>4.7100999999999997</v>
      </c>
      <c r="G297" s="21">
        <v>0.99000000000000199</v>
      </c>
      <c r="H297" s="21">
        <v>4.7424999999999997</v>
      </c>
      <c r="I297" s="21">
        <v>-3.2399999999999984</v>
      </c>
      <c r="J297" s="19" t="s">
        <v>17</v>
      </c>
      <c r="K297" s="19" t="s">
        <v>13</v>
      </c>
      <c r="L297" s="13">
        <v>4.3499999999999996</v>
      </c>
      <c r="M297" s="14" t="s">
        <v>913</v>
      </c>
      <c r="N297" s="14" t="s">
        <v>897</v>
      </c>
      <c r="O297" s="4">
        <v>42867</v>
      </c>
    </row>
    <row r="298" spans="1:15">
      <c r="A298" s="7" t="s">
        <v>451</v>
      </c>
      <c r="B298" s="7">
        <v>4.7</v>
      </c>
      <c r="C298" s="18" t="s">
        <v>444</v>
      </c>
      <c r="D298" s="19" t="s">
        <v>11</v>
      </c>
      <c r="E298" s="20">
        <v>2.1753424657534248</v>
      </c>
      <c r="F298" s="21">
        <v>4.7095000000000002</v>
      </c>
      <c r="G298" s="21">
        <v>-0.95000000000000639</v>
      </c>
      <c r="H298" s="21">
        <v>4.7012999999999998</v>
      </c>
      <c r="I298" s="21">
        <v>0.82000000000004292</v>
      </c>
      <c r="J298" s="19" t="s">
        <v>17</v>
      </c>
      <c r="K298" s="19" t="s">
        <v>121</v>
      </c>
      <c r="L298" s="13">
        <v>2.95</v>
      </c>
      <c r="M298" s="14" t="s">
        <v>438</v>
      </c>
      <c r="N298" s="14" t="s">
        <v>416</v>
      </c>
      <c r="O298" s="4">
        <v>42867</v>
      </c>
    </row>
    <row r="299" spans="1:15">
      <c r="A299" s="7" t="s">
        <v>340</v>
      </c>
      <c r="B299" s="7">
        <v>4.7</v>
      </c>
      <c r="C299" s="18" t="s">
        <v>341</v>
      </c>
      <c r="D299" s="19" t="s">
        <v>11</v>
      </c>
      <c r="E299" s="20">
        <v>1.3561643835616439</v>
      </c>
      <c r="F299" s="21">
        <v>4.6619999999999999</v>
      </c>
      <c r="G299" s="21">
        <v>3.8000000000000256</v>
      </c>
      <c r="H299" s="21">
        <v>4.6208999999999998</v>
      </c>
      <c r="I299" s="21">
        <v>4.1100000000000136</v>
      </c>
      <c r="J299" s="19" t="s">
        <v>12</v>
      </c>
      <c r="K299" s="19" t="s">
        <v>121</v>
      </c>
      <c r="L299" s="13">
        <v>3.75</v>
      </c>
      <c r="M299" s="14" t="s">
        <v>31</v>
      </c>
      <c r="N299" s="14" t="s">
        <v>254</v>
      </c>
      <c r="O299" s="4">
        <v>42867</v>
      </c>
    </row>
    <row r="300" spans="1:15">
      <c r="A300" s="7" t="s">
        <v>340</v>
      </c>
      <c r="B300" s="7">
        <v>4.7</v>
      </c>
      <c r="C300" s="18" t="s">
        <v>341</v>
      </c>
      <c r="D300" s="19" t="s">
        <v>11</v>
      </c>
      <c r="E300" s="20">
        <v>1.3561643835616439</v>
      </c>
      <c r="F300" s="21">
        <v>4.6619999999999999</v>
      </c>
      <c r="G300" s="21">
        <v>3.8000000000000256</v>
      </c>
      <c r="H300" s="21">
        <v>4.6208999999999998</v>
      </c>
      <c r="I300" s="21">
        <v>4.1100000000000136</v>
      </c>
      <c r="J300" s="19" t="s">
        <v>12</v>
      </c>
      <c r="K300" s="19" t="s">
        <v>121</v>
      </c>
      <c r="L300" s="13">
        <v>3.75</v>
      </c>
      <c r="M300" s="14" t="s">
        <v>31</v>
      </c>
      <c r="N300" s="14" t="s">
        <v>254</v>
      </c>
      <c r="O300" s="4">
        <v>42867</v>
      </c>
    </row>
    <row r="301" spans="1:15">
      <c r="A301" s="7">
        <v>41662032</v>
      </c>
      <c r="B301" s="7">
        <v>4.7</v>
      </c>
      <c r="C301" s="18" t="s">
        <v>604</v>
      </c>
      <c r="D301" s="19" t="s">
        <v>25</v>
      </c>
      <c r="E301" s="20">
        <v>0.10136986301369863</v>
      </c>
      <c r="F301" s="21">
        <v>4.5864000000000003</v>
      </c>
      <c r="G301" s="21">
        <v>11.359999999999992</v>
      </c>
      <c r="H301" s="21">
        <v>4.5728999999999997</v>
      </c>
      <c r="I301" s="21">
        <v>1.3500000000000512</v>
      </c>
      <c r="J301" s="19" t="s">
        <v>28</v>
      </c>
      <c r="K301" s="19" t="s">
        <v>13</v>
      </c>
      <c r="L301" s="13">
        <v>3.65</v>
      </c>
      <c r="M301" s="14" t="s">
        <v>396</v>
      </c>
      <c r="N301" s="14" t="s">
        <v>394</v>
      </c>
      <c r="O301" s="4">
        <v>42867</v>
      </c>
    </row>
    <row r="302" spans="1:15">
      <c r="A302" s="7">
        <v>11754013</v>
      </c>
      <c r="B302" s="7">
        <v>4.7</v>
      </c>
      <c r="C302" s="18" t="s">
        <v>794</v>
      </c>
      <c r="D302" s="19" t="s">
        <v>11</v>
      </c>
      <c r="E302" s="20">
        <v>0.27123287671232876</v>
      </c>
      <c r="F302" s="21">
        <v>4.6060999999999996</v>
      </c>
      <c r="G302" s="21">
        <v>9.3900000000000539</v>
      </c>
      <c r="H302" s="21">
        <v>4.5709999999999997</v>
      </c>
      <c r="I302" s="21">
        <v>3.5099999999999909</v>
      </c>
      <c r="J302" s="19" t="s">
        <v>12</v>
      </c>
      <c r="K302" s="19" t="s">
        <v>13</v>
      </c>
      <c r="L302" s="13">
        <v>4.0999999999999996</v>
      </c>
      <c r="M302" s="14" t="s">
        <v>667</v>
      </c>
      <c r="N302" s="14" t="s">
        <v>665</v>
      </c>
      <c r="O302" s="4">
        <v>42867</v>
      </c>
    </row>
    <row r="303" spans="1:15">
      <c r="A303" s="7">
        <v>11698575</v>
      </c>
      <c r="B303" s="7">
        <v>4.7</v>
      </c>
      <c r="C303" s="18" t="s">
        <v>767</v>
      </c>
      <c r="D303" s="19" t="s">
        <v>11</v>
      </c>
      <c r="E303" s="20">
        <v>0.17534246575342466</v>
      </c>
      <c r="F303" s="21">
        <v>4.484</v>
      </c>
      <c r="G303" s="21">
        <v>21.600000000000019</v>
      </c>
      <c r="H303" s="21">
        <v>4.4207000000000001</v>
      </c>
      <c r="I303" s="21">
        <v>6.3299999999999912</v>
      </c>
      <c r="J303" s="19" t="s">
        <v>12</v>
      </c>
      <c r="K303" s="19" t="s">
        <v>13</v>
      </c>
      <c r="L303" s="13">
        <v>2.95</v>
      </c>
      <c r="M303" s="14" t="s">
        <v>546</v>
      </c>
      <c r="N303" s="14" t="s">
        <v>537</v>
      </c>
      <c r="O303" s="4">
        <v>42867</v>
      </c>
    </row>
    <row r="304" spans="1:15">
      <c r="A304" s="7">
        <v>1282191</v>
      </c>
      <c r="B304" s="7">
        <v>4.7</v>
      </c>
      <c r="C304" s="18" t="s">
        <v>490</v>
      </c>
      <c r="D304" s="19" t="s">
        <v>25</v>
      </c>
      <c r="E304" s="20">
        <v>7.6712328767123292E-2</v>
      </c>
      <c r="F304" s="21">
        <v>4.8087</v>
      </c>
      <c r="G304" s="21">
        <v>-10.86999999999998</v>
      </c>
      <c r="H304" s="21">
        <v>4.8079000000000001</v>
      </c>
      <c r="I304" s="21">
        <v>7.9999999999991189E-2</v>
      </c>
      <c r="J304" s="19" t="s">
        <v>28</v>
      </c>
      <c r="K304" s="19" t="s">
        <v>45</v>
      </c>
      <c r="L304" s="13">
        <v>5.45</v>
      </c>
      <c r="M304" s="14" t="s">
        <v>344</v>
      </c>
      <c r="N304" s="14" t="s">
        <v>363</v>
      </c>
      <c r="O304" s="4">
        <v>42867</v>
      </c>
    </row>
    <row r="305" spans="1:15">
      <c r="A305" s="7">
        <v>111712034</v>
      </c>
      <c r="B305" s="7">
        <v>4.68</v>
      </c>
      <c r="C305" s="18" t="s">
        <v>991</v>
      </c>
      <c r="D305" s="19" t="s">
        <v>11</v>
      </c>
      <c r="E305" s="20">
        <v>0.52054794520547942</v>
      </c>
      <c r="F305" s="21">
        <v>4.6891999999999996</v>
      </c>
      <c r="G305" s="21">
        <v>-0.91999999999998749</v>
      </c>
      <c r="H305" s="21">
        <v>4.6707000000000001</v>
      </c>
      <c r="I305" s="21">
        <v>1.8499999999999517</v>
      </c>
      <c r="J305" s="19" t="s">
        <v>55</v>
      </c>
      <c r="K305" s="19" t="s">
        <v>56</v>
      </c>
      <c r="L305" s="13">
        <v>4.3</v>
      </c>
      <c r="M305" s="14" t="s">
        <v>693</v>
      </c>
      <c r="N305" s="14" t="s">
        <v>692</v>
      </c>
      <c r="O305" s="4">
        <v>42867</v>
      </c>
    </row>
    <row r="306" spans="1:15">
      <c r="A306" s="7">
        <v>111712034</v>
      </c>
      <c r="B306" s="7">
        <v>4.68</v>
      </c>
      <c r="C306" s="18" t="s">
        <v>991</v>
      </c>
      <c r="D306" s="19" t="s">
        <v>11</v>
      </c>
      <c r="E306" s="20">
        <v>0.52054794520547942</v>
      </c>
      <c r="F306" s="21">
        <v>4.6891999999999996</v>
      </c>
      <c r="G306" s="21">
        <v>-0.91999999999998749</v>
      </c>
      <c r="H306" s="21">
        <v>4.6707000000000001</v>
      </c>
      <c r="I306" s="21">
        <v>1.8499999999999517</v>
      </c>
      <c r="J306" s="19" t="s">
        <v>55</v>
      </c>
      <c r="K306" s="19" t="s">
        <v>56</v>
      </c>
      <c r="L306" s="13">
        <v>4.3</v>
      </c>
      <c r="M306" s="14" t="s">
        <v>693</v>
      </c>
      <c r="N306" s="14" t="s">
        <v>692</v>
      </c>
      <c r="O306" s="4">
        <v>42867</v>
      </c>
    </row>
    <row r="307" spans="1:15">
      <c r="A307" s="7">
        <v>111612181</v>
      </c>
      <c r="B307" s="7">
        <v>4.68</v>
      </c>
      <c r="C307" s="18" t="s">
        <v>992</v>
      </c>
      <c r="D307" s="19" t="s">
        <v>11</v>
      </c>
      <c r="E307" s="20">
        <v>0.46027397260273972</v>
      </c>
      <c r="F307" s="21">
        <v>4.6852999999999998</v>
      </c>
      <c r="G307" s="21">
        <v>-0.53000000000000824</v>
      </c>
      <c r="H307" s="21">
        <v>4.6631999999999998</v>
      </c>
      <c r="I307" s="21">
        <v>2.2100000000000009</v>
      </c>
      <c r="J307" s="19" t="s">
        <v>55</v>
      </c>
      <c r="K307" s="19" t="s">
        <v>56</v>
      </c>
      <c r="L307" s="13">
        <v>3.05</v>
      </c>
      <c r="M307" s="14" t="s">
        <v>554</v>
      </c>
      <c r="N307" s="14" t="s">
        <v>553</v>
      </c>
      <c r="O307" s="4">
        <v>42867</v>
      </c>
    </row>
    <row r="308" spans="1:15">
      <c r="A308" s="7">
        <v>111612181</v>
      </c>
      <c r="B308" s="7">
        <v>4.68</v>
      </c>
      <c r="C308" s="18" t="s">
        <v>992</v>
      </c>
      <c r="D308" s="19" t="s">
        <v>11</v>
      </c>
      <c r="E308" s="20">
        <v>0.46027397260273972</v>
      </c>
      <c r="F308" s="21">
        <v>4.6852999999999998</v>
      </c>
      <c r="G308" s="21">
        <v>-0.53000000000000824</v>
      </c>
      <c r="H308" s="21">
        <v>4.6631999999999998</v>
      </c>
      <c r="I308" s="21">
        <v>2.2100000000000009</v>
      </c>
      <c r="J308" s="19" t="s">
        <v>55</v>
      </c>
      <c r="K308" s="19" t="s">
        <v>56</v>
      </c>
      <c r="L308" s="13">
        <v>3.05</v>
      </c>
      <c r="M308" s="14" t="s">
        <v>554</v>
      </c>
      <c r="N308" s="14" t="s">
        <v>553</v>
      </c>
      <c r="O308" s="4">
        <v>42867</v>
      </c>
    </row>
    <row r="309" spans="1:15">
      <c r="A309" s="7">
        <v>150319</v>
      </c>
      <c r="B309" s="7">
        <v>4.68</v>
      </c>
      <c r="C309" s="18" t="s">
        <v>300</v>
      </c>
      <c r="D309" s="19">
        <v>0</v>
      </c>
      <c r="E309" s="20">
        <v>18.684931506849313</v>
      </c>
      <c r="F309" s="21">
        <v>4.6151</v>
      </c>
      <c r="G309" s="21">
        <v>6.4899999999999736</v>
      </c>
      <c r="H309" s="21">
        <v>4.6059999999999999</v>
      </c>
      <c r="I309" s="21">
        <v>0.9100000000000108</v>
      </c>
      <c r="J309" s="19" t="s">
        <v>17</v>
      </c>
      <c r="K309" s="19" t="s">
        <v>19</v>
      </c>
      <c r="L309" s="13">
        <v>3.88</v>
      </c>
      <c r="M309" s="14" t="s">
        <v>113</v>
      </c>
      <c r="N309" s="14" t="s">
        <v>112</v>
      </c>
      <c r="O309" s="4">
        <v>42867</v>
      </c>
    </row>
    <row r="310" spans="1:15">
      <c r="A310" s="7">
        <v>160410</v>
      </c>
      <c r="B310" s="7">
        <v>4.67</v>
      </c>
      <c r="C310" s="18" t="s">
        <v>308</v>
      </c>
      <c r="D310" s="19">
        <v>0</v>
      </c>
      <c r="E310" s="20">
        <v>18.80821917808219</v>
      </c>
      <c r="F310" s="21">
        <v>4.6148999999999996</v>
      </c>
      <c r="G310" s="21">
        <v>5.5100000000000371</v>
      </c>
      <c r="H310" s="21">
        <v>4.6307</v>
      </c>
      <c r="I310" s="21">
        <v>-1.580000000000048</v>
      </c>
      <c r="J310" s="19">
        <v>0</v>
      </c>
      <c r="K310" s="19" t="s">
        <v>19</v>
      </c>
      <c r="L310" s="13">
        <v>3.95</v>
      </c>
      <c r="M310" s="14" t="s">
        <v>79</v>
      </c>
      <c r="N310" s="14" t="s">
        <v>96</v>
      </c>
      <c r="O310" s="4">
        <v>42867</v>
      </c>
    </row>
    <row r="311" spans="1:15">
      <c r="A311" s="7">
        <v>111717075</v>
      </c>
      <c r="B311" s="7">
        <v>4.66</v>
      </c>
      <c r="C311" s="18" t="s">
        <v>815</v>
      </c>
      <c r="D311" s="19" t="s">
        <v>11</v>
      </c>
      <c r="E311" s="20">
        <v>0.38082191780821917</v>
      </c>
      <c r="F311" s="21">
        <v>4.6627000000000001</v>
      </c>
      <c r="G311" s="21">
        <v>-0.26999999999999247</v>
      </c>
      <c r="H311" s="21">
        <v>4.6352000000000002</v>
      </c>
      <c r="I311" s="21">
        <v>2.7499999999999858</v>
      </c>
      <c r="J311" s="19" t="s">
        <v>17</v>
      </c>
      <c r="K311" s="19" t="s">
        <v>56</v>
      </c>
      <c r="L311" s="13">
        <v>4.6001000000000003</v>
      </c>
      <c r="M311" s="14" t="s">
        <v>795</v>
      </c>
      <c r="N311" s="14" t="s">
        <v>797</v>
      </c>
      <c r="O311" s="4">
        <v>42867</v>
      </c>
    </row>
    <row r="312" spans="1:15">
      <c r="A312" s="7">
        <v>111717055</v>
      </c>
      <c r="B312" s="7">
        <v>4.6500000000000004</v>
      </c>
      <c r="C312" s="18" t="s">
        <v>861</v>
      </c>
      <c r="D312" s="19" t="s">
        <v>11</v>
      </c>
      <c r="E312" s="20">
        <v>0.32876712328767121</v>
      </c>
      <c r="F312" s="21">
        <v>4.6456</v>
      </c>
      <c r="G312" s="21">
        <v>0.44000000000004036</v>
      </c>
      <c r="H312" s="21">
        <v>4.6147999999999998</v>
      </c>
      <c r="I312" s="21">
        <v>3.0800000000000161</v>
      </c>
      <c r="J312" s="19" t="s">
        <v>17</v>
      </c>
      <c r="K312" s="19" t="s">
        <v>56</v>
      </c>
      <c r="L312" s="13">
        <v>4.3499999999999996</v>
      </c>
      <c r="M312" s="14" t="s">
        <v>753</v>
      </c>
      <c r="N312" s="14" t="s">
        <v>747</v>
      </c>
      <c r="O312" s="4">
        <v>42867</v>
      </c>
    </row>
    <row r="313" spans="1:15">
      <c r="A313" s="7">
        <v>111710239</v>
      </c>
      <c r="B313" s="7">
        <v>4.6500000000000004</v>
      </c>
      <c r="C313" s="18" t="s">
        <v>918</v>
      </c>
      <c r="D313" s="19" t="s">
        <v>11</v>
      </c>
      <c r="E313" s="20">
        <v>0.24931506849315069</v>
      </c>
      <c r="F313" s="21">
        <v>4.6321000000000003</v>
      </c>
      <c r="G313" s="21">
        <v>1.7900000000000027</v>
      </c>
      <c r="H313" s="21">
        <v>4.5974000000000004</v>
      </c>
      <c r="I313" s="21">
        <v>3.4699999999999953</v>
      </c>
      <c r="J313" s="19" t="s">
        <v>55</v>
      </c>
      <c r="K313" s="19" t="s">
        <v>56</v>
      </c>
      <c r="L313" s="13">
        <v>4.5498000000000003</v>
      </c>
      <c r="M313" s="14" t="s">
        <v>913</v>
      </c>
      <c r="N313" s="14" t="s">
        <v>909</v>
      </c>
      <c r="O313" s="4">
        <v>42867</v>
      </c>
    </row>
    <row r="314" spans="1:15">
      <c r="A314" s="7">
        <v>111615254</v>
      </c>
      <c r="B314" s="7">
        <v>4.6500000000000004</v>
      </c>
      <c r="C314" s="18" t="s">
        <v>602</v>
      </c>
      <c r="D314" s="19" t="s">
        <v>11</v>
      </c>
      <c r="E314" s="20">
        <v>0.36438356164383562</v>
      </c>
      <c r="F314" s="21">
        <v>4.657</v>
      </c>
      <c r="G314" s="21">
        <v>-0.69999999999996732</v>
      </c>
      <c r="H314" s="21">
        <v>4.6284999999999998</v>
      </c>
      <c r="I314" s="21">
        <v>2.8500000000000192</v>
      </c>
      <c r="J314" s="19" t="s">
        <v>55</v>
      </c>
      <c r="K314" s="19" t="s">
        <v>56</v>
      </c>
      <c r="L314" s="13">
        <v>3.02</v>
      </c>
      <c r="M314" s="14" t="s">
        <v>513</v>
      </c>
      <c r="N314" s="14" t="s">
        <v>512</v>
      </c>
      <c r="O314" s="4">
        <v>42867</v>
      </c>
    </row>
    <row r="315" spans="1:15">
      <c r="A315" s="7">
        <v>111610594</v>
      </c>
      <c r="B315" s="7">
        <v>4.6500000000000004</v>
      </c>
      <c r="C315" s="18" t="s">
        <v>578</v>
      </c>
      <c r="D315" s="19" t="s">
        <v>11</v>
      </c>
      <c r="E315" s="20">
        <v>0.24109589041095891</v>
      </c>
      <c r="F315" s="21">
        <v>4.6321000000000003</v>
      </c>
      <c r="G315" s="21">
        <v>1.7900000000000027</v>
      </c>
      <c r="H315" s="21">
        <v>4.5972</v>
      </c>
      <c r="I315" s="21">
        <v>3.4900000000000375</v>
      </c>
      <c r="J315" s="19" t="s">
        <v>55</v>
      </c>
      <c r="K315" s="19" t="s">
        <v>56</v>
      </c>
      <c r="L315" s="13">
        <v>3.0699000000000001</v>
      </c>
      <c r="M315" s="14" t="s">
        <v>570</v>
      </c>
      <c r="N315" s="14" t="s">
        <v>567</v>
      </c>
      <c r="O315" s="4">
        <v>42867</v>
      </c>
    </row>
    <row r="316" spans="1:15">
      <c r="A316" s="7">
        <v>111608271</v>
      </c>
      <c r="B316" s="7">
        <v>4.6399999999999997</v>
      </c>
      <c r="C316" s="18" t="s">
        <v>592</v>
      </c>
      <c r="D316" s="19" t="s">
        <v>11</v>
      </c>
      <c r="E316" s="20">
        <v>0.27123287671232876</v>
      </c>
      <c r="F316" s="21">
        <v>4.6333000000000002</v>
      </c>
      <c r="G316" s="21">
        <v>0.66999999999994841</v>
      </c>
      <c r="H316" s="21">
        <v>4.5994000000000002</v>
      </c>
      <c r="I316" s="21">
        <v>3.3900000000000041</v>
      </c>
      <c r="J316" s="19" t="s">
        <v>17</v>
      </c>
      <c r="K316" s="19" t="s">
        <v>56</v>
      </c>
      <c r="L316" s="13">
        <v>2.85</v>
      </c>
      <c r="M316" s="14" t="s">
        <v>456</v>
      </c>
      <c r="N316" s="14" t="s">
        <v>449</v>
      </c>
      <c r="O316" s="4">
        <v>42867</v>
      </c>
    </row>
    <row r="317" spans="1:15">
      <c r="A317" s="7">
        <v>160409</v>
      </c>
      <c r="B317" s="7">
        <v>4.6399999999999997</v>
      </c>
      <c r="C317" s="18" t="s">
        <v>295</v>
      </c>
      <c r="D317" s="19">
        <v>0</v>
      </c>
      <c r="E317" s="20">
        <v>13.805479452054794</v>
      </c>
      <c r="F317" s="21">
        <v>4.6148999999999996</v>
      </c>
      <c r="G317" s="21">
        <v>2.5100000000000122</v>
      </c>
      <c r="H317" s="21">
        <v>4.6275000000000004</v>
      </c>
      <c r="I317" s="21">
        <v>-1.2600000000000833</v>
      </c>
      <c r="J317" s="19">
        <v>0</v>
      </c>
      <c r="K317" s="19" t="s">
        <v>19</v>
      </c>
      <c r="L317" s="13">
        <v>3.95</v>
      </c>
      <c r="M317" s="14" t="s">
        <v>79</v>
      </c>
      <c r="N317" s="14" t="s">
        <v>96</v>
      </c>
      <c r="O317" s="4">
        <v>42867</v>
      </c>
    </row>
    <row r="318" spans="1:15">
      <c r="A318" s="7">
        <v>111717078</v>
      </c>
      <c r="B318" s="7">
        <v>4.63</v>
      </c>
      <c r="C318" s="18" t="s">
        <v>810</v>
      </c>
      <c r="D318" s="19" t="s">
        <v>11</v>
      </c>
      <c r="E318" s="20">
        <v>0.38356164383561642</v>
      </c>
      <c r="F318" s="21">
        <v>4.6635999999999997</v>
      </c>
      <c r="G318" s="21">
        <v>-3.3599999999999852</v>
      </c>
      <c r="H318" s="21">
        <v>4.6364000000000001</v>
      </c>
      <c r="I318" s="21">
        <v>2.7199999999999669</v>
      </c>
      <c r="J318" s="19" t="s">
        <v>17</v>
      </c>
      <c r="K318" s="19" t="s">
        <v>56</v>
      </c>
      <c r="L318" s="13">
        <v>4.5000999999999998</v>
      </c>
      <c r="M318" s="14" t="s">
        <v>808</v>
      </c>
      <c r="N318" s="14" t="s">
        <v>795</v>
      </c>
      <c r="O318" s="4">
        <v>42867</v>
      </c>
    </row>
    <row r="319" spans="1:15">
      <c r="A319" s="7">
        <v>111717055</v>
      </c>
      <c r="B319" s="7">
        <v>4.63</v>
      </c>
      <c r="C319" s="18" t="s">
        <v>861</v>
      </c>
      <c r="D319" s="19" t="s">
        <v>11</v>
      </c>
      <c r="E319" s="20">
        <v>0.32876712328767121</v>
      </c>
      <c r="F319" s="21">
        <v>4.6456</v>
      </c>
      <c r="G319" s="21">
        <v>-1.5600000000000058</v>
      </c>
      <c r="H319" s="21">
        <v>4.6147999999999998</v>
      </c>
      <c r="I319" s="21">
        <v>3.0800000000000161</v>
      </c>
      <c r="J319" s="19" t="s">
        <v>17</v>
      </c>
      <c r="K319" s="19" t="s">
        <v>56</v>
      </c>
      <c r="L319" s="13">
        <v>4.3499999999999996</v>
      </c>
      <c r="M319" s="14" t="s">
        <v>753</v>
      </c>
      <c r="N319" s="14" t="s">
        <v>747</v>
      </c>
      <c r="O319" s="4">
        <v>42867</v>
      </c>
    </row>
    <row r="320" spans="1:15">
      <c r="A320" s="7">
        <v>160409</v>
      </c>
      <c r="B320" s="7">
        <v>4.63</v>
      </c>
      <c r="C320" s="18" t="s">
        <v>295</v>
      </c>
      <c r="D320" s="19">
        <v>0</v>
      </c>
      <c r="E320" s="20">
        <v>13.805479452054794</v>
      </c>
      <c r="F320" s="21">
        <v>4.6148999999999996</v>
      </c>
      <c r="G320" s="21">
        <v>1.5100000000000335</v>
      </c>
      <c r="H320" s="21">
        <v>4.6275000000000004</v>
      </c>
      <c r="I320" s="21">
        <v>-1.2600000000000833</v>
      </c>
      <c r="J320" s="19">
        <v>0</v>
      </c>
      <c r="K320" s="19" t="s">
        <v>19</v>
      </c>
      <c r="L320" s="13">
        <v>3.95</v>
      </c>
      <c r="M320" s="14" t="s">
        <v>79</v>
      </c>
      <c r="N320" s="14" t="s">
        <v>96</v>
      </c>
      <c r="O320" s="4">
        <v>42867</v>
      </c>
    </row>
    <row r="321" spans="1:15">
      <c r="A321" s="7">
        <v>160205</v>
      </c>
      <c r="B321" s="7">
        <v>4.63</v>
      </c>
      <c r="C321" s="18" t="s">
        <v>228</v>
      </c>
      <c r="D321" s="19">
        <v>0</v>
      </c>
      <c r="E321" s="20">
        <v>18.720547945205478</v>
      </c>
      <c r="F321" s="21">
        <v>4.5490000000000004</v>
      </c>
      <c r="G321" s="21">
        <v>8.0999999999999517</v>
      </c>
      <c r="H321" s="21">
        <v>4.5650000000000004</v>
      </c>
      <c r="I321" s="21">
        <v>-1.6000000000000014</v>
      </c>
      <c r="J321" s="19">
        <v>0</v>
      </c>
      <c r="K321" s="19" t="s">
        <v>19</v>
      </c>
      <c r="L321" s="13">
        <v>3.8</v>
      </c>
      <c r="M321" s="14" t="s">
        <v>63</v>
      </c>
      <c r="N321" s="14" t="s">
        <v>114</v>
      </c>
      <c r="O321" s="4">
        <v>42867</v>
      </c>
    </row>
    <row r="322" spans="1:15">
      <c r="A322" s="7">
        <v>160205</v>
      </c>
      <c r="B322" s="7">
        <v>4.63</v>
      </c>
      <c r="C322" s="18" t="s">
        <v>228</v>
      </c>
      <c r="D322" s="19">
        <v>0</v>
      </c>
      <c r="E322" s="20">
        <v>18.720547945205478</v>
      </c>
      <c r="F322" s="21">
        <v>4.5490000000000004</v>
      </c>
      <c r="G322" s="21">
        <v>8.0999999999999517</v>
      </c>
      <c r="H322" s="21">
        <v>4.5650000000000004</v>
      </c>
      <c r="I322" s="21">
        <v>-1.6000000000000014</v>
      </c>
      <c r="J322" s="19">
        <v>0</v>
      </c>
      <c r="K322" s="19" t="s">
        <v>19</v>
      </c>
      <c r="L322" s="13">
        <v>3.8</v>
      </c>
      <c r="M322" s="14" t="s">
        <v>63</v>
      </c>
      <c r="N322" s="14" t="s">
        <v>114</v>
      </c>
      <c r="O322" s="4">
        <v>42867</v>
      </c>
    </row>
    <row r="323" spans="1:15">
      <c r="A323" s="7">
        <v>111610578</v>
      </c>
      <c r="B323" s="7">
        <v>4.62</v>
      </c>
      <c r="C323" s="18" t="s">
        <v>819</v>
      </c>
      <c r="D323" s="19" t="s">
        <v>11</v>
      </c>
      <c r="E323" s="20">
        <v>0.45753424657534247</v>
      </c>
      <c r="F323" s="21">
        <v>4.6848000000000001</v>
      </c>
      <c r="G323" s="21">
        <v>-6.4799999999999969</v>
      </c>
      <c r="H323" s="21">
        <v>4.6624999999999996</v>
      </c>
      <c r="I323" s="21">
        <v>2.2300000000000431</v>
      </c>
      <c r="J323" s="19" t="s">
        <v>55</v>
      </c>
      <c r="K323" s="19" t="s">
        <v>56</v>
      </c>
      <c r="L323" s="13">
        <v>3.03</v>
      </c>
      <c r="M323" s="14" t="s">
        <v>553</v>
      </c>
      <c r="N323" s="14" t="s">
        <v>551</v>
      </c>
      <c r="O323" s="4">
        <v>42867</v>
      </c>
    </row>
    <row r="324" spans="1:15">
      <c r="A324" s="7" t="s">
        <v>914</v>
      </c>
      <c r="B324" s="7">
        <v>4.6100000000000003</v>
      </c>
      <c r="C324" s="18" t="s">
        <v>865</v>
      </c>
      <c r="D324" s="19">
        <v>0</v>
      </c>
      <c r="E324" s="20">
        <v>1.1397260273972603</v>
      </c>
      <c r="F324" s="21">
        <v>4.5533000000000001</v>
      </c>
      <c r="G324" s="21">
        <v>5.6700000000000195</v>
      </c>
      <c r="H324" s="21">
        <v>4.6151999999999997</v>
      </c>
      <c r="I324" s="21">
        <v>-6.1899999999999622</v>
      </c>
      <c r="J324" s="19">
        <v>0</v>
      </c>
      <c r="K324" s="19" t="s">
        <v>121</v>
      </c>
      <c r="L324" s="13">
        <v>4.38</v>
      </c>
      <c r="M324" s="14" t="s">
        <v>89</v>
      </c>
      <c r="N324" s="14" t="s">
        <v>260</v>
      </c>
      <c r="O324" s="4">
        <v>42867</v>
      </c>
    </row>
    <row r="325" spans="1:15">
      <c r="A325" s="7">
        <v>41656019</v>
      </c>
      <c r="B325" s="7">
        <v>4.5999999999999996</v>
      </c>
      <c r="C325" s="18" t="s">
        <v>827</v>
      </c>
      <c r="D325" s="19" t="s">
        <v>25</v>
      </c>
      <c r="E325" s="20">
        <v>7.3972602739726029E-2</v>
      </c>
      <c r="F325" s="21">
        <v>4.4316000000000004</v>
      </c>
      <c r="G325" s="21">
        <v>16.839999999999922</v>
      </c>
      <c r="H325" s="21">
        <v>4.4325999999999999</v>
      </c>
      <c r="I325" s="21">
        <v>-9.9999999999944578E-2</v>
      </c>
      <c r="J325" s="19" t="s">
        <v>12</v>
      </c>
      <c r="K325" s="19" t="s">
        <v>13</v>
      </c>
      <c r="L325" s="13">
        <v>3.8</v>
      </c>
      <c r="M325" s="14" t="s">
        <v>387</v>
      </c>
      <c r="N325" s="14" t="s">
        <v>388</v>
      </c>
      <c r="O325" s="4">
        <v>42867</v>
      </c>
    </row>
    <row r="326" spans="1:15">
      <c r="A326" s="7">
        <v>11753017</v>
      </c>
      <c r="B326" s="7">
        <v>4.5999999999999996</v>
      </c>
      <c r="C326" s="18" t="s">
        <v>809</v>
      </c>
      <c r="D326" s="19" t="s">
        <v>11</v>
      </c>
      <c r="E326" s="20">
        <v>0.44383561643835617</v>
      </c>
      <c r="F326" s="21">
        <v>4.3571999999999997</v>
      </c>
      <c r="G326" s="21">
        <v>24.27999999999999</v>
      </c>
      <c r="H326" s="21">
        <v>4.3253000000000004</v>
      </c>
      <c r="I326" s="21">
        <v>3.1899999999999373</v>
      </c>
      <c r="J326" s="19" t="s">
        <v>17</v>
      </c>
      <c r="K326" s="19" t="s">
        <v>13</v>
      </c>
      <c r="L326" s="13">
        <v>4.0999999999999996</v>
      </c>
      <c r="M326" s="14" t="s">
        <v>795</v>
      </c>
      <c r="N326" s="14" t="s">
        <v>788</v>
      </c>
      <c r="O326" s="4">
        <v>42867</v>
      </c>
    </row>
    <row r="327" spans="1:15">
      <c r="A327" s="7">
        <v>1680380</v>
      </c>
      <c r="B327" s="7">
        <v>4.5999999999999996</v>
      </c>
      <c r="C327" s="18" t="s">
        <v>993</v>
      </c>
      <c r="D327" s="19" t="s">
        <v>11</v>
      </c>
      <c r="E327" s="20">
        <v>9.3643835616438356</v>
      </c>
      <c r="F327" s="21">
        <v>4.5998999999999999</v>
      </c>
      <c r="G327" s="21">
        <v>9.9999999999766942E-3</v>
      </c>
      <c r="H327" s="21">
        <v>4.5891999999999999</v>
      </c>
      <c r="I327" s="21">
        <v>1.0699999999999932</v>
      </c>
      <c r="J327" s="19" t="s">
        <v>17</v>
      </c>
      <c r="K327" s="19" t="s">
        <v>174</v>
      </c>
      <c r="L327" s="13">
        <v>3.15</v>
      </c>
      <c r="M327" s="14" t="s">
        <v>513</v>
      </c>
      <c r="N327" s="14" t="s">
        <v>501</v>
      </c>
      <c r="O327" s="4">
        <v>42867</v>
      </c>
    </row>
    <row r="328" spans="1:15">
      <c r="A328" s="7">
        <v>1580237</v>
      </c>
      <c r="B328" s="7">
        <v>4.59</v>
      </c>
      <c r="C328" s="18" t="s">
        <v>180</v>
      </c>
      <c r="D328" s="19" t="s">
        <v>11</v>
      </c>
      <c r="E328" s="20">
        <v>8.4520547945205475</v>
      </c>
      <c r="F328" s="21">
        <v>4.5998999999999999</v>
      </c>
      <c r="G328" s="21">
        <v>-0.99000000000000199</v>
      </c>
      <c r="H328" s="21">
        <v>4.5837000000000003</v>
      </c>
      <c r="I328" s="21">
        <v>1.6199999999999548</v>
      </c>
      <c r="J328" s="19" t="s">
        <v>17</v>
      </c>
      <c r="K328" s="19" t="s">
        <v>174</v>
      </c>
      <c r="L328" s="13">
        <v>3.86</v>
      </c>
      <c r="M328" s="14" t="s">
        <v>167</v>
      </c>
      <c r="N328" s="14" t="s">
        <v>155</v>
      </c>
      <c r="O328" s="4">
        <v>42867</v>
      </c>
    </row>
    <row r="329" spans="1:15">
      <c r="A329" s="7">
        <v>1480556</v>
      </c>
      <c r="B329" s="7">
        <v>4.59</v>
      </c>
      <c r="C329" s="18" t="s">
        <v>455</v>
      </c>
      <c r="D329" s="19" t="s">
        <v>11</v>
      </c>
      <c r="E329" s="20">
        <v>7.493150684931507</v>
      </c>
      <c r="F329" s="21">
        <v>4.5998999999999999</v>
      </c>
      <c r="G329" s="21">
        <v>-0.99000000000000199</v>
      </c>
      <c r="H329" s="21">
        <v>4.5823</v>
      </c>
      <c r="I329" s="21">
        <v>1.7599999999999838</v>
      </c>
      <c r="J329" s="19" t="s">
        <v>17</v>
      </c>
      <c r="K329" s="19" t="s">
        <v>174</v>
      </c>
      <c r="L329" s="13">
        <v>4.53</v>
      </c>
      <c r="M329" s="14" t="s">
        <v>210</v>
      </c>
      <c r="N329" s="14" t="s">
        <v>319</v>
      </c>
      <c r="O329" s="4">
        <v>42867</v>
      </c>
    </row>
    <row r="330" spans="1:15">
      <c r="A330" s="7">
        <v>101652024</v>
      </c>
      <c r="B330" s="7">
        <v>4.57</v>
      </c>
      <c r="C330" s="18" t="s">
        <v>389</v>
      </c>
      <c r="D330" s="19" t="s">
        <v>11</v>
      </c>
      <c r="E330" s="20">
        <v>4.0794520547945208</v>
      </c>
      <c r="F330" s="21">
        <v>4.5757000000000003</v>
      </c>
      <c r="G330" s="21">
        <v>-0.57000000000000384</v>
      </c>
      <c r="H330" s="21">
        <v>4.5795000000000003</v>
      </c>
      <c r="I330" s="21">
        <v>-0.38000000000000256</v>
      </c>
      <c r="J330" s="19" t="s">
        <v>17</v>
      </c>
      <c r="K330" s="19" t="s">
        <v>45</v>
      </c>
      <c r="L330" s="13">
        <v>3.46</v>
      </c>
      <c r="M330" s="14" t="s">
        <v>390</v>
      </c>
      <c r="N330" s="14" t="s">
        <v>391</v>
      </c>
      <c r="O330" s="4">
        <v>42867</v>
      </c>
    </row>
    <row r="331" spans="1:15">
      <c r="A331" s="7">
        <v>101652024</v>
      </c>
      <c r="B331" s="7">
        <v>4.57</v>
      </c>
      <c r="C331" s="18" t="s">
        <v>389</v>
      </c>
      <c r="D331" s="19" t="s">
        <v>11</v>
      </c>
      <c r="E331" s="20">
        <v>4.0794520547945208</v>
      </c>
      <c r="F331" s="21">
        <v>4.5757000000000003</v>
      </c>
      <c r="G331" s="21">
        <v>-0.57000000000000384</v>
      </c>
      <c r="H331" s="21">
        <v>4.5795000000000003</v>
      </c>
      <c r="I331" s="21">
        <v>-0.38000000000000256</v>
      </c>
      <c r="J331" s="19" t="s">
        <v>17</v>
      </c>
      <c r="K331" s="19" t="s">
        <v>45</v>
      </c>
      <c r="L331" s="13">
        <v>3.46</v>
      </c>
      <c r="M331" s="14" t="s">
        <v>390</v>
      </c>
      <c r="N331" s="14" t="s">
        <v>391</v>
      </c>
      <c r="O331" s="4">
        <v>42867</v>
      </c>
    </row>
    <row r="332" spans="1:15">
      <c r="A332" s="7">
        <v>160405</v>
      </c>
      <c r="B332" s="7">
        <v>4.57</v>
      </c>
      <c r="C332" s="18" t="s">
        <v>94</v>
      </c>
      <c r="D332" s="19">
        <v>0</v>
      </c>
      <c r="E332" s="20">
        <v>8.6630136986301363</v>
      </c>
      <c r="F332" s="21">
        <v>4.5260999999999996</v>
      </c>
      <c r="G332" s="21">
        <v>4.3900000000000716</v>
      </c>
      <c r="H332" s="21">
        <v>4.5738000000000003</v>
      </c>
      <c r="I332" s="21">
        <v>-4.7700000000000742</v>
      </c>
      <c r="J332" s="19">
        <v>0</v>
      </c>
      <c r="K332" s="19" t="s">
        <v>19</v>
      </c>
      <c r="L332" s="13">
        <v>3.33</v>
      </c>
      <c r="M332" s="14" t="s">
        <v>87</v>
      </c>
      <c r="N332" s="14" t="s">
        <v>88</v>
      </c>
      <c r="O332" s="4">
        <v>42867</v>
      </c>
    </row>
    <row r="333" spans="1:15">
      <c r="A333" s="7">
        <v>160210</v>
      </c>
      <c r="B333" s="7">
        <v>4.57</v>
      </c>
      <c r="C333" s="18" t="s">
        <v>97</v>
      </c>
      <c r="D333" s="19">
        <v>0</v>
      </c>
      <c r="E333" s="20">
        <v>8.9068493150684933</v>
      </c>
      <c r="F333" s="21">
        <v>4.5414000000000003</v>
      </c>
      <c r="G333" s="21">
        <v>2.8599999999999959</v>
      </c>
      <c r="H333" s="21">
        <v>4.5801999999999996</v>
      </c>
      <c r="I333" s="21">
        <v>-3.879999999999928</v>
      </c>
      <c r="J333" s="19" t="s">
        <v>17</v>
      </c>
      <c r="K333" s="19" t="s">
        <v>19</v>
      </c>
      <c r="L333" s="13">
        <v>3.18</v>
      </c>
      <c r="M333" s="14" t="s">
        <v>98</v>
      </c>
      <c r="N333" s="14" t="s">
        <v>99</v>
      </c>
      <c r="O333" s="4">
        <v>42867</v>
      </c>
    </row>
    <row r="334" spans="1:15">
      <c r="A334" s="7">
        <v>150308</v>
      </c>
      <c r="B334" s="7">
        <v>4.57</v>
      </c>
      <c r="C334" s="18" t="s">
        <v>294</v>
      </c>
      <c r="D334" s="19">
        <v>0</v>
      </c>
      <c r="E334" s="20">
        <v>7.912328767123288</v>
      </c>
      <c r="F334" s="21">
        <v>4.5345000000000004</v>
      </c>
      <c r="G334" s="21">
        <v>3.5499999999999865</v>
      </c>
      <c r="H334" s="21">
        <v>4.5712999999999999</v>
      </c>
      <c r="I334" s="21">
        <v>-3.67999999999995</v>
      </c>
      <c r="J334" s="19" t="s">
        <v>17</v>
      </c>
      <c r="K334" s="19" t="s">
        <v>19</v>
      </c>
      <c r="L334" s="13">
        <v>4.29</v>
      </c>
      <c r="M334" s="14" t="s">
        <v>336</v>
      </c>
      <c r="N334" s="14" t="s">
        <v>371</v>
      </c>
      <c r="O334" s="4">
        <v>42867</v>
      </c>
    </row>
    <row r="335" spans="1:15">
      <c r="A335" s="7">
        <v>150308</v>
      </c>
      <c r="B335" s="7">
        <v>4.57</v>
      </c>
      <c r="C335" s="18" t="s">
        <v>294</v>
      </c>
      <c r="D335" s="19">
        <v>0</v>
      </c>
      <c r="E335" s="20">
        <v>7.912328767123288</v>
      </c>
      <c r="F335" s="21">
        <v>4.5345000000000004</v>
      </c>
      <c r="G335" s="21">
        <v>3.5499999999999865</v>
      </c>
      <c r="H335" s="21">
        <v>4.5712999999999999</v>
      </c>
      <c r="I335" s="21">
        <v>-3.67999999999995</v>
      </c>
      <c r="J335" s="19" t="s">
        <v>17</v>
      </c>
      <c r="K335" s="19" t="s">
        <v>19</v>
      </c>
      <c r="L335" s="13">
        <v>4.29</v>
      </c>
      <c r="M335" s="14" t="s">
        <v>336</v>
      </c>
      <c r="N335" s="14" t="s">
        <v>371</v>
      </c>
      <c r="O335" s="4">
        <v>42867</v>
      </c>
    </row>
    <row r="336" spans="1:15">
      <c r="A336" s="7">
        <v>150305</v>
      </c>
      <c r="B336" s="7">
        <v>4.57</v>
      </c>
      <c r="C336" s="18" t="s">
        <v>280</v>
      </c>
      <c r="D336" s="19">
        <v>0</v>
      </c>
      <c r="E336" s="20">
        <v>7.7561643835616438</v>
      </c>
      <c r="F336" s="21">
        <v>4.5345000000000004</v>
      </c>
      <c r="G336" s="21">
        <v>3.5499999999999865</v>
      </c>
      <c r="H336" s="21">
        <v>4.5693000000000001</v>
      </c>
      <c r="I336" s="21">
        <v>-3.479999999999972</v>
      </c>
      <c r="J336" s="19" t="s">
        <v>17</v>
      </c>
      <c r="K336" s="19" t="s">
        <v>19</v>
      </c>
      <c r="L336" s="13">
        <v>3.99</v>
      </c>
      <c r="M336" s="14" t="s">
        <v>334</v>
      </c>
      <c r="N336" s="14" t="s">
        <v>255</v>
      </c>
      <c r="O336" s="4">
        <v>42867</v>
      </c>
    </row>
    <row r="337" spans="1:15">
      <c r="A337" s="7">
        <v>150218</v>
      </c>
      <c r="B337" s="7">
        <v>4.57</v>
      </c>
      <c r="C337" s="18" t="s">
        <v>92</v>
      </c>
      <c r="D337" s="19">
        <v>0</v>
      </c>
      <c r="E337" s="20">
        <v>8.3397260273972602</v>
      </c>
      <c r="F337" s="21">
        <v>4.5444000000000004</v>
      </c>
      <c r="G337" s="21">
        <v>2.5599999999999845</v>
      </c>
      <c r="H337" s="21">
        <v>4.5525000000000002</v>
      </c>
      <c r="I337" s="21">
        <v>-0.8099999999999774</v>
      </c>
      <c r="J337" s="19" t="s">
        <v>17</v>
      </c>
      <c r="K337" s="19" t="s">
        <v>19</v>
      </c>
      <c r="L337" s="13">
        <v>3.74</v>
      </c>
      <c r="M337" s="14" t="s">
        <v>64</v>
      </c>
      <c r="N337" s="14" t="s">
        <v>93</v>
      </c>
      <c r="O337" s="4">
        <v>42867</v>
      </c>
    </row>
    <row r="338" spans="1:15">
      <c r="A338" s="7">
        <v>150218</v>
      </c>
      <c r="B338" s="7">
        <v>4.57</v>
      </c>
      <c r="C338" s="18" t="s">
        <v>92</v>
      </c>
      <c r="D338" s="19">
        <v>0</v>
      </c>
      <c r="E338" s="20">
        <v>8.3397260273972602</v>
      </c>
      <c r="F338" s="21">
        <v>4.5444000000000004</v>
      </c>
      <c r="G338" s="21">
        <v>2.5599999999999845</v>
      </c>
      <c r="H338" s="21">
        <v>4.5525000000000002</v>
      </c>
      <c r="I338" s="21">
        <v>-0.8099999999999774</v>
      </c>
      <c r="J338" s="19" t="s">
        <v>17</v>
      </c>
      <c r="K338" s="19" t="s">
        <v>19</v>
      </c>
      <c r="L338" s="13">
        <v>3.74</v>
      </c>
      <c r="M338" s="14" t="s">
        <v>64</v>
      </c>
      <c r="N338" s="14" t="s">
        <v>93</v>
      </c>
      <c r="O338" s="4">
        <v>42867</v>
      </c>
    </row>
    <row r="339" spans="1:15">
      <c r="A339" s="7">
        <v>150218</v>
      </c>
      <c r="B339" s="7">
        <v>4.57</v>
      </c>
      <c r="C339" s="18" t="s">
        <v>92</v>
      </c>
      <c r="D339" s="19">
        <v>0</v>
      </c>
      <c r="E339" s="20">
        <v>8.3397260273972602</v>
      </c>
      <c r="F339" s="21">
        <v>4.5444000000000004</v>
      </c>
      <c r="G339" s="21">
        <v>2.5599999999999845</v>
      </c>
      <c r="H339" s="21">
        <v>4.5525000000000002</v>
      </c>
      <c r="I339" s="21">
        <v>-0.8099999999999774</v>
      </c>
      <c r="J339" s="19" t="s">
        <v>17</v>
      </c>
      <c r="K339" s="19" t="s">
        <v>19</v>
      </c>
      <c r="L339" s="13">
        <v>3.74</v>
      </c>
      <c r="M339" s="14" t="s">
        <v>64</v>
      </c>
      <c r="N339" s="14" t="s">
        <v>93</v>
      </c>
      <c r="O339" s="4">
        <v>42867</v>
      </c>
    </row>
    <row r="340" spans="1:15">
      <c r="A340" s="7">
        <v>150210</v>
      </c>
      <c r="B340" s="7">
        <v>4.57</v>
      </c>
      <c r="C340" s="18" t="s">
        <v>91</v>
      </c>
      <c r="D340" s="19">
        <v>0</v>
      </c>
      <c r="E340" s="20">
        <v>7.9287671232876713</v>
      </c>
      <c r="F340" s="21">
        <v>4.5646000000000004</v>
      </c>
      <c r="G340" s="21">
        <v>0.53999999999998494</v>
      </c>
      <c r="H340" s="21">
        <v>4.5673000000000004</v>
      </c>
      <c r="I340" s="21">
        <v>-0.26999999999999247</v>
      </c>
      <c r="J340" s="19" t="s">
        <v>17</v>
      </c>
      <c r="K340" s="19" t="s">
        <v>19</v>
      </c>
      <c r="L340" s="13">
        <v>4.21</v>
      </c>
      <c r="M340" s="14" t="s">
        <v>85</v>
      </c>
      <c r="N340" s="14" t="s">
        <v>86</v>
      </c>
      <c r="O340" s="4">
        <v>42867</v>
      </c>
    </row>
    <row r="341" spans="1:15">
      <c r="A341" s="7">
        <v>150210</v>
      </c>
      <c r="B341" s="7">
        <v>4.57</v>
      </c>
      <c r="C341" s="18" t="s">
        <v>91</v>
      </c>
      <c r="D341" s="19">
        <v>0</v>
      </c>
      <c r="E341" s="20">
        <v>7.9287671232876713</v>
      </c>
      <c r="F341" s="21">
        <v>4.5646000000000004</v>
      </c>
      <c r="G341" s="21">
        <v>0.53999999999998494</v>
      </c>
      <c r="H341" s="21">
        <v>4.5673000000000004</v>
      </c>
      <c r="I341" s="21">
        <v>-0.26999999999999247</v>
      </c>
      <c r="J341" s="19" t="s">
        <v>17</v>
      </c>
      <c r="K341" s="19" t="s">
        <v>19</v>
      </c>
      <c r="L341" s="13">
        <v>4.21</v>
      </c>
      <c r="M341" s="14" t="s">
        <v>85</v>
      </c>
      <c r="N341" s="14" t="s">
        <v>86</v>
      </c>
      <c r="O341" s="4">
        <v>42867</v>
      </c>
    </row>
    <row r="342" spans="1:15">
      <c r="A342" s="7">
        <v>150218</v>
      </c>
      <c r="B342" s="7">
        <v>4.5650000000000004</v>
      </c>
      <c r="C342" s="18" t="s">
        <v>92</v>
      </c>
      <c r="D342" s="19">
        <v>0</v>
      </c>
      <c r="E342" s="20">
        <v>8.3397260273972602</v>
      </c>
      <c r="F342" s="21">
        <v>4.5444000000000004</v>
      </c>
      <c r="G342" s="21">
        <v>2.0599999999999952</v>
      </c>
      <c r="H342" s="21">
        <v>4.5525000000000002</v>
      </c>
      <c r="I342" s="21">
        <v>-0.8099999999999774</v>
      </c>
      <c r="J342" s="19" t="s">
        <v>17</v>
      </c>
      <c r="K342" s="19" t="s">
        <v>19</v>
      </c>
      <c r="L342" s="13">
        <v>3.74</v>
      </c>
      <c r="M342" s="14" t="s">
        <v>64</v>
      </c>
      <c r="N342" s="14" t="s">
        <v>93</v>
      </c>
      <c r="O342" s="4">
        <v>42867</v>
      </c>
    </row>
    <row r="343" spans="1:15">
      <c r="A343" s="7">
        <v>150218</v>
      </c>
      <c r="B343" s="7">
        <v>4.5650000000000004</v>
      </c>
      <c r="C343" s="18" t="s">
        <v>92</v>
      </c>
      <c r="D343" s="19">
        <v>0</v>
      </c>
      <c r="E343" s="20">
        <v>8.3397260273972602</v>
      </c>
      <c r="F343" s="21">
        <v>4.5444000000000004</v>
      </c>
      <c r="G343" s="21">
        <v>2.0599999999999952</v>
      </c>
      <c r="H343" s="21">
        <v>4.5525000000000002</v>
      </c>
      <c r="I343" s="21">
        <v>-0.8099999999999774</v>
      </c>
      <c r="J343" s="19" t="s">
        <v>17</v>
      </c>
      <c r="K343" s="19" t="s">
        <v>19</v>
      </c>
      <c r="L343" s="13">
        <v>3.74</v>
      </c>
      <c r="M343" s="14" t="s">
        <v>64</v>
      </c>
      <c r="N343" s="14" t="s">
        <v>93</v>
      </c>
      <c r="O343" s="4">
        <v>42867</v>
      </c>
    </row>
    <row r="344" spans="1:15">
      <c r="A344" s="7">
        <v>150218</v>
      </c>
      <c r="B344" s="7">
        <v>4.5650000000000004</v>
      </c>
      <c r="C344" s="18" t="s">
        <v>92</v>
      </c>
      <c r="D344" s="19">
        <v>0</v>
      </c>
      <c r="E344" s="20">
        <v>8.3397260273972602</v>
      </c>
      <c r="F344" s="21">
        <v>4.5444000000000004</v>
      </c>
      <c r="G344" s="21">
        <v>2.0599999999999952</v>
      </c>
      <c r="H344" s="21">
        <v>4.5525000000000002</v>
      </c>
      <c r="I344" s="21">
        <v>-0.8099999999999774</v>
      </c>
      <c r="J344" s="19" t="s">
        <v>17</v>
      </c>
      <c r="K344" s="19" t="s">
        <v>19</v>
      </c>
      <c r="L344" s="13">
        <v>3.74</v>
      </c>
      <c r="M344" s="14" t="s">
        <v>64</v>
      </c>
      <c r="N344" s="14" t="s">
        <v>93</v>
      </c>
      <c r="O344" s="4">
        <v>42867</v>
      </c>
    </row>
    <row r="345" spans="1:15">
      <c r="A345" s="7">
        <v>150218</v>
      </c>
      <c r="B345" s="7">
        <v>4.5650000000000004</v>
      </c>
      <c r="C345" s="18" t="s">
        <v>92</v>
      </c>
      <c r="D345" s="19">
        <v>0</v>
      </c>
      <c r="E345" s="20">
        <v>8.3397260273972602</v>
      </c>
      <c r="F345" s="21">
        <v>4.5444000000000004</v>
      </c>
      <c r="G345" s="21">
        <v>2.0599999999999952</v>
      </c>
      <c r="H345" s="21">
        <v>4.5525000000000002</v>
      </c>
      <c r="I345" s="21">
        <v>-0.8099999999999774</v>
      </c>
      <c r="J345" s="19" t="s">
        <v>17</v>
      </c>
      <c r="K345" s="19" t="s">
        <v>19</v>
      </c>
      <c r="L345" s="13">
        <v>3.74</v>
      </c>
      <c r="M345" s="14" t="s">
        <v>64</v>
      </c>
      <c r="N345" s="14" t="s">
        <v>93</v>
      </c>
      <c r="O345" s="4">
        <v>42867</v>
      </c>
    </row>
    <row r="346" spans="1:15">
      <c r="A346" s="7">
        <v>170405</v>
      </c>
      <c r="B346" s="7">
        <v>4.5599999999999996</v>
      </c>
      <c r="C346" s="18" t="s">
        <v>656</v>
      </c>
      <c r="D346" s="19">
        <v>0</v>
      </c>
      <c r="E346" s="20">
        <v>9.6630136986301363</v>
      </c>
      <c r="F346" s="21">
        <v>4.5297999999999998</v>
      </c>
      <c r="G346" s="21">
        <v>3.0199999999999783</v>
      </c>
      <c r="H346" s="21">
        <v>4.5898000000000003</v>
      </c>
      <c r="I346" s="21">
        <v>-6.0000000000000497</v>
      </c>
      <c r="J346" s="19" t="s">
        <v>17</v>
      </c>
      <c r="K346" s="19" t="s">
        <v>19</v>
      </c>
      <c r="L346" s="13">
        <v>3.85</v>
      </c>
      <c r="M346" s="14" t="s">
        <v>644</v>
      </c>
      <c r="N346" s="14" t="s">
        <v>635</v>
      </c>
      <c r="O346" s="4">
        <v>42867</v>
      </c>
    </row>
    <row r="347" spans="1:15">
      <c r="A347" s="7">
        <v>150218</v>
      </c>
      <c r="B347" s="7">
        <v>4.5599999999999996</v>
      </c>
      <c r="C347" s="18" t="s">
        <v>92</v>
      </c>
      <c r="D347" s="19">
        <v>0</v>
      </c>
      <c r="E347" s="20">
        <v>8.3397260273972602</v>
      </c>
      <c r="F347" s="21">
        <v>4.5444000000000004</v>
      </c>
      <c r="G347" s="21">
        <v>1.559999999999917</v>
      </c>
      <c r="H347" s="21">
        <v>4.5525000000000002</v>
      </c>
      <c r="I347" s="21">
        <v>-0.8099999999999774</v>
      </c>
      <c r="J347" s="19" t="s">
        <v>17</v>
      </c>
      <c r="K347" s="19" t="s">
        <v>19</v>
      </c>
      <c r="L347" s="13">
        <v>3.74</v>
      </c>
      <c r="M347" s="14" t="s">
        <v>64</v>
      </c>
      <c r="N347" s="14" t="s">
        <v>93</v>
      </c>
      <c r="O347" s="4">
        <v>42867</v>
      </c>
    </row>
    <row r="348" spans="1:15">
      <c r="A348" s="7">
        <v>150210</v>
      </c>
      <c r="B348" s="7">
        <v>4.5599999999999996</v>
      </c>
      <c r="C348" s="18" t="s">
        <v>91</v>
      </c>
      <c r="D348" s="19">
        <v>0</v>
      </c>
      <c r="E348" s="20">
        <v>7.9287671232876713</v>
      </c>
      <c r="F348" s="21">
        <v>4.5646000000000004</v>
      </c>
      <c r="G348" s="21">
        <v>-0.46000000000008257</v>
      </c>
      <c r="H348" s="21">
        <v>4.5673000000000004</v>
      </c>
      <c r="I348" s="21">
        <v>-0.26999999999999247</v>
      </c>
      <c r="J348" s="19" t="s">
        <v>17</v>
      </c>
      <c r="K348" s="19" t="s">
        <v>19</v>
      </c>
      <c r="L348" s="13">
        <v>4.21</v>
      </c>
      <c r="M348" s="14" t="s">
        <v>85</v>
      </c>
      <c r="N348" s="14" t="s">
        <v>86</v>
      </c>
      <c r="O348" s="4">
        <v>42867</v>
      </c>
    </row>
    <row r="349" spans="1:15">
      <c r="A349" s="7" t="s">
        <v>284</v>
      </c>
      <c r="B349" s="7">
        <v>4.55</v>
      </c>
      <c r="C349" s="18" t="s">
        <v>285</v>
      </c>
      <c r="D349" s="19" t="s">
        <v>11</v>
      </c>
      <c r="E349" s="20">
        <v>1.1342465753424658</v>
      </c>
      <c r="F349" s="21">
        <v>4.5401999999999996</v>
      </c>
      <c r="G349" s="21">
        <v>0.9800000000000253</v>
      </c>
      <c r="H349" s="21">
        <v>4.5804999999999998</v>
      </c>
      <c r="I349" s="21">
        <v>-4.0300000000000225</v>
      </c>
      <c r="J349" s="19" t="s">
        <v>12</v>
      </c>
      <c r="K349" s="19" t="s">
        <v>19</v>
      </c>
      <c r="L349" s="13">
        <v>4.2</v>
      </c>
      <c r="M349" s="14" t="s">
        <v>242</v>
      </c>
      <c r="N349" s="14" t="s">
        <v>130</v>
      </c>
      <c r="O349" s="4">
        <v>42867</v>
      </c>
    </row>
    <row r="350" spans="1:15">
      <c r="A350" s="7" t="s">
        <v>284</v>
      </c>
      <c r="B350" s="7">
        <v>4.55</v>
      </c>
      <c r="C350" s="18" t="s">
        <v>285</v>
      </c>
      <c r="D350" s="19" t="s">
        <v>11</v>
      </c>
      <c r="E350" s="20">
        <v>1.1342465753424658</v>
      </c>
      <c r="F350" s="21">
        <v>4.5401999999999996</v>
      </c>
      <c r="G350" s="21">
        <v>0.9800000000000253</v>
      </c>
      <c r="H350" s="21">
        <v>4.5804999999999998</v>
      </c>
      <c r="I350" s="21">
        <v>-4.0300000000000225</v>
      </c>
      <c r="J350" s="19" t="s">
        <v>12</v>
      </c>
      <c r="K350" s="19" t="s">
        <v>19</v>
      </c>
      <c r="L350" s="13">
        <v>4.2</v>
      </c>
      <c r="M350" s="14" t="s">
        <v>242</v>
      </c>
      <c r="N350" s="14" t="s">
        <v>130</v>
      </c>
      <c r="O350" s="4">
        <v>42867</v>
      </c>
    </row>
    <row r="351" spans="1:15">
      <c r="A351" s="7" t="s">
        <v>284</v>
      </c>
      <c r="B351" s="7">
        <v>4.55</v>
      </c>
      <c r="C351" s="18" t="s">
        <v>285</v>
      </c>
      <c r="D351" s="19" t="s">
        <v>11</v>
      </c>
      <c r="E351" s="20">
        <v>1.1342465753424658</v>
      </c>
      <c r="F351" s="21">
        <v>4.5401999999999996</v>
      </c>
      <c r="G351" s="21">
        <v>0.9800000000000253</v>
      </c>
      <c r="H351" s="21">
        <v>4.5804999999999998</v>
      </c>
      <c r="I351" s="21">
        <v>-4.0300000000000225</v>
      </c>
      <c r="J351" s="19" t="s">
        <v>12</v>
      </c>
      <c r="K351" s="19" t="s">
        <v>19</v>
      </c>
      <c r="L351" s="13">
        <v>4.2</v>
      </c>
      <c r="M351" s="14" t="s">
        <v>242</v>
      </c>
      <c r="N351" s="14" t="s">
        <v>130</v>
      </c>
      <c r="O351" s="4">
        <v>42867</v>
      </c>
    </row>
    <row r="352" spans="1:15">
      <c r="A352" s="7">
        <v>111617154</v>
      </c>
      <c r="B352" s="7">
        <v>4.55</v>
      </c>
      <c r="C352" s="18" t="s">
        <v>994</v>
      </c>
      <c r="D352" s="19" t="s">
        <v>11</v>
      </c>
      <c r="E352" s="20">
        <v>0.15616438356164383</v>
      </c>
      <c r="F352" s="21">
        <v>4.6234999999999999</v>
      </c>
      <c r="G352" s="21">
        <v>-7.3500000000000121</v>
      </c>
      <c r="H352" s="21">
        <v>4.5709</v>
      </c>
      <c r="I352" s="21">
        <v>5.259999999999998</v>
      </c>
      <c r="J352" s="19" t="s">
        <v>17</v>
      </c>
      <c r="K352" s="19" t="s">
        <v>56</v>
      </c>
      <c r="L352" s="13">
        <v>2.99</v>
      </c>
      <c r="M352" s="14" t="s">
        <v>414</v>
      </c>
      <c r="N352" s="14" t="s">
        <v>413</v>
      </c>
      <c r="O352" s="4">
        <v>42867</v>
      </c>
    </row>
    <row r="353" spans="1:15">
      <c r="A353" s="7">
        <v>170303</v>
      </c>
      <c r="B353" s="7">
        <v>4.55</v>
      </c>
      <c r="C353" s="18" t="s">
        <v>799</v>
      </c>
      <c r="D353" s="19">
        <v>0</v>
      </c>
      <c r="E353" s="20">
        <v>9.8630136986301373</v>
      </c>
      <c r="F353" s="21">
        <v>4.5349000000000004</v>
      </c>
      <c r="G353" s="21">
        <v>1.5099999999999447</v>
      </c>
      <c r="H353" s="21">
        <v>4.5899000000000001</v>
      </c>
      <c r="I353" s="21">
        <v>-5.4999999999999716</v>
      </c>
      <c r="J353" s="19" t="s">
        <v>17</v>
      </c>
      <c r="K353" s="19" t="s">
        <v>19</v>
      </c>
      <c r="L353" s="13">
        <v>4.1100000000000003</v>
      </c>
      <c r="M353" s="14" t="s">
        <v>788</v>
      </c>
      <c r="N353" s="14" t="s">
        <v>773</v>
      </c>
      <c r="O353" s="4">
        <v>42867</v>
      </c>
    </row>
    <row r="354" spans="1:15">
      <c r="A354" s="7">
        <v>170303</v>
      </c>
      <c r="B354" s="7">
        <v>4.55</v>
      </c>
      <c r="C354" s="18" t="s">
        <v>799</v>
      </c>
      <c r="D354" s="19">
        <v>0</v>
      </c>
      <c r="E354" s="20">
        <v>9.8630136986301373</v>
      </c>
      <c r="F354" s="21">
        <v>4.5349000000000004</v>
      </c>
      <c r="G354" s="21">
        <v>1.5099999999999447</v>
      </c>
      <c r="H354" s="21">
        <v>4.5899000000000001</v>
      </c>
      <c r="I354" s="21">
        <v>-5.4999999999999716</v>
      </c>
      <c r="J354" s="19" t="s">
        <v>17</v>
      </c>
      <c r="K354" s="19" t="s">
        <v>19</v>
      </c>
      <c r="L354" s="13">
        <v>4.1100000000000003</v>
      </c>
      <c r="M354" s="14" t="s">
        <v>788</v>
      </c>
      <c r="N354" s="14" t="s">
        <v>773</v>
      </c>
      <c r="O354" s="4">
        <v>42867</v>
      </c>
    </row>
    <row r="355" spans="1:15">
      <c r="A355" s="7">
        <v>160418</v>
      </c>
      <c r="B355" s="7">
        <v>4.55</v>
      </c>
      <c r="C355" s="18" t="s">
        <v>362</v>
      </c>
      <c r="D355" s="19">
        <v>0</v>
      </c>
      <c r="E355" s="20">
        <v>8.9534246575342458</v>
      </c>
      <c r="F355" s="21">
        <v>4.5260999999999996</v>
      </c>
      <c r="G355" s="21">
        <v>2.3900000000000254</v>
      </c>
      <c r="H355" s="21">
        <v>4.5738000000000003</v>
      </c>
      <c r="I355" s="21">
        <v>-4.7700000000000742</v>
      </c>
      <c r="J355" s="19">
        <v>0</v>
      </c>
      <c r="K355" s="19" t="s">
        <v>19</v>
      </c>
      <c r="L355" s="13">
        <v>3.58</v>
      </c>
      <c r="M355" s="14" t="s">
        <v>230</v>
      </c>
      <c r="N355" s="14" t="s">
        <v>281</v>
      </c>
      <c r="O355" s="4">
        <v>42867</v>
      </c>
    </row>
    <row r="356" spans="1:15">
      <c r="A356" s="7">
        <v>160310</v>
      </c>
      <c r="B356" s="7">
        <v>4.55</v>
      </c>
      <c r="C356" s="18" t="s">
        <v>493</v>
      </c>
      <c r="D356" s="19">
        <v>0</v>
      </c>
      <c r="E356" s="20">
        <v>9.3260273972602743</v>
      </c>
      <c r="F356" s="21">
        <v>4.5346000000000002</v>
      </c>
      <c r="G356" s="21">
        <v>1.5399999999999636</v>
      </c>
      <c r="H356" s="21">
        <v>4.5776000000000003</v>
      </c>
      <c r="I356" s="21">
        <v>-4.3000000000000149</v>
      </c>
      <c r="J356" s="19" t="s">
        <v>17</v>
      </c>
      <c r="K356" s="19" t="s">
        <v>19</v>
      </c>
      <c r="L356" s="13">
        <v>3.18</v>
      </c>
      <c r="M356" s="14" t="s">
        <v>489</v>
      </c>
      <c r="N356" s="14" t="s">
        <v>484</v>
      </c>
      <c r="O356" s="4">
        <v>42867</v>
      </c>
    </row>
    <row r="357" spans="1:15">
      <c r="A357" s="7">
        <v>160210</v>
      </c>
      <c r="B357" s="7">
        <v>4.55</v>
      </c>
      <c r="C357" s="18" t="s">
        <v>97</v>
      </c>
      <c r="D357" s="19">
        <v>0</v>
      </c>
      <c r="E357" s="20">
        <v>8.9068493150684933</v>
      </c>
      <c r="F357" s="21">
        <v>4.5414000000000003</v>
      </c>
      <c r="G357" s="21">
        <v>0.85999999999994969</v>
      </c>
      <c r="H357" s="21">
        <v>4.5801999999999996</v>
      </c>
      <c r="I357" s="21">
        <v>-3.879999999999928</v>
      </c>
      <c r="J357" s="19" t="s">
        <v>17</v>
      </c>
      <c r="K357" s="19" t="s">
        <v>19</v>
      </c>
      <c r="L357" s="13">
        <v>3.18</v>
      </c>
      <c r="M357" s="14" t="s">
        <v>98</v>
      </c>
      <c r="N357" s="14" t="s">
        <v>99</v>
      </c>
      <c r="O357" s="4">
        <v>42867</v>
      </c>
    </row>
    <row r="358" spans="1:15">
      <c r="A358" s="7">
        <v>160210</v>
      </c>
      <c r="B358" s="7">
        <v>4.55</v>
      </c>
      <c r="C358" s="18" t="s">
        <v>97</v>
      </c>
      <c r="D358" s="19">
        <v>0</v>
      </c>
      <c r="E358" s="20">
        <v>8.9068493150684933</v>
      </c>
      <c r="F358" s="21">
        <v>4.5414000000000003</v>
      </c>
      <c r="G358" s="21">
        <v>0.85999999999994969</v>
      </c>
      <c r="H358" s="21">
        <v>4.5801999999999996</v>
      </c>
      <c r="I358" s="21">
        <v>-3.879999999999928</v>
      </c>
      <c r="J358" s="19" t="s">
        <v>17</v>
      </c>
      <c r="K358" s="19" t="s">
        <v>19</v>
      </c>
      <c r="L358" s="13">
        <v>3.18</v>
      </c>
      <c r="M358" s="14" t="s">
        <v>98</v>
      </c>
      <c r="N358" s="14" t="s">
        <v>99</v>
      </c>
      <c r="O358" s="4">
        <v>42867</v>
      </c>
    </row>
    <row r="359" spans="1:15">
      <c r="A359" s="7">
        <v>150314</v>
      </c>
      <c r="B359" s="7">
        <v>4.55</v>
      </c>
      <c r="C359" s="18" t="s">
        <v>151</v>
      </c>
      <c r="D359" s="19">
        <v>0</v>
      </c>
      <c r="E359" s="20">
        <v>8.3506849315068497</v>
      </c>
      <c r="F359" s="21">
        <v>4.5345000000000004</v>
      </c>
      <c r="G359" s="21">
        <v>1.5499999999999403</v>
      </c>
      <c r="H359" s="21">
        <v>4.5724999999999998</v>
      </c>
      <c r="I359" s="21">
        <v>-3.7999999999999368</v>
      </c>
      <c r="J359" s="19" t="s">
        <v>17</v>
      </c>
      <c r="K359" s="19" t="s">
        <v>19</v>
      </c>
      <c r="L359" s="13">
        <v>3.87</v>
      </c>
      <c r="M359" s="14" t="s">
        <v>152</v>
      </c>
      <c r="N359" s="14" t="s">
        <v>153</v>
      </c>
      <c r="O359" s="4">
        <v>42867</v>
      </c>
    </row>
    <row r="360" spans="1:15">
      <c r="A360" s="7">
        <v>150205</v>
      </c>
      <c r="B360" s="7">
        <v>4.55</v>
      </c>
      <c r="C360" s="18" t="s">
        <v>227</v>
      </c>
      <c r="D360" s="19">
        <v>0</v>
      </c>
      <c r="E360" s="20">
        <v>7.7452054794520544</v>
      </c>
      <c r="F360" s="21">
        <v>4.5742000000000003</v>
      </c>
      <c r="G360" s="21">
        <v>-2.4200000000000443</v>
      </c>
      <c r="H360" s="21">
        <v>4.5848000000000004</v>
      </c>
      <c r="I360" s="21">
        <v>-1.0600000000000165</v>
      </c>
      <c r="J360" s="19" t="s">
        <v>17</v>
      </c>
      <c r="K360" s="19" t="s">
        <v>19</v>
      </c>
      <c r="L360" s="13">
        <v>3.81</v>
      </c>
      <c r="M360" s="14" t="s">
        <v>82</v>
      </c>
      <c r="N360" s="14" t="s">
        <v>83</v>
      </c>
      <c r="O360" s="4">
        <v>42867</v>
      </c>
    </row>
    <row r="361" spans="1:15">
      <c r="A361" s="7">
        <v>170405</v>
      </c>
      <c r="B361" s="7">
        <v>4.54</v>
      </c>
      <c r="C361" s="18" t="s">
        <v>656</v>
      </c>
      <c r="D361" s="19">
        <v>0</v>
      </c>
      <c r="E361" s="20">
        <v>9.6630136986301363</v>
      </c>
      <c r="F361" s="21">
        <v>4.5297999999999998</v>
      </c>
      <c r="G361" s="21">
        <v>1.0200000000000209</v>
      </c>
      <c r="H361" s="21">
        <v>4.5898000000000003</v>
      </c>
      <c r="I361" s="21">
        <v>-6.0000000000000497</v>
      </c>
      <c r="J361" s="19" t="s">
        <v>17</v>
      </c>
      <c r="K361" s="19" t="s">
        <v>19</v>
      </c>
      <c r="L361" s="13">
        <v>3.85</v>
      </c>
      <c r="M361" s="14" t="s">
        <v>644</v>
      </c>
      <c r="N361" s="14" t="s">
        <v>635</v>
      </c>
      <c r="O361" s="4">
        <v>42867</v>
      </c>
    </row>
    <row r="362" spans="1:15">
      <c r="A362" s="7">
        <v>170405</v>
      </c>
      <c r="B362" s="7">
        <v>4.54</v>
      </c>
      <c r="C362" s="18" t="s">
        <v>656</v>
      </c>
      <c r="D362" s="19">
        <v>0</v>
      </c>
      <c r="E362" s="20">
        <v>9.6630136986301363</v>
      </c>
      <c r="F362" s="21">
        <v>4.5297999999999998</v>
      </c>
      <c r="G362" s="21">
        <v>1.0200000000000209</v>
      </c>
      <c r="H362" s="21">
        <v>4.5898000000000003</v>
      </c>
      <c r="I362" s="21">
        <v>-6.0000000000000497</v>
      </c>
      <c r="J362" s="19" t="s">
        <v>17</v>
      </c>
      <c r="K362" s="19" t="s">
        <v>19</v>
      </c>
      <c r="L362" s="13">
        <v>3.85</v>
      </c>
      <c r="M362" s="14" t="s">
        <v>644</v>
      </c>
      <c r="N362" s="14" t="s">
        <v>635</v>
      </c>
      <c r="O362" s="4">
        <v>42867</v>
      </c>
    </row>
    <row r="363" spans="1:15">
      <c r="A363" s="7">
        <v>170405</v>
      </c>
      <c r="B363" s="7">
        <v>4.54</v>
      </c>
      <c r="C363" s="18" t="s">
        <v>656</v>
      </c>
      <c r="D363" s="19">
        <v>0</v>
      </c>
      <c r="E363" s="20">
        <v>9.6630136986301363</v>
      </c>
      <c r="F363" s="21">
        <v>4.5297999999999998</v>
      </c>
      <c r="G363" s="21">
        <v>1.0200000000000209</v>
      </c>
      <c r="H363" s="21">
        <v>4.5898000000000003</v>
      </c>
      <c r="I363" s="21">
        <v>-6.0000000000000497</v>
      </c>
      <c r="J363" s="19" t="s">
        <v>17</v>
      </c>
      <c r="K363" s="19" t="s">
        <v>19</v>
      </c>
      <c r="L363" s="13">
        <v>3.85</v>
      </c>
      <c r="M363" s="14" t="s">
        <v>644</v>
      </c>
      <c r="N363" s="14" t="s">
        <v>635</v>
      </c>
      <c r="O363" s="4">
        <v>42867</v>
      </c>
    </row>
    <row r="364" spans="1:15">
      <c r="A364" s="7">
        <v>170405</v>
      </c>
      <c r="B364" s="7">
        <v>4.54</v>
      </c>
      <c r="C364" s="18" t="s">
        <v>656</v>
      </c>
      <c r="D364" s="19">
        <v>0</v>
      </c>
      <c r="E364" s="20">
        <v>9.6630136986301363</v>
      </c>
      <c r="F364" s="21">
        <v>4.5297999999999998</v>
      </c>
      <c r="G364" s="21">
        <v>1.0200000000000209</v>
      </c>
      <c r="H364" s="21">
        <v>4.5898000000000003</v>
      </c>
      <c r="I364" s="21">
        <v>-6.0000000000000497</v>
      </c>
      <c r="J364" s="19" t="s">
        <v>17</v>
      </c>
      <c r="K364" s="19" t="s">
        <v>19</v>
      </c>
      <c r="L364" s="13">
        <v>3.85</v>
      </c>
      <c r="M364" s="14" t="s">
        <v>644</v>
      </c>
      <c r="N364" s="14" t="s">
        <v>635</v>
      </c>
      <c r="O364" s="4">
        <v>42867</v>
      </c>
    </row>
    <row r="365" spans="1:15">
      <c r="A365" s="7">
        <v>170405</v>
      </c>
      <c r="B365" s="7">
        <v>4.54</v>
      </c>
      <c r="C365" s="18" t="s">
        <v>656</v>
      </c>
      <c r="D365" s="19">
        <v>0</v>
      </c>
      <c r="E365" s="20">
        <v>9.6630136986301363</v>
      </c>
      <c r="F365" s="21">
        <v>4.5297999999999998</v>
      </c>
      <c r="G365" s="21">
        <v>1.0200000000000209</v>
      </c>
      <c r="H365" s="21">
        <v>4.5898000000000003</v>
      </c>
      <c r="I365" s="21">
        <v>-6.0000000000000497</v>
      </c>
      <c r="J365" s="19" t="s">
        <v>17</v>
      </c>
      <c r="K365" s="19" t="s">
        <v>19</v>
      </c>
      <c r="L365" s="13">
        <v>3.85</v>
      </c>
      <c r="M365" s="14" t="s">
        <v>644</v>
      </c>
      <c r="N365" s="14" t="s">
        <v>635</v>
      </c>
      <c r="O365" s="4">
        <v>42867</v>
      </c>
    </row>
    <row r="366" spans="1:15">
      <c r="A366" s="7">
        <v>170405</v>
      </c>
      <c r="B366" s="7">
        <v>4.54</v>
      </c>
      <c r="C366" s="18" t="s">
        <v>656</v>
      </c>
      <c r="D366" s="19">
        <v>0</v>
      </c>
      <c r="E366" s="20">
        <v>9.6630136986301363</v>
      </c>
      <c r="F366" s="21">
        <v>4.5297999999999998</v>
      </c>
      <c r="G366" s="21">
        <v>1.0200000000000209</v>
      </c>
      <c r="H366" s="21">
        <v>4.5898000000000003</v>
      </c>
      <c r="I366" s="21">
        <v>-6.0000000000000497</v>
      </c>
      <c r="J366" s="19" t="s">
        <v>17</v>
      </c>
      <c r="K366" s="19" t="s">
        <v>19</v>
      </c>
      <c r="L366" s="13">
        <v>3.85</v>
      </c>
      <c r="M366" s="14" t="s">
        <v>644</v>
      </c>
      <c r="N366" s="14" t="s">
        <v>635</v>
      </c>
      <c r="O366" s="4">
        <v>42867</v>
      </c>
    </row>
    <row r="367" spans="1:15">
      <c r="A367" s="7">
        <v>170405</v>
      </c>
      <c r="B367" s="7">
        <v>4.54</v>
      </c>
      <c r="C367" s="18" t="s">
        <v>656</v>
      </c>
      <c r="D367" s="19">
        <v>0</v>
      </c>
      <c r="E367" s="20">
        <v>9.6630136986301363</v>
      </c>
      <c r="F367" s="21">
        <v>4.5297999999999998</v>
      </c>
      <c r="G367" s="21">
        <v>1.0200000000000209</v>
      </c>
      <c r="H367" s="21">
        <v>4.5898000000000003</v>
      </c>
      <c r="I367" s="21">
        <v>-6.0000000000000497</v>
      </c>
      <c r="J367" s="19" t="s">
        <v>17</v>
      </c>
      <c r="K367" s="19" t="s">
        <v>19</v>
      </c>
      <c r="L367" s="13">
        <v>3.85</v>
      </c>
      <c r="M367" s="14" t="s">
        <v>644</v>
      </c>
      <c r="N367" s="14" t="s">
        <v>635</v>
      </c>
      <c r="O367" s="4">
        <v>42867</v>
      </c>
    </row>
    <row r="368" spans="1:15">
      <c r="A368" s="7">
        <v>170405</v>
      </c>
      <c r="B368" s="7">
        <v>4.54</v>
      </c>
      <c r="C368" s="18" t="s">
        <v>656</v>
      </c>
      <c r="D368" s="19">
        <v>0</v>
      </c>
      <c r="E368" s="20">
        <v>9.6630136986301363</v>
      </c>
      <c r="F368" s="21">
        <v>4.5297999999999998</v>
      </c>
      <c r="G368" s="21">
        <v>1.0200000000000209</v>
      </c>
      <c r="H368" s="21">
        <v>4.5898000000000003</v>
      </c>
      <c r="I368" s="21">
        <v>-6.0000000000000497</v>
      </c>
      <c r="J368" s="19" t="s">
        <v>17</v>
      </c>
      <c r="K368" s="19" t="s">
        <v>19</v>
      </c>
      <c r="L368" s="13">
        <v>3.85</v>
      </c>
      <c r="M368" s="14" t="s">
        <v>644</v>
      </c>
      <c r="N368" s="14" t="s">
        <v>635</v>
      </c>
      <c r="O368" s="4">
        <v>42867</v>
      </c>
    </row>
    <row r="369" spans="1:15">
      <c r="A369" s="7">
        <v>170405</v>
      </c>
      <c r="B369" s="7">
        <v>4.54</v>
      </c>
      <c r="C369" s="18" t="s">
        <v>656</v>
      </c>
      <c r="D369" s="19">
        <v>0</v>
      </c>
      <c r="E369" s="20">
        <v>9.6630136986301363</v>
      </c>
      <c r="F369" s="21">
        <v>4.5297999999999998</v>
      </c>
      <c r="G369" s="21">
        <v>1.0200000000000209</v>
      </c>
      <c r="H369" s="21">
        <v>4.5898000000000003</v>
      </c>
      <c r="I369" s="21">
        <v>-6.0000000000000497</v>
      </c>
      <c r="J369" s="19" t="s">
        <v>17</v>
      </c>
      <c r="K369" s="19" t="s">
        <v>19</v>
      </c>
      <c r="L369" s="13">
        <v>3.85</v>
      </c>
      <c r="M369" s="14" t="s">
        <v>644</v>
      </c>
      <c r="N369" s="14" t="s">
        <v>635</v>
      </c>
      <c r="O369" s="4">
        <v>42867</v>
      </c>
    </row>
    <row r="370" spans="1:15">
      <c r="A370" s="7">
        <v>170405</v>
      </c>
      <c r="B370" s="7">
        <v>4.54</v>
      </c>
      <c r="C370" s="18" t="s">
        <v>656</v>
      </c>
      <c r="D370" s="19">
        <v>0</v>
      </c>
      <c r="E370" s="20">
        <v>9.6630136986301363</v>
      </c>
      <c r="F370" s="21">
        <v>4.5297999999999998</v>
      </c>
      <c r="G370" s="21">
        <v>1.0200000000000209</v>
      </c>
      <c r="H370" s="21">
        <v>4.5898000000000003</v>
      </c>
      <c r="I370" s="21">
        <v>-6.0000000000000497</v>
      </c>
      <c r="J370" s="19" t="s">
        <v>17</v>
      </c>
      <c r="K370" s="19" t="s">
        <v>19</v>
      </c>
      <c r="L370" s="13">
        <v>3.85</v>
      </c>
      <c r="M370" s="14" t="s">
        <v>644</v>
      </c>
      <c r="N370" s="14" t="s">
        <v>635</v>
      </c>
      <c r="O370" s="4">
        <v>42867</v>
      </c>
    </row>
    <row r="371" spans="1:15">
      <c r="A371" s="7">
        <v>170405</v>
      </c>
      <c r="B371" s="7">
        <v>4.54</v>
      </c>
      <c r="C371" s="18" t="s">
        <v>656</v>
      </c>
      <c r="D371" s="19">
        <v>0</v>
      </c>
      <c r="E371" s="20">
        <v>9.6630136986301363</v>
      </c>
      <c r="F371" s="21">
        <v>4.5297999999999998</v>
      </c>
      <c r="G371" s="21">
        <v>1.0200000000000209</v>
      </c>
      <c r="H371" s="21">
        <v>4.5898000000000003</v>
      </c>
      <c r="I371" s="21">
        <v>-6.0000000000000497</v>
      </c>
      <c r="J371" s="19" t="s">
        <v>17</v>
      </c>
      <c r="K371" s="19" t="s">
        <v>19</v>
      </c>
      <c r="L371" s="13">
        <v>3.85</v>
      </c>
      <c r="M371" s="14" t="s">
        <v>644</v>
      </c>
      <c r="N371" s="14" t="s">
        <v>635</v>
      </c>
      <c r="O371" s="4">
        <v>42867</v>
      </c>
    </row>
    <row r="372" spans="1:15">
      <c r="A372" s="7">
        <v>170405</v>
      </c>
      <c r="B372" s="7">
        <v>4.54</v>
      </c>
      <c r="C372" s="18" t="s">
        <v>656</v>
      </c>
      <c r="D372" s="19">
        <v>0</v>
      </c>
      <c r="E372" s="20">
        <v>9.6630136986301363</v>
      </c>
      <c r="F372" s="21">
        <v>4.5297999999999998</v>
      </c>
      <c r="G372" s="21">
        <v>1.0200000000000209</v>
      </c>
      <c r="H372" s="21">
        <v>4.5898000000000003</v>
      </c>
      <c r="I372" s="21">
        <v>-6.0000000000000497</v>
      </c>
      <c r="J372" s="19" t="s">
        <v>17</v>
      </c>
      <c r="K372" s="19" t="s">
        <v>19</v>
      </c>
      <c r="L372" s="13">
        <v>3.85</v>
      </c>
      <c r="M372" s="14" t="s">
        <v>644</v>
      </c>
      <c r="N372" s="14" t="s">
        <v>635</v>
      </c>
      <c r="O372" s="4">
        <v>42867</v>
      </c>
    </row>
    <row r="373" spans="1:15">
      <c r="A373" s="7">
        <v>170405</v>
      </c>
      <c r="B373" s="7">
        <v>4.54</v>
      </c>
      <c r="C373" s="18" t="s">
        <v>656</v>
      </c>
      <c r="D373" s="19">
        <v>0</v>
      </c>
      <c r="E373" s="20">
        <v>9.6630136986301363</v>
      </c>
      <c r="F373" s="21">
        <v>4.5297999999999998</v>
      </c>
      <c r="G373" s="21">
        <v>1.0200000000000209</v>
      </c>
      <c r="H373" s="21">
        <v>4.5898000000000003</v>
      </c>
      <c r="I373" s="21">
        <v>-6.0000000000000497</v>
      </c>
      <c r="J373" s="19" t="s">
        <v>17</v>
      </c>
      <c r="K373" s="19" t="s">
        <v>19</v>
      </c>
      <c r="L373" s="13">
        <v>3.85</v>
      </c>
      <c r="M373" s="14" t="s">
        <v>644</v>
      </c>
      <c r="N373" s="14" t="s">
        <v>635</v>
      </c>
      <c r="O373" s="4">
        <v>42867</v>
      </c>
    </row>
    <row r="374" spans="1:15">
      <c r="A374" s="7">
        <v>160310</v>
      </c>
      <c r="B374" s="7">
        <v>4.54</v>
      </c>
      <c r="C374" s="18" t="s">
        <v>493</v>
      </c>
      <c r="D374" s="19">
        <v>0</v>
      </c>
      <c r="E374" s="20">
        <v>9.3260273972602743</v>
      </c>
      <c r="F374" s="21">
        <v>4.5346000000000002</v>
      </c>
      <c r="G374" s="21">
        <v>0.53999999999998494</v>
      </c>
      <c r="H374" s="21">
        <v>4.5776000000000003</v>
      </c>
      <c r="I374" s="21">
        <v>-4.3000000000000149</v>
      </c>
      <c r="J374" s="19" t="s">
        <v>17</v>
      </c>
      <c r="K374" s="19" t="s">
        <v>19</v>
      </c>
      <c r="L374" s="13">
        <v>3.18</v>
      </c>
      <c r="M374" s="14" t="s">
        <v>489</v>
      </c>
      <c r="N374" s="14" t="s">
        <v>484</v>
      </c>
      <c r="O374" s="4">
        <v>42867</v>
      </c>
    </row>
    <row r="375" spans="1:15">
      <c r="A375" s="7">
        <v>160303</v>
      </c>
      <c r="B375" s="7">
        <v>4.54</v>
      </c>
      <c r="C375" s="18" t="s">
        <v>95</v>
      </c>
      <c r="D375" s="19">
        <v>0</v>
      </c>
      <c r="E375" s="20">
        <v>8.7917808219178077</v>
      </c>
      <c r="F375" s="21">
        <v>4.5345000000000004</v>
      </c>
      <c r="G375" s="21">
        <v>0.54999999999996163</v>
      </c>
      <c r="H375" s="21">
        <v>4.5728</v>
      </c>
      <c r="I375" s="21">
        <v>-3.8299999999999557</v>
      </c>
      <c r="J375" s="19" t="s">
        <v>17</v>
      </c>
      <c r="K375" s="19" t="s">
        <v>19</v>
      </c>
      <c r="L375" s="13">
        <v>3.33</v>
      </c>
      <c r="M375" s="14" t="s">
        <v>96</v>
      </c>
      <c r="N375" s="14" t="s">
        <v>57</v>
      </c>
      <c r="O375" s="4">
        <v>42867</v>
      </c>
    </row>
    <row r="376" spans="1:15">
      <c r="A376" s="7">
        <v>160210</v>
      </c>
      <c r="B376" s="7">
        <v>4.54</v>
      </c>
      <c r="C376" s="18" t="s">
        <v>97</v>
      </c>
      <c r="D376" s="19">
        <v>0</v>
      </c>
      <c r="E376" s="20">
        <v>8.9068493150684933</v>
      </c>
      <c r="F376" s="21">
        <v>4.5414000000000003</v>
      </c>
      <c r="G376" s="21">
        <v>-0.14000000000002899</v>
      </c>
      <c r="H376" s="21">
        <v>4.5801999999999996</v>
      </c>
      <c r="I376" s="21">
        <v>-3.879999999999928</v>
      </c>
      <c r="J376" s="19" t="s">
        <v>17</v>
      </c>
      <c r="K376" s="19" t="s">
        <v>19</v>
      </c>
      <c r="L376" s="13">
        <v>3.18</v>
      </c>
      <c r="M376" s="14" t="s">
        <v>98</v>
      </c>
      <c r="N376" s="14" t="s">
        <v>99</v>
      </c>
      <c r="O376" s="4">
        <v>42867</v>
      </c>
    </row>
    <row r="377" spans="1:15">
      <c r="A377" s="7">
        <v>160210</v>
      </c>
      <c r="B377" s="7">
        <v>4.54</v>
      </c>
      <c r="C377" s="18" t="s">
        <v>97</v>
      </c>
      <c r="D377" s="19">
        <v>0</v>
      </c>
      <c r="E377" s="20">
        <v>8.9068493150684933</v>
      </c>
      <c r="F377" s="21">
        <v>4.5414000000000003</v>
      </c>
      <c r="G377" s="21">
        <v>-0.14000000000002899</v>
      </c>
      <c r="H377" s="21">
        <v>4.5801999999999996</v>
      </c>
      <c r="I377" s="21">
        <v>-3.879999999999928</v>
      </c>
      <c r="J377" s="19" t="s">
        <v>17</v>
      </c>
      <c r="K377" s="19" t="s">
        <v>19</v>
      </c>
      <c r="L377" s="13">
        <v>3.18</v>
      </c>
      <c r="M377" s="14" t="s">
        <v>98</v>
      </c>
      <c r="N377" s="14" t="s">
        <v>99</v>
      </c>
      <c r="O377" s="4">
        <v>42867</v>
      </c>
    </row>
    <row r="378" spans="1:15">
      <c r="A378" s="7">
        <v>160210</v>
      </c>
      <c r="B378" s="7">
        <v>4.54</v>
      </c>
      <c r="C378" s="18" t="s">
        <v>97</v>
      </c>
      <c r="D378" s="19">
        <v>0</v>
      </c>
      <c r="E378" s="20">
        <v>8.9068493150684933</v>
      </c>
      <c r="F378" s="21">
        <v>4.5414000000000003</v>
      </c>
      <c r="G378" s="21">
        <v>-0.14000000000002899</v>
      </c>
      <c r="H378" s="21">
        <v>4.5801999999999996</v>
      </c>
      <c r="I378" s="21">
        <v>-3.879999999999928</v>
      </c>
      <c r="J378" s="19" t="s">
        <v>17</v>
      </c>
      <c r="K378" s="19" t="s">
        <v>19</v>
      </c>
      <c r="L378" s="13">
        <v>3.18</v>
      </c>
      <c r="M378" s="14" t="s">
        <v>98</v>
      </c>
      <c r="N378" s="14" t="s">
        <v>99</v>
      </c>
      <c r="O378" s="4">
        <v>42867</v>
      </c>
    </row>
    <row r="379" spans="1:15">
      <c r="A379" s="7">
        <v>160210</v>
      </c>
      <c r="B379" s="7">
        <v>4.54</v>
      </c>
      <c r="C379" s="18" t="s">
        <v>97</v>
      </c>
      <c r="D379" s="19">
        <v>0</v>
      </c>
      <c r="E379" s="20">
        <v>8.9068493150684933</v>
      </c>
      <c r="F379" s="21">
        <v>4.5414000000000003</v>
      </c>
      <c r="G379" s="21">
        <v>-0.14000000000002899</v>
      </c>
      <c r="H379" s="21">
        <v>4.5801999999999996</v>
      </c>
      <c r="I379" s="21">
        <v>-3.879999999999928</v>
      </c>
      <c r="J379" s="19" t="s">
        <v>17</v>
      </c>
      <c r="K379" s="19" t="s">
        <v>19</v>
      </c>
      <c r="L379" s="13">
        <v>3.18</v>
      </c>
      <c r="M379" s="14" t="s">
        <v>98</v>
      </c>
      <c r="N379" s="14" t="s">
        <v>99</v>
      </c>
      <c r="O379" s="4">
        <v>42867</v>
      </c>
    </row>
    <row r="380" spans="1:15">
      <c r="A380" s="7">
        <v>160210</v>
      </c>
      <c r="B380" s="7">
        <v>4.54</v>
      </c>
      <c r="C380" s="18" t="s">
        <v>97</v>
      </c>
      <c r="D380" s="19">
        <v>0</v>
      </c>
      <c r="E380" s="20">
        <v>8.9068493150684933</v>
      </c>
      <c r="F380" s="21">
        <v>4.5414000000000003</v>
      </c>
      <c r="G380" s="21">
        <v>-0.14000000000002899</v>
      </c>
      <c r="H380" s="21">
        <v>4.5801999999999996</v>
      </c>
      <c r="I380" s="21">
        <v>-3.879999999999928</v>
      </c>
      <c r="J380" s="19" t="s">
        <v>17</v>
      </c>
      <c r="K380" s="19" t="s">
        <v>19</v>
      </c>
      <c r="L380" s="13">
        <v>3.18</v>
      </c>
      <c r="M380" s="14" t="s">
        <v>98</v>
      </c>
      <c r="N380" s="14" t="s">
        <v>99</v>
      </c>
      <c r="O380" s="4">
        <v>42867</v>
      </c>
    </row>
    <row r="381" spans="1:15">
      <c r="A381" s="7">
        <v>160210</v>
      </c>
      <c r="B381" s="7">
        <v>4.54</v>
      </c>
      <c r="C381" s="18" t="s">
        <v>97</v>
      </c>
      <c r="D381" s="19">
        <v>0</v>
      </c>
      <c r="E381" s="20">
        <v>8.9068493150684933</v>
      </c>
      <c r="F381" s="21">
        <v>4.5414000000000003</v>
      </c>
      <c r="G381" s="21">
        <v>-0.14000000000002899</v>
      </c>
      <c r="H381" s="21">
        <v>4.5801999999999996</v>
      </c>
      <c r="I381" s="21">
        <v>-3.879999999999928</v>
      </c>
      <c r="J381" s="19" t="s">
        <v>17</v>
      </c>
      <c r="K381" s="19" t="s">
        <v>19</v>
      </c>
      <c r="L381" s="13">
        <v>3.18</v>
      </c>
      <c r="M381" s="14" t="s">
        <v>98</v>
      </c>
      <c r="N381" s="14" t="s">
        <v>99</v>
      </c>
      <c r="O381" s="4">
        <v>42867</v>
      </c>
    </row>
    <row r="382" spans="1:15">
      <c r="A382" s="7">
        <v>160210</v>
      </c>
      <c r="B382" s="7">
        <v>4.54</v>
      </c>
      <c r="C382" s="18" t="s">
        <v>97</v>
      </c>
      <c r="D382" s="19">
        <v>0</v>
      </c>
      <c r="E382" s="20">
        <v>8.9068493150684933</v>
      </c>
      <c r="F382" s="21">
        <v>4.5414000000000003</v>
      </c>
      <c r="G382" s="21">
        <v>-0.14000000000002899</v>
      </c>
      <c r="H382" s="21">
        <v>4.5801999999999996</v>
      </c>
      <c r="I382" s="21">
        <v>-3.879999999999928</v>
      </c>
      <c r="J382" s="19" t="s">
        <v>17</v>
      </c>
      <c r="K382" s="19" t="s">
        <v>19</v>
      </c>
      <c r="L382" s="13">
        <v>3.18</v>
      </c>
      <c r="M382" s="14" t="s">
        <v>98</v>
      </c>
      <c r="N382" s="14" t="s">
        <v>99</v>
      </c>
      <c r="O382" s="4">
        <v>42867</v>
      </c>
    </row>
    <row r="383" spans="1:15">
      <c r="A383" s="7">
        <v>150210</v>
      </c>
      <c r="B383" s="7">
        <v>4.54</v>
      </c>
      <c r="C383" s="18" t="s">
        <v>91</v>
      </c>
      <c r="D383" s="19">
        <v>0</v>
      </c>
      <c r="E383" s="20">
        <v>7.9287671232876713</v>
      </c>
      <c r="F383" s="21">
        <v>4.5646000000000004</v>
      </c>
      <c r="G383" s="21">
        <v>-2.4600000000000399</v>
      </c>
      <c r="H383" s="21">
        <v>4.5673000000000004</v>
      </c>
      <c r="I383" s="21">
        <v>-0.26999999999999247</v>
      </c>
      <c r="J383" s="19" t="s">
        <v>17</v>
      </c>
      <c r="K383" s="19" t="s">
        <v>19</v>
      </c>
      <c r="L383" s="13">
        <v>4.21</v>
      </c>
      <c r="M383" s="14" t="s">
        <v>85</v>
      </c>
      <c r="N383" s="14" t="s">
        <v>86</v>
      </c>
      <c r="O383" s="4">
        <v>42867</v>
      </c>
    </row>
    <row r="384" spans="1:15">
      <c r="A384" s="7">
        <v>150205</v>
      </c>
      <c r="B384" s="7">
        <v>4.54</v>
      </c>
      <c r="C384" s="18" t="s">
        <v>227</v>
      </c>
      <c r="D384" s="19">
        <v>0</v>
      </c>
      <c r="E384" s="20">
        <v>7.7452054794520544</v>
      </c>
      <c r="F384" s="21">
        <v>4.5742000000000003</v>
      </c>
      <c r="G384" s="21">
        <v>-3.420000000000023</v>
      </c>
      <c r="H384" s="21">
        <v>4.5848000000000004</v>
      </c>
      <c r="I384" s="21">
        <v>-1.0600000000000165</v>
      </c>
      <c r="J384" s="19" t="s">
        <v>17</v>
      </c>
      <c r="K384" s="19" t="s">
        <v>19</v>
      </c>
      <c r="L384" s="13">
        <v>3.81</v>
      </c>
      <c r="M384" s="14" t="s">
        <v>82</v>
      </c>
      <c r="N384" s="14" t="s">
        <v>83</v>
      </c>
      <c r="O384" s="4">
        <v>42867</v>
      </c>
    </row>
    <row r="385" spans="1:15">
      <c r="A385" s="7">
        <v>150205</v>
      </c>
      <c r="B385" s="7">
        <v>4.54</v>
      </c>
      <c r="C385" s="18" t="s">
        <v>227</v>
      </c>
      <c r="D385" s="19">
        <v>0</v>
      </c>
      <c r="E385" s="20">
        <v>7.7452054794520544</v>
      </c>
      <c r="F385" s="21">
        <v>4.5742000000000003</v>
      </c>
      <c r="G385" s="21">
        <v>-3.420000000000023</v>
      </c>
      <c r="H385" s="21">
        <v>4.5848000000000004</v>
      </c>
      <c r="I385" s="21">
        <v>-1.0600000000000165</v>
      </c>
      <c r="J385" s="19" t="s">
        <v>17</v>
      </c>
      <c r="K385" s="19" t="s">
        <v>19</v>
      </c>
      <c r="L385" s="13">
        <v>3.81</v>
      </c>
      <c r="M385" s="14" t="s">
        <v>82</v>
      </c>
      <c r="N385" s="14" t="s">
        <v>83</v>
      </c>
      <c r="O385" s="4">
        <v>42867</v>
      </c>
    </row>
    <row r="386" spans="1:15">
      <c r="A386" s="7">
        <v>150205</v>
      </c>
      <c r="B386" s="7">
        <v>4.54</v>
      </c>
      <c r="C386" s="18" t="s">
        <v>227</v>
      </c>
      <c r="D386" s="19">
        <v>0</v>
      </c>
      <c r="E386" s="20">
        <v>7.7452054794520544</v>
      </c>
      <c r="F386" s="21">
        <v>4.5742000000000003</v>
      </c>
      <c r="G386" s="21">
        <v>-3.420000000000023</v>
      </c>
      <c r="H386" s="21">
        <v>4.5848000000000004</v>
      </c>
      <c r="I386" s="21">
        <v>-1.0600000000000165</v>
      </c>
      <c r="J386" s="19" t="s">
        <v>17</v>
      </c>
      <c r="K386" s="19" t="s">
        <v>19</v>
      </c>
      <c r="L386" s="13">
        <v>3.81</v>
      </c>
      <c r="M386" s="14" t="s">
        <v>82</v>
      </c>
      <c r="N386" s="14" t="s">
        <v>83</v>
      </c>
      <c r="O386" s="4">
        <v>42867</v>
      </c>
    </row>
    <row r="387" spans="1:15">
      <c r="A387" s="7">
        <v>140229</v>
      </c>
      <c r="B387" s="7">
        <v>4.54</v>
      </c>
      <c r="C387" s="18" t="s">
        <v>273</v>
      </c>
      <c r="D387" s="19">
        <v>0</v>
      </c>
      <c r="E387" s="20">
        <v>7.5342465753424657</v>
      </c>
      <c r="F387" s="21">
        <v>4.5563000000000002</v>
      </c>
      <c r="G387" s="21">
        <v>-1.6300000000000203</v>
      </c>
      <c r="H387" s="21">
        <v>4.5242000000000004</v>
      </c>
      <c r="I387" s="21">
        <v>3.2099999999999795</v>
      </c>
      <c r="J387" s="19" t="s">
        <v>17</v>
      </c>
      <c r="K387" s="19" t="s">
        <v>19</v>
      </c>
      <c r="L387" s="13">
        <v>4.22</v>
      </c>
      <c r="M387" s="14" t="s">
        <v>148</v>
      </c>
      <c r="N387" s="14" t="s">
        <v>149</v>
      </c>
      <c r="O387" s="4">
        <v>42867</v>
      </c>
    </row>
    <row r="388" spans="1:15">
      <c r="A388" s="7">
        <v>170405</v>
      </c>
      <c r="B388" s="7">
        <v>4.5350000000000001</v>
      </c>
      <c r="C388" s="18" t="s">
        <v>656</v>
      </c>
      <c r="D388" s="19">
        <v>0</v>
      </c>
      <c r="E388" s="20">
        <v>9.6630136986301363</v>
      </c>
      <c r="F388" s="21">
        <v>4.5297999999999998</v>
      </c>
      <c r="G388" s="21">
        <v>0.52000000000003155</v>
      </c>
      <c r="H388" s="21">
        <v>4.5898000000000003</v>
      </c>
      <c r="I388" s="21">
        <v>-6.0000000000000497</v>
      </c>
      <c r="J388" s="19" t="s">
        <v>17</v>
      </c>
      <c r="K388" s="19" t="s">
        <v>19</v>
      </c>
      <c r="L388" s="13">
        <v>3.85</v>
      </c>
      <c r="M388" s="14" t="s">
        <v>644</v>
      </c>
      <c r="N388" s="14" t="s">
        <v>635</v>
      </c>
      <c r="O388" s="4">
        <v>42867</v>
      </c>
    </row>
    <row r="389" spans="1:15">
      <c r="A389" s="7">
        <v>160210</v>
      </c>
      <c r="B389" s="7">
        <v>4.5350000000000001</v>
      </c>
      <c r="C389" s="18" t="s">
        <v>97</v>
      </c>
      <c r="D389" s="19">
        <v>0</v>
      </c>
      <c r="E389" s="20">
        <v>8.9068493150684933</v>
      </c>
      <c r="F389" s="21">
        <v>4.5414000000000003</v>
      </c>
      <c r="G389" s="21">
        <v>-0.64000000000001833</v>
      </c>
      <c r="H389" s="21">
        <v>4.5801999999999996</v>
      </c>
      <c r="I389" s="21">
        <v>-3.879999999999928</v>
      </c>
      <c r="J389" s="19" t="s">
        <v>17</v>
      </c>
      <c r="K389" s="19" t="s">
        <v>19</v>
      </c>
      <c r="L389" s="13">
        <v>3.18</v>
      </c>
      <c r="M389" s="14" t="s">
        <v>98</v>
      </c>
      <c r="N389" s="14" t="s">
        <v>99</v>
      </c>
      <c r="O389" s="4">
        <v>42867</v>
      </c>
    </row>
    <row r="390" spans="1:15">
      <c r="A390" s="7">
        <v>160210</v>
      </c>
      <c r="B390" s="7">
        <v>4.5350000000000001</v>
      </c>
      <c r="C390" s="18" t="s">
        <v>97</v>
      </c>
      <c r="D390" s="19">
        <v>0</v>
      </c>
      <c r="E390" s="20">
        <v>8.9068493150684933</v>
      </c>
      <c r="F390" s="21">
        <v>4.5414000000000003</v>
      </c>
      <c r="G390" s="21">
        <v>-0.64000000000001833</v>
      </c>
      <c r="H390" s="21">
        <v>4.5801999999999996</v>
      </c>
      <c r="I390" s="21">
        <v>-3.879999999999928</v>
      </c>
      <c r="J390" s="19" t="s">
        <v>17</v>
      </c>
      <c r="K390" s="19" t="s">
        <v>19</v>
      </c>
      <c r="L390" s="13">
        <v>3.18</v>
      </c>
      <c r="M390" s="14" t="s">
        <v>98</v>
      </c>
      <c r="N390" s="14" t="s">
        <v>99</v>
      </c>
      <c r="O390" s="4">
        <v>42867</v>
      </c>
    </row>
    <row r="391" spans="1:15">
      <c r="A391" s="7" t="s">
        <v>944</v>
      </c>
      <c r="B391" s="7">
        <v>4.53</v>
      </c>
      <c r="C391" s="18" t="s">
        <v>995</v>
      </c>
      <c r="D391" s="19" t="s">
        <v>11</v>
      </c>
      <c r="E391" s="20">
        <v>0.81643835616438354</v>
      </c>
      <c r="F391" s="21">
        <v>4.5420999999999996</v>
      </c>
      <c r="G391" s="21">
        <v>-1.2099999999999334</v>
      </c>
      <c r="H391" s="21">
        <v>4.5881999999999996</v>
      </c>
      <c r="I391" s="21">
        <v>-4.610000000000003</v>
      </c>
      <c r="J391" s="19" t="s">
        <v>17</v>
      </c>
      <c r="K391" s="19" t="s">
        <v>19</v>
      </c>
      <c r="L391" s="13">
        <v>4.8</v>
      </c>
      <c r="M391" s="14" t="s">
        <v>186</v>
      </c>
      <c r="N391" s="14" t="s">
        <v>165</v>
      </c>
      <c r="O391" s="4">
        <v>42867</v>
      </c>
    </row>
    <row r="392" spans="1:15">
      <c r="A392" s="7">
        <v>170405</v>
      </c>
      <c r="B392" s="7">
        <v>4.53</v>
      </c>
      <c r="C392" s="18" t="s">
        <v>656</v>
      </c>
      <c r="D392" s="19">
        <v>0</v>
      </c>
      <c r="E392" s="20">
        <v>9.6630136986301363</v>
      </c>
      <c r="F392" s="21">
        <v>4.5297999999999998</v>
      </c>
      <c r="G392" s="21">
        <v>2.0000000000042206E-2</v>
      </c>
      <c r="H392" s="21">
        <v>4.5898000000000003</v>
      </c>
      <c r="I392" s="21">
        <v>-6.0000000000000497</v>
      </c>
      <c r="J392" s="19" t="s">
        <v>17</v>
      </c>
      <c r="K392" s="19" t="s">
        <v>19</v>
      </c>
      <c r="L392" s="13">
        <v>3.85</v>
      </c>
      <c r="M392" s="14" t="s">
        <v>644</v>
      </c>
      <c r="N392" s="14" t="s">
        <v>635</v>
      </c>
      <c r="O392" s="4">
        <v>42867</v>
      </c>
    </row>
    <row r="393" spans="1:15">
      <c r="A393" s="7">
        <v>170405</v>
      </c>
      <c r="B393" s="7">
        <v>4.53</v>
      </c>
      <c r="C393" s="18" t="s">
        <v>656</v>
      </c>
      <c r="D393" s="19">
        <v>0</v>
      </c>
      <c r="E393" s="20">
        <v>9.6630136986301363</v>
      </c>
      <c r="F393" s="21">
        <v>4.5297999999999998</v>
      </c>
      <c r="G393" s="21">
        <v>2.0000000000042206E-2</v>
      </c>
      <c r="H393" s="21">
        <v>4.5898000000000003</v>
      </c>
      <c r="I393" s="21">
        <v>-6.0000000000000497</v>
      </c>
      <c r="J393" s="19" t="s">
        <v>17</v>
      </c>
      <c r="K393" s="19" t="s">
        <v>19</v>
      </c>
      <c r="L393" s="13">
        <v>3.85</v>
      </c>
      <c r="M393" s="14" t="s">
        <v>644</v>
      </c>
      <c r="N393" s="14" t="s">
        <v>635</v>
      </c>
      <c r="O393" s="4">
        <v>42867</v>
      </c>
    </row>
    <row r="394" spans="1:15">
      <c r="A394" s="7">
        <v>170405</v>
      </c>
      <c r="B394" s="7">
        <v>4.53</v>
      </c>
      <c r="C394" s="18" t="s">
        <v>656</v>
      </c>
      <c r="D394" s="19">
        <v>0</v>
      </c>
      <c r="E394" s="20">
        <v>9.6630136986301363</v>
      </c>
      <c r="F394" s="21">
        <v>4.5297999999999998</v>
      </c>
      <c r="G394" s="21">
        <v>2.0000000000042206E-2</v>
      </c>
      <c r="H394" s="21">
        <v>4.5898000000000003</v>
      </c>
      <c r="I394" s="21">
        <v>-6.0000000000000497</v>
      </c>
      <c r="J394" s="19" t="s">
        <v>17</v>
      </c>
      <c r="K394" s="19" t="s">
        <v>19</v>
      </c>
      <c r="L394" s="13">
        <v>3.85</v>
      </c>
      <c r="M394" s="14" t="s">
        <v>644</v>
      </c>
      <c r="N394" s="14" t="s">
        <v>635</v>
      </c>
      <c r="O394" s="4">
        <v>42867</v>
      </c>
    </row>
    <row r="395" spans="1:15">
      <c r="A395" s="7">
        <v>170405</v>
      </c>
      <c r="B395" s="7">
        <v>4.53</v>
      </c>
      <c r="C395" s="18" t="s">
        <v>656</v>
      </c>
      <c r="D395" s="19">
        <v>0</v>
      </c>
      <c r="E395" s="20">
        <v>9.6630136986301363</v>
      </c>
      <c r="F395" s="21">
        <v>4.5297999999999998</v>
      </c>
      <c r="G395" s="21">
        <v>2.0000000000042206E-2</v>
      </c>
      <c r="H395" s="21">
        <v>4.5898000000000003</v>
      </c>
      <c r="I395" s="21">
        <v>-6.0000000000000497</v>
      </c>
      <c r="J395" s="19" t="s">
        <v>17</v>
      </c>
      <c r="K395" s="19" t="s">
        <v>19</v>
      </c>
      <c r="L395" s="13">
        <v>3.85</v>
      </c>
      <c r="M395" s="14" t="s">
        <v>644</v>
      </c>
      <c r="N395" s="14" t="s">
        <v>635</v>
      </c>
      <c r="O395" s="4">
        <v>42867</v>
      </c>
    </row>
    <row r="396" spans="1:15">
      <c r="A396" s="7">
        <v>170405</v>
      </c>
      <c r="B396" s="7">
        <v>4.53</v>
      </c>
      <c r="C396" s="18" t="s">
        <v>656</v>
      </c>
      <c r="D396" s="19">
        <v>0</v>
      </c>
      <c r="E396" s="20">
        <v>9.6630136986301363</v>
      </c>
      <c r="F396" s="21">
        <v>4.5297999999999998</v>
      </c>
      <c r="G396" s="21">
        <v>2.0000000000042206E-2</v>
      </c>
      <c r="H396" s="21">
        <v>4.5898000000000003</v>
      </c>
      <c r="I396" s="21">
        <v>-6.0000000000000497</v>
      </c>
      <c r="J396" s="19" t="s">
        <v>17</v>
      </c>
      <c r="K396" s="19" t="s">
        <v>19</v>
      </c>
      <c r="L396" s="13">
        <v>3.85</v>
      </c>
      <c r="M396" s="14" t="s">
        <v>644</v>
      </c>
      <c r="N396" s="14" t="s">
        <v>635</v>
      </c>
      <c r="O396" s="4">
        <v>42867</v>
      </c>
    </row>
    <row r="397" spans="1:15">
      <c r="A397" s="7">
        <v>170405</v>
      </c>
      <c r="B397" s="7">
        <v>4.53</v>
      </c>
      <c r="C397" s="18" t="s">
        <v>656</v>
      </c>
      <c r="D397" s="19">
        <v>0</v>
      </c>
      <c r="E397" s="20">
        <v>9.6630136986301363</v>
      </c>
      <c r="F397" s="21">
        <v>4.5297999999999998</v>
      </c>
      <c r="G397" s="21">
        <v>2.0000000000042206E-2</v>
      </c>
      <c r="H397" s="21">
        <v>4.5898000000000003</v>
      </c>
      <c r="I397" s="21">
        <v>-6.0000000000000497</v>
      </c>
      <c r="J397" s="19" t="s">
        <v>17</v>
      </c>
      <c r="K397" s="19" t="s">
        <v>19</v>
      </c>
      <c r="L397" s="13">
        <v>3.85</v>
      </c>
      <c r="M397" s="14" t="s">
        <v>644</v>
      </c>
      <c r="N397" s="14" t="s">
        <v>635</v>
      </c>
      <c r="O397" s="4">
        <v>42867</v>
      </c>
    </row>
    <row r="398" spans="1:15">
      <c r="A398" s="7">
        <v>170405</v>
      </c>
      <c r="B398" s="7">
        <v>4.53</v>
      </c>
      <c r="C398" s="18" t="s">
        <v>656</v>
      </c>
      <c r="D398" s="19">
        <v>0</v>
      </c>
      <c r="E398" s="20">
        <v>9.6630136986301363</v>
      </c>
      <c r="F398" s="21">
        <v>4.5297999999999998</v>
      </c>
      <c r="G398" s="21">
        <v>2.0000000000042206E-2</v>
      </c>
      <c r="H398" s="21">
        <v>4.5898000000000003</v>
      </c>
      <c r="I398" s="21">
        <v>-6.0000000000000497</v>
      </c>
      <c r="J398" s="19" t="s">
        <v>17</v>
      </c>
      <c r="K398" s="19" t="s">
        <v>19</v>
      </c>
      <c r="L398" s="13">
        <v>3.85</v>
      </c>
      <c r="M398" s="14" t="s">
        <v>644</v>
      </c>
      <c r="N398" s="14" t="s">
        <v>635</v>
      </c>
      <c r="O398" s="4">
        <v>42867</v>
      </c>
    </row>
    <row r="399" spans="1:15">
      <c r="A399" s="7">
        <v>170405</v>
      </c>
      <c r="B399" s="7">
        <v>4.53</v>
      </c>
      <c r="C399" s="18" t="s">
        <v>656</v>
      </c>
      <c r="D399" s="19">
        <v>0</v>
      </c>
      <c r="E399" s="20">
        <v>9.6630136986301363</v>
      </c>
      <c r="F399" s="21">
        <v>4.5297999999999998</v>
      </c>
      <c r="G399" s="21">
        <v>2.0000000000042206E-2</v>
      </c>
      <c r="H399" s="21">
        <v>4.5898000000000003</v>
      </c>
      <c r="I399" s="21">
        <v>-6.0000000000000497</v>
      </c>
      <c r="J399" s="19" t="s">
        <v>17</v>
      </c>
      <c r="K399" s="19" t="s">
        <v>19</v>
      </c>
      <c r="L399" s="13">
        <v>3.85</v>
      </c>
      <c r="M399" s="14" t="s">
        <v>644</v>
      </c>
      <c r="N399" s="14" t="s">
        <v>635</v>
      </c>
      <c r="O399" s="4">
        <v>42867</v>
      </c>
    </row>
    <row r="400" spans="1:15">
      <c r="A400" s="7">
        <v>160210</v>
      </c>
      <c r="B400" s="7">
        <v>4.53</v>
      </c>
      <c r="C400" s="18" t="s">
        <v>97</v>
      </c>
      <c r="D400" s="19">
        <v>0</v>
      </c>
      <c r="E400" s="20">
        <v>8.9068493150684933</v>
      </c>
      <c r="F400" s="21">
        <v>4.5414000000000003</v>
      </c>
      <c r="G400" s="21">
        <v>-1.1400000000000077</v>
      </c>
      <c r="H400" s="21">
        <v>4.5801999999999996</v>
      </c>
      <c r="I400" s="21">
        <v>-3.879999999999928</v>
      </c>
      <c r="J400" s="19" t="s">
        <v>17</v>
      </c>
      <c r="K400" s="19" t="s">
        <v>19</v>
      </c>
      <c r="L400" s="13">
        <v>3.18</v>
      </c>
      <c r="M400" s="14" t="s">
        <v>98</v>
      </c>
      <c r="N400" s="14" t="s">
        <v>99</v>
      </c>
      <c r="O400" s="4">
        <v>42867</v>
      </c>
    </row>
    <row r="401" spans="1:15">
      <c r="A401" s="7">
        <v>140205</v>
      </c>
      <c r="B401" s="7">
        <v>4.53</v>
      </c>
      <c r="C401" s="18" t="s">
        <v>302</v>
      </c>
      <c r="D401" s="19">
        <v>0</v>
      </c>
      <c r="E401" s="20">
        <v>6.6986301369863011</v>
      </c>
      <c r="F401" s="21">
        <v>4.4989999999999997</v>
      </c>
      <c r="G401" s="21">
        <v>3.1000000000000583</v>
      </c>
      <c r="H401" s="21">
        <v>4.5096999999999996</v>
      </c>
      <c r="I401" s="21">
        <v>-1.0699999999999932</v>
      </c>
      <c r="J401" s="19" t="s">
        <v>17</v>
      </c>
      <c r="K401" s="19" t="s">
        <v>19</v>
      </c>
      <c r="L401" s="13">
        <v>5.9</v>
      </c>
      <c r="M401" s="14" t="s">
        <v>333</v>
      </c>
      <c r="N401" s="14" t="s">
        <v>365</v>
      </c>
      <c r="O401" s="4">
        <v>42867</v>
      </c>
    </row>
    <row r="402" spans="1:15">
      <c r="A402" s="7">
        <v>170405</v>
      </c>
      <c r="B402" s="7">
        <v>4.5274999999999999</v>
      </c>
      <c r="C402" s="18" t="s">
        <v>656</v>
      </c>
      <c r="D402" s="19">
        <v>0</v>
      </c>
      <c r="E402" s="20">
        <v>9.6630136986301363</v>
      </c>
      <c r="F402" s="21">
        <v>4.5297999999999998</v>
      </c>
      <c r="G402" s="21">
        <v>-0.22999999999999687</v>
      </c>
      <c r="H402" s="21">
        <v>4.5898000000000003</v>
      </c>
      <c r="I402" s="21">
        <v>-6.0000000000000497</v>
      </c>
      <c r="J402" s="19" t="s">
        <v>17</v>
      </c>
      <c r="K402" s="19" t="s">
        <v>19</v>
      </c>
      <c r="L402" s="13">
        <v>3.85</v>
      </c>
      <c r="M402" s="14" t="s">
        <v>644</v>
      </c>
      <c r="N402" s="14" t="s">
        <v>635</v>
      </c>
      <c r="O402" s="4">
        <v>42867</v>
      </c>
    </row>
    <row r="403" spans="1:15">
      <c r="A403" s="7">
        <v>170405</v>
      </c>
      <c r="B403" s="7">
        <v>4.5250000000000004</v>
      </c>
      <c r="C403" s="18" t="s">
        <v>656</v>
      </c>
      <c r="D403" s="19">
        <v>0</v>
      </c>
      <c r="E403" s="20">
        <v>9.6630136986301363</v>
      </c>
      <c r="F403" s="21">
        <v>4.5297999999999998</v>
      </c>
      <c r="G403" s="21">
        <v>-0.47999999999994714</v>
      </c>
      <c r="H403" s="21">
        <v>4.5898000000000003</v>
      </c>
      <c r="I403" s="21">
        <v>-6.0000000000000497</v>
      </c>
      <c r="J403" s="19" t="s">
        <v>17</v>
      </c>
      <c r="K403" s="19" t="s">
        <v>19</v>
      </c>
      <c r="L403" s="13">
        <v>3.85</v>
      </c>
      <c r="M403" s="14" t="s">
        <v>644</v>
      </c>
      <c r="N403" s="14" t="s">
        <v>635</v>
      </c>
      <c r="O403" s="4">
        <v>42867</v>
      </c>
    </row>
    <row r="404" spans="1:15">
      <c r="A404" s="7">
        <v>170405</v>
      </c>
      <c r="B404" s="7">
        <v>4.5250000000000004</v>
      </c>
      <c r="C404" s="18" t="s">
        <v>656</v>
      </c>
      <c r="D404" s="19">
        <v>0</v>
      </c>
      <c r="E404" s="20">
        <v>9.6630136986301363</v>
      </c>
      <c r="F404" s="21">
        <v>4.5297999999999998</v>
      </c>
      <c r="G404" s="21">
        <v>-0.47999999999994714</v>
      </c>
      <c r="H404" s="21">
        <v>4.5898000000000003</v>
      </c>
      <c r="I404" s="21">
        <v>-6.0000000000000497</v>
      </c>
      <c r="J404" s="19" t="s">
        <v>17</v>
      </c>
      <c r="K404" s="19" t="s">
        <v>19</v>
      </c>
      <c r="L404" s="13">
        <v>3.85</v>
      </c>
      <c r="M404" s="14" t="s">
        <v>644</v>
      </c>
      <c r="N404" s="14" t="s">
        <v>635</v>
      </c>
      <c r="O404" s="4">
        <v>42867</v>
      </c>
    </row>
    <row r="405" spans="1:15">
      <c r="A405" s="7">
        <v>170303</v>
      </c>
      <c r="B405" s="7">
        <v>4.5250000000000004</v>
      </c>
      <c r="C405" s="18" t="s">
        <v>799</v>
      </c>
      <c r="D405" s="19">
        <v>0</v>
      </c>
      <c r="E405" s="20">
        <v>9.8630136986301373</v>
      </c>
      <c r="F405" s="21">
        <v>4.5349000000000004</v>
      </c>
      <c r="G405" s="21">
        <v>-0.99000000000000199</v>
      </c>
      <c r="H405" s="21">
        <v>4.5899000000000001</v>
      </c>
      <c r="I405" s="21">
        <v>-5.4999999999999716</v>
      </c>
      <c r="J405" s="19" t="s">
        <v>17</v>
      </c>
      <c r="K405" s="19" t="s">
        <v>19</v>
      </c>
      <c r="L405" s="13">
        <v>4.1100000000000003</v>
      </c>
      <c r="M405" s="14" t="s">
        <v>788</v>
      </c>
      <c r="N405" s="14" t="s">
        <v>773</v>
      </c>
      <c r="O405" s="4">
        <v>42867</v>
      </c>
    </row>
    <row r="406" spans="1:15">
      <c r="A406" s="7">
        <v>111716034</v>
      </c>
      <c r="B406" s="7">
        <v>4.5199999999999996</v>
      </c>
      <c r="C406" s="18" t="s">
        <v>904</v>
      </c>
      <c r="D406" s="19" t="s">
        <v>11</v>
      </c>
      <c r="E406" s="20">
        <v>4.6575342465753428E-2</v>
      </c>
      <c r="F406" s="21">
        <v>3.5855000000000001</v>
      </c>
      <c r="G406" s="21">
        <v>93.449999999999946</v>
      </c>
      <c r="H406" s="21">
        <v>3.6135000000000002</v>
      </c>
      <c r="I406" s="21">
        <v>-2.8000000000000025</v>
      </c>
      <c r="J406" s="19" t="s">
        <v>55</v>
      </c>
      <c r="K406" s="19" t="s">
        <v>56</v>
      </c>
      <c r="L406" s="13">
        <v>4.42</v>
      </c>
      <c r="M406" s="14" t="s">
        <v>702</v>
      </c>
      <c r="N406" s="14" t="s">
        <v>703</v>
      </c>
      <c r="O406" s="4">
        <v>42867</v>
      </c>
    </row>
    <row r="407" spans="1:15">
      <c r="A407" s="7">
        <v>170405</v>
      </c>
      <c r="B407" s="7">
        <v>4.5199999999999996</v>
      </c>
      <c r="C407" s="18" t="s">
        <v>656</v>
      </c>
      <c r="D407" s="19">
        <v>0</v>
      </c>
      <c r="E407" s="20">
        <v>9.6630136986301363</v>
      </c>
      <c r="F407" s="21">
        <v>4.5297999999999998</v>
      </c>
      <c r="G407" s="21">
        <v>-0.9800000000000253</v>
      </c>
      <c r="H407" s="21">
        <v>4.5898000000000003</v>
      </c>
      <c r="I407" s="21">
        <v>-6.0000000000000497</v>
      </c>
      <c r="J407" s="19" t="s">
        <v>17</v>
      </c>
      <c r="K407" s="19" t="s">
        <v>19</v>
      </c>
      <c r="L407" s="13">
        <v>3.85</v>
      </c>
      <c r="M407" s="14" t="s">
        <v>644</v>
      </c>
      <c r="N407" s="14" t="s">
        <v>635</v>
      </c>
      <c r="O407" s="4">
        <v>42867</v>
      </c>
    </row>
    <row r="408" spans="1:15">
      <c r="A408" s="7">
        <v>170405</v>
      </c>
      <c r="B408" s="7">
        <v>4.5199999999999996</v>
      </c>
      <c r="C408" s="18" t="s">
        <v>656</v>
      </c>
      <c r="D408" s="19">
        <v>0</v>
      </c>
      <c r="E408" s="20">
        <v>9.6630136986301363</v>
      </c>
      <c r="F408" s="21">
        <v>4.5297999999999998</v>
      </c>
      <c r="G408" s="21">
        <v>-0.9800000000000253</v>
      </c>
      <c r="H408" s="21">
        <v>4.5898000000000003</v>
      </c>
      <c r="I408" s="21">
        <v>-6.0000000000000497</v>
      </c>
      <c r="J408" s="19" t="s">
        <v>17</v>
      </c>
      <c r="K408" s="19" t="s">
        <v>19</v>
      </c>
      <c r="L408" s="13">
        <v>3.85</v>
      </c>
      <c r="M408" s="14" t="s">
        <v>644</v>
      </c>
      <c r="N408" s="14" t="s">
        <v>635</v>
      </c>
      <c r="O408" s="4">
        <v>42867</v>
      </c>
    </row>
    <row r="409" spans="1:15">
      <c r="A409" s="7">
        <v>170405</v>
      </c>
      <c r="B409" s="7">
        <v>4.5199999999999996</v>
      </c>
      <c r="C409" s="18" t="s">
        <v>656</v>
      </c>
      <c r="D409" s="19">
        <v>0</v>
      </c>
      <c r="E409" s="20">
        <v>9.6630136986301363</v>
      </c>
      <c r="F409" s="21">
        <v>4.5297999999999998</v>
      </c>
      <c r="G409" s="21">
        <v>-0.9800000000000253</v>
      </c>
      <c r="H409" s="21">
        <v>4.5898000000000003</v>
      </c>
      <c r="I409" s="21">
        <v>-6.0000000000000497</v>
      </c>
      <c r="J409" s="19" t="s">
        <v>17</v>
      </c>
      <c r="K409" s="19" t="s">
        <v>19</v>
      </c>
      <c r="L409" s="13">
        <v>3.85</v>
      </c>
      <c r="M409" s="14" t="s">
        <v>644</v>
      </c>
      <c r="N409" s="14" t="s">
        <v>635</v>
      </c>
      <c r="O409" s="4">
        <v>42867</v>
      </c>
    </row>
    <row r="410" spans="1:15">
      <c r="A410" s="7">
        <v>170405</v>
      </c>
      <c r="B410" s="7">
        <v>4.5199999999999996</v>
      </c>
      <c r="C410" s="18" t="s">
        <v>656</v>
      </c>
      <c r="D410" s="19">
        <v>0</v>
      </c>
      <c r="E410" s="20">
        <v>9.6630136986301363</v>
      </c>
      <c r="F410" s="21">
        <v>4.5297999999999998</v>
      </c>
      <c r="G410" s="21">
        <v>-0.9800000000000253</v>
      </c>
      <c r="H410" s="21">
        <v>4.5898000000000003</v>
      </c>
      <c r="I410" s="21">
        <v>-6.0000000000000497</v>
      </c>
      <c r="J410" s="19" t="s">
        <v>17</v>
      </c>
      <c r="K410" s="19" t="s">
        <v>19</v>
      </c>
      <c r="L410" s="13">
        <v>3.85</v>
      </c>
      <c r="M410" s="14" t="s">
        <v>644</v>
      </c>
      <c r="N410" s="14" t="s">
        <v>635</v>
      </c>
      <c r="O410" s="4">
        <v>42867</v>
      </c>
    </row>
    <row r="411" spans="1:15">
      <c r="A411" s="7">
        <v>11766016</v>
      </c>
      <c r="B411" s="7">
        <v>4.5</v>
      </c>
      <c r="C411" s="18" t="s">
        <v>880</v>
      </c>
      <c r="D411" s="19" t="s">
        <v>11</v>
      </c>
      <c r="E411" s="20">
        <v>0.43835616438356162</v>
      </c>
      <c r="F411" s="21">
        <v>4.3563999999999998</v>
      </c>
      <c r="G411" s="21">
        <v>14.360000000000017</v>
      </c>
      <c r="H411" s="21">
        <v>4.3236999999999997</v>
      </c>
      <c r="I411" s="21">
        <v>3.2700000000000173</v>
      </c>
      <c r="J411" s="19" t="s">
        <v>17</v>
      </c>
      <c r="K411" s="19" t="s">
        <v>13</v>
      </c>
      <c r="L411" s="13">
        <v>4.21</v>
      </c>
      <c r="M411" s="14" t="s">
        <v>879</v>
      </c>
      <c r="N411" s="14" t="s">
        <v>869</v>
      </c>
      <c r="O411" s="4">
        <v>42867</v>
      </c>
    </row>
    <row r="412" spans="1:15">
      <c r="A412" s="7">
        <v>11766016</v>
      </c>
      <c r="B412" s="7">
        <v>4.5</v>
      </c>
      <c r="C412" s="18" t="s">
        <v>880</v>
      </c>
      <c r="D412" s="19" t="s">
        <v>11</v>
      </c>
      <c r="E412" s="20">
        <v>0.43835616438356162</v>
      </c>
      <c r="F412" s="21">
        <v>4.3563999999999998</v>
      </c>
      <c r="G412" s="21">
        <v>14.360000000000017</v>
      </c>
      <c r="H412" s="21">
        <v>4.3236999999999997</v>
      </c>
      <c r="I412" s="21">
        <v>3.2700000000000173</v>
      </c>
      <c r="J412" s="19" t="s">
        <v>17</v>
      </c>
      <c r="K412" s="19" t="s">
        <v>13</v>
      </c>
      <c r="L412" s="13">
        <v>4.21</v>
      </c>
      <c r="M412" s="14" t="s">
        <v>879</v>
      </c>
      <c r="N412" s="14" t="s">
        <v>869</v>
      </c>
      <c r="O412" s="4">
        <v>42867</v>
      </c>
    </row>
    <row r="413" spans="1:15">
      <c r="A413" s="7">
        <v>170403</v>
      </c>
      <c r="B413" s="7">
        <v>4.5</v>
      </c>
      <c r="C413" s="18" t="s">
        <v>673</v>
      </c>
      <c r="D413" s="19">
        <v>0</v>
      </c>
      <c r="E413" s="20">
        <v>4.6602739726027398</v>
      </c>
      <c r="F413" s="21">
        <v>4.4786999999999999</v>
      </c>
      <c r="G413" s="21">
        <v>2.1300000000000097</v>
      </c>
      <c r="H413" s="21">
        <v>4.5202999999999998</v>
      </c>
      <c r="I413" s="21">
        <v>-4.1599999999999859</v>
      </c>
      <c r="J413" s="19" t="s">
        <v>17</v>
      </c>
      <c r="K413" s="19" t="s">
        <v>19</v>
      </c>
      <c r="L413" s="13">
        <v>3.7</v>
      </c>
      <c r="M413" s="14" t="s">
        <v>644</v>
      </c>
      <c r="N413" s="14" t="s">
        <v>635</v>
      </c>
      <c r="O413" s="4">
        <v>42867</v>
      </c>
    </row>
    <row r="414" spans="1:15">
      <c r="A414" s="7">
        <v>170403</v>
      </c>
      <c r="B414" s="7">
        <v>4.5</v>
      </c>
      <c r="C414" s="18" t="s">
        <v>673</v>
      </c>
      <c r="D414" s="19">
        <v>0</v>
      </c>
      <c r="E414" s="20">
        <v>4.6602739726027398</v>
      </c>
      <c r="F414" s="21">
        <v>4.4786999999999999</v>
      </c>
      <c r="G414" s="21">
        <v>2.1300000000000097</v>
      </c>
      <c r="H414" s="21">
        <v>4.5202999999999998</v>
      </c>
      <c r="I414" s="21">
        <v>-4.1599999999999859</v>
      </c>
      <c r="J414" s="19" t="s">
        <v>17</v>
      </c>
      <c r="K414" s="19" t="s">
        <v>19</v>
      </c>
      <c r="L414" s="13">
        <v>3.7</v>
      </c>
      <c r="M414" s="14" t="s">
        <v>644</v>
      </c>
      <c r="N414" s="14" t="s">
        <v>635</v>
      </c>
      <c r="O414" s="4">
        <v>42867</v>
      </c>
    </row>
    <row r="415" spans="1:15">
      <c r="A415" s="7">
        <v>170403</v>
      </c>
      <c r="B415" s="7">
        <v>4.5</v>
      </c>
      <c r="C415" s="18" t="s">
        <v>673</v>
      </c>
      <c r="D415" s="19">
        <v>0</v>
      </c>
      <c r="E415" s="20">
        <v>4.6602739726027398</v>
      </c>
      <c r="F415" s="21">
        <v>4.4786999999999999</v>
      </c>
      <c r="G415" s="21">
        <v>2.1300000000000097</v>
      </c>
      <c r="H415" s="21">
        <v>4.5202999999999998</v>
      </c>
      <c r="I415" s="21">
        <v>-4.1599999999999859</v>
      </c>
      <c r="J415" s="19" t="s">
        <v>17</v>
      </c>
      <c r="K415" s="19" t="s">
        <v>19</v>
      </c>
      <c r="L415" s="13">
        <v>3.7</v>
      </c>
      <c r="M415" s="14" t="s">
        <v>644</v>
      </c>
      <c r="N415" s="14" t="s">
        <v>635</v>
      </c>
      <c r="O415" s="4">
        <v>42867</v>
      </c>
    </row>
    <row r="416" spans="1:15">
      <c r="A416" s="7">
        <v>170304</v>
      </c>
      <c r="B416" s="7">
        <v>4.5</v>
      </c>
      <c r="C416" s="18" t="s">
        <v>812</v>
      </c>
      <c r="D416" s="19">
        <v>0</v>
      </c>
      <c r="E416" s="20">
        <v>4.86027397260274</v>
      </c>
      <c r="F416" s="21">
        <v>4.5008999999999997</v>
      </c>
      <c r="G416" s="21">
        <v>-8.9999999999967883E-2</v>
      </c>
      <c r="H416" s="21">
        <v>4.5218999999999996</v>
      </c>
      <c r="I416" s="21">
        <v>-2.0999999999999908</v>
      </c>
      <c r="J416" s="19" t="s">
        <v>17</v>
      </c>
      <c r="K416" s="19" t="s">
        <v>19</v>
      </c>
      <c r="L416" s="13">
        <v>4.05</v>
      </c>
      <c r="M416" s="14" t="s">
        <v>788</v>
      </c>
      <c r="N416" s="14" t="s">
        <v>773</v>
      </c>
      <c r="O416" s="4">
        <v>42867</v>
      </c>
    </row>
    <row r="417" spans="1:15">
      <c r="A417" s="7">
        <v>160213</v>
      </c>
      <c r="B417" s="7">
        <v>4.5</v>
      </c>
      <c r="C417" s="18" t="s">
        <v>468</v>
      </c>
      <c r="D417" s="19">
        <v>0</v>
      </c>
      <c r="E417" s="20">
        <v>9.2958904109589042</v>
      </c>
      <c r="F417" s="21">
        <v>4.4457000000000004</v>
      </c>
      <c r="G417" s="21">
        <v>5.4299999999999571</v>
      </c>
      <c r="H417" s="21">
        <v>4.4912999999999998</v>
      </c>
      <c r="I417" s="21">
        <v>-4.5599999999999419</v>
      </c>
      <c r="J417" s="19" t="s">
        <v>17</v>
      </c>
      <c r="K417" s="19" t="s">
        <v>19</v>
      </c>
      <c r="L417" s="13">
        <v>3.05</v>
      </c>
      <c r="M417" s="14" t="s">
        <v>469</v>
      </c>
      <c r="N417" s="14" t="s">
        <v>461</v>
      </c>
      <c r="O417" s="4">
        <v>42867</v>
      </c>
    </row>
    <row r="418" spans="1:15">
      <c r="A418" s="7">
        <v>160213</v>
      </c>
      <c r="B418" s="7">
        <v>4.5</v>
      </c>
      <c r="C418" s="18" t="s">
        <v>468</v>
      </c>
      <c r="D418" s="19">
        <v>0</v>
      </c>
      <c r="E418" s="20">
        <v>9.2958904109589042</v>
      </c>
      <c r="F418" s="21">
        <v>4.4457000000000004</v>
      </c>
      <c r="G418" s="21">
        <v>5.4299999999999571</v>
      </c>
      <c r="H418" s="21">
        <v>4.4912999999999998</v>
      </c>
      <c r="I418" s="21">
        <v>-4.5599999999999419</v>
      </c>
      <c r="J418" s="19" t="s">
        <v>17</v>
      </c>
      <c r="K418" s="19" t="s">
        <v>19</v>
      </c>
      <c r="L418" s="13">
        <v>3.05</v>
      </c>
      <c r="M418" s="14" t="s">
        <v>469</v>
      </c>
      <c r="N418" s="14" t="s">
        <v>461</v>
      </c>
      <c r="O418" s="4">
        <v>42867</v>
      </c>
    </row>
    <row r="419" spans="1:15">
      <c r="A419" s="7">
        <v>160213</v>
      </c>
      <c r="B419" s="7">
        <v>4.5</v>
      </c>
      <c r="C419" s="18" t="s">
        <v>468</v>
      </c>
      <c r="D419" s="19">
        <v>0</v>
      </c>
      <c r="E419" s="20">
        <v>9.2958904109589042</v>
      </c>
      <c r="F419" s="21">
        <v>4.4457000000000004</v>
      </c>
      <c r="G419" s="21">
        <v>5.4299999999999571</v>
      </c>
      <c r="H419" s="21">
        <v>4.4912999999999998</v>
      </c>
      <c r="I419" s="21">
        <v>-4.5599999999999419</v>
      </c>
      <c r="J419" s="19" t="s">
        <v>17</v>
      </c>
      <c r="K419" s="19" t="s">
        <v>19</v>
      </c>
      <c r="L419" s="13">
        <v>3.05</v>
      </c>
      <c r="M419" s="14" t="s">
        <v>469</v>
      </c>
      <c r="N419" s="14" t="s">
        <v>461</v>
      </c>
      <c r="O419" s="4">
        <v>42867</v>
      </c>
    </row>
    <row r="420" spans="1:15">
      <c r="A420" s="7">
        <v>160207</v>
      </c>
      <c r="B420" s="7">
        <v>4.5</v>
      </c>
      <c r="C420" s="18" t="s">
        <v>150</v>
      </c>
      <c r="D420" s="19">
        <v>0</v>
      </c>
      <c r="E420" s="20">
        <v>5.7972602739726025</v>
      </c>
      <c r="F420" s="21">
        <v>4.4684999999999997</v>
      </c>
      <c r="G420" s="21">
        <v>3.1500000000000306</v>
      </c>
      <c r="H420" s="21">
        <v>4.4995000000000003</v>
      </c>
      <c r="I420" s="21">
        <v>-3.1000000000000583</v>
      </c>
      <c r="J420" s="19" t="s">
        <v>17</v>
      </c>
      <c r="K420" s="19" t="s">
        <v>19</v>
      </c>
      <c r="L420" s="13">
        <v>3.24</v>
      </c>
      <c r="M420" s="14" t="s">
        <v>142</v>
      </c>
      <c r="N420" s="14" t="s">
        <v>140</v>
      </c>
      <c r="O420" s="4">
        <v>42867</v>
      </c>
    </row>
    <row r="421" spans="1:15">
      <c r="A421" s="7">
        <v>150412</v>
      </c>
      <c r="B421" s="7">
        <v>4.5</v>
      </c>
      <c r="C421" s="18" t="s">
        <v>283</v>
      </c>
      <c r="D421" s="19">
        <v>0</v>
      </c>
      <c r="E421" s="20">
        <v>4.9835616438356167</v>
      </c>
      <c r="F421" s="21">
        <v>4.4882</v>
      </c>
      <c r="G421" s="21">
        <v>1.1800000000000033</v>
      </c>
      <c r="H421" s="21">
        <v>4.5340999999999996</v>
      </c>
      <c r="I421" s="21">
        <v>-4.5899999999999608</v>
      </c>
      <c r="J421" s="19" t="s">
        <v>17</v>
      </c>
      <c r="K421" s="19" t="s">
        <v>19</v>
      </c>
      <c r="L421" s="13">
        <v>4.18</v>
      </c>
      <c r="M421" s="14" t="s">
        <v>14</v>
      </c>
      <c r="N421" s="14" t="s">
        <v>232</v>
      </c>
      <c r="O421" s="4">
        <v>42867</v>
      </c>
    </row>
    <row r="422" spans="1:15">
      <c r="A422" s="7">
        <v>160213</v>
      </c>
      <c r="B422" s="7">
        <v>4.4974999999999996</v>
      </c>
      <c r="C422" s="18" t="s">
        <v>468</v>
      </c>
      <c r="D422" s="19">
        <v>0</v>
      </c>
      <c r="E422" s="20">
        <v>9.2958904109589042</v>
      </c>
      <c r="F422" s="21">
        <v>4.4457000000000004</v>
      </c>
      <c r="G422" s="21">
        <v>5.179999999999918</v>
      </c>
      <c r="H422" s="21">
        <v>4.4912999999999998</v>
      </c>
      <c r="I422" s="21">
        <v>-4.5599999999999419</v>
      </c>
      <c r="J422" s="19" t="s">
        <v>17</v>
      </c>
      <c r="K422" s="19" t="s">
        <v>19</v>
      </c>
      <c r="L422" s="13">
        <v>3.05</v>
      </c>
      <c r="M422" s="14" t="s">
        <v>469</v>
      </c>
      <c r="N422" s="14" t="s">
        <v>461</v>
      </c>
      <c r="O422" s="4">
        <v>42867</v>
      </c>
    </row>
    <row r="423" spans="1:15">
      <c r="A423" s="7">
        <v>160213</v>
      </c>
      <c r="B423" s="7">
        <v>4.4974999999999996</v>
      </c>
      <c r="C423" s="18" t="s">
        <v>468</v>
      </c>
      <c r="D423" s="19">
        <v>0</v>
      </c>
      <c r="E423" s="20">
        <v>9.2958904109589042</v>
      </c>
      <c r="F423" s="21">
        <v>4.4457000000000004</v>
      </c>
      <c r="G423" s="21">
        <v>5.179999999999918</v>
      </c>
      <c r="H423" s="21">
        <v>4.4912999999999998</v>
      </c>
      <c r="I423" s="21">
        <v>-4.5599999999999419</v>
      </c>
      <c r="J423" s="19" t="s">
        <v>17</v>
      </c>
      <c r="K423" s="19" t="s">
        <v>19</v>
      </c>
      <c r="L423" s="13">
        <v>3.05</v>
      </c>
      <c r="M423" s="14" t="s">
        <v>469</v>
      </c>
      <c r="N423" s="14" t="s">
        <v>461</v>
      </c>
      <c r="O423" s="4">
        <v>42867</v>
      </c>
    </row>
    <row r="424" spans="1:15">
      <c r="A424" s="7">
        <v>160213</v>
      </c>
      <c r="B424" s="7">
        <v>4.4950000000000001</v>
      </c>
      <c r="C424" s="18" t="s">
        <v>468</v>
      </c>
      <c r="D424" s="19">
        <v>0</v>
      </c>
      <c r="E424" s="20">
        <v>9.2958904109589042</v>
      </c>
      <c r="F424" s="21">
        <v>4.4457000000000004</v>
      </c>
      <c r="G424" s="21">
        <v>4.9299999999999677</v>
      </c>
      <c r="H424" s="21">
        <v>4.4912999999999998</v>
      </c>
      <c r="I424" s="21">
        <v>-4.5599999999999419</v>
      </c>
      <c r="J424" s="19" t="s">
        <v>17</v>
      </c>
      <c r="K424" s="19" t="s">
        <v>19</v>
      </c>
      <c r="L424" s="13">
        <v>3.05</v>
      </c>
      <c r="M424" s="14" t="s">
        <v>469</v>
      </c>
      <c r="N424" s="14" t="s">
        <v>461</v>
      </c>
      <c r="O424" s="4">
        <v>42867</v>
      </c>
    </row>
    <row r="425" spans="1:15">
      <c r="A425" s="7">
        <v>160213</v>
      </c>
      <c r="B425" s="7">
        <v>4.49</v>
      </c>
      <c r="C425" s="18" t="s">
        <v>468</v>
      </c>
      <c r="D425" s="19">
        <v>0</v>
      </c>
      <c r="E425" s="20">
        <v>9.2958904109589042</v>
      </c>
      <c r="F425" s="21">
        <v>4.4457000000000004</v>
      </c>
      <c r="G425" s="21">
        <v>4.4299999999999784</v>
      </c>
      <c r="H425" s="21">
        <v>4.4912999999999998</v>
      </c>
      <c r="I425" s="21">
        <v>-4.5599999999999419</v>
      </c>
      <c r="J425" s="19" t="s">
        <v>17</v>
      </c>
      <c r="K425" s="19" t="s">
        <v>19</v>
      </c>
      <c r="L425" s="13">
        <v>3.05</v>
      </c>
      <c r="M425" s="14" t="s">
        <v>469</v>
      </c>
      <c r="N425" s="14" t="s">
        <v>461</v>
      </c>
      <c r="O425" s="4">
        <v>42867</v>
      </c>
    </row>
    <row r="426" spans="1:15">
      <c r="A426" s="7">
        <v>160213</v>
      </c>
      <c r="B426" s="7">
        <v>4.49</v>
      </c>
      <c r="C426" s="18" t="s">
        <v>468</v>
      </c>
      <c r="D426" s="19">
        <v>0</v>
      </c>
      <c r="E426" s="20">
        <v>9.2958904109589042</v>
      </c>
      <c r="F426" s="21">
        <v>4.4457000000000004</v>
      </c>
      <c r="G426" s="21">
        <v>4.4299999999999784</v>
      </c>
      <c r="H426" s="21">
        <v>4.4912999999999998</v>
      </c>
      <c r="I426" s="21">
        <v>-4.5599999999999419</v>
      </c>
      <c r="J426" s="19" t="s">
        <v>17</v>
      </c>
      <c r="K426" s="19" t="s">
        <v>19</v>
      </c>
      <c r="L426" s="13">
        <v>3.05</v>
      </c>
      <c r="M426" s="14" t="s">
        <v>469</v>
      </c>
      <c r="N426" s="14" t="s">
        <v>461</v>
      </c>
      <c r="O426" s="4">
        <v>42867</v>
      </c>
    </row>
    <row r="427" spans="1:15">
      <c r="A427" s="7">
        <v>160213</v>
      </c>
      <c r="B427" s="7">
        <v>4.49</v>
      </c>
      <c r="C427" s="18" t="s">
        <v>468</v>
      </c>
      <c r="D427" s="19">
        <v>0</v>
      </c>
      <c r="E427" s="20">
        <v>9.2958904109589042</v>
      </c>
      <c r="F427" s="21">
        <v>4.4457000000000004</v>
      </c>
      <c r="G427" s="21">
        <v>4.4299999999999784</v>
      </c>
      <c r="H427" s="21">
        <v>4.4912999999999998</v>
      </c>
      <c r="I427" s="21">
        <v>-4.5599999999999419</v>
      </c>
      <c r="J427" s="19" t="s">
        <v>17</v>
      </c>
      <c r="K427" s="19" t="s">
        <v>19</v>
      </c>
      <c r="L427" s="13">
        <v>3.05</v>
      </c>
      <c r="M427" s="14" t="s">
        <v>469</v>
      </c>
      <c r="N427" s="14" t="s">
        <v>461</v>
      </c>
      <c r="O427" s="4">
        <v>42867</v>
      </c>
    </row>
    <row r="428" spans="1:15">
      <c r="A428" s="7">
        <v>160213</v>
      </c>
      <c r="B428" s="7">
        <v>4.49</v>
      </c>
      <c r="C428" s="18" t="s">
        <v>468</v>
      </c>
      <c r="D428" s="19">
        <v>0</v>
      </c>
      <c r="E428" s="20">
        <v>9.2958904109589042</v>
      </c>
      <c r="F428" s="21">
        <v>4.4457000000000004</v>
      </c>
      <c r="G428" s="21">
        <v>4.4299999999999784</v>
      </c>
      <c r="H428" s="21">
        <v>4.4912999999999998</v>
      </c>
      <c r="I428" s="21">
        <v>-4.5599999999999419</v>
      </c>
      <c r="J428" s="19" t="s">
        <v>17</v>
      </c>
      <c r="K428" s="19" t="s">
        <v>19</v>
      </c>
      <c r="L428" s="13">
        <v>3.05</v>
      </c>
      <c r="M428" s="14" t="s">
        <v>469</v>
      </c>
      <c r="N428" s="14" t="s">
        <v>461</v>
      </c>
      <c r="O428" s="4">
        <v>42867</v>
      </c>
    </row>
    <row r="429" spans="1:15">
      <c r="A429" s="7">
        <v>160213</v>
      </c>
      <c r="B429" s="7">
        <v>4.49</v>
      </c>
      <c r="C429" s="18" t="s">
        <v>468</v>
      </c>
      <c r="D429" s="19">
        <v>0</v>
      </c>
      <c r="E429" s="20">
        <v>9.2958904109589042</v>
      </c>
      <c r="F429" s="21">
        <v>4.4457000000000004</v>
      </c>
      <c r="G429" s="21">
        <v>4.4299999999999784</v>
      </c>
      <c r="H429" s="21">
        <v>4.4912999999999998</v>
      </c>
      <c r="I429" s="21">
        <v>-4.5599999999999419</v>
      </c>
      <c r="J429" s="19" t="s">
        <v>17</v>
      </c>
      <c r="K429" s="19" t="s">
        <v>19</v>
      </c>
      <c r="L429" s="13">
        <v>3.05</v>
      </c>
      <c r="M429" s="14" t="s">
        <v>469</v>
      </c>
      <c r="N429" s="14" t="s">
        <v>461</v>
      </c>
      <c r="O429" s="4">
        <v>42867</v>
      </c>
    </row>
    <row r="430" spans="1:15">
      <c r="A430" s="7">
        <v>160213</v>
      </c>
      <c r="B430" s="7">
        <v>4.49</v>
      </c>
      <c r="C430" s="18" t="s">
        <v>468</v>
      </c>
      <c r="D430" s="19">
        <v>0</v>
      </c>
      <c r="E430" s="20">
        <v>9.2958904109589042</v>
      </c>
      <c r="F430" s="21">
        <v>4.4457000000000004</v>
      </c>
      <c r="G430" s="21">
        <v>4.4299999999999784</v>
      </c>
      <c r="H430" s="21">
        <v>4.4912999999999998</v>
      </c>
      <c r="I430" s="21">
        <v>-4.5599999999999419</v>
      </c>
      <c r="J430" s="19" t="s">
        <v>17</v>
      </c>
      <c r="K430" s="19" t="s">
        <v>19</v>
      </c>
      <c r="L430" s="13">
        <v>3.05</v>
      </c>
      <c r="M430" s="14" t="s">
        <v>469</v>
      </c>
      <c r="N430" s="14" t="s">
        <v>461</v>
      </c>
      <c r="O430" s="4">
        <v>42867</v>
      </c>
    </row>
    <row r="431" spans="1:15">
      <c r="A431" s="7">
        <v>160213</v>
      </c>
      <c r="B431" s="7">
        <v>4.49</v>
      </c>
      <c r="C431" s="18" t="s">
        <v>468</v>
      </c>
      <c r="D431" s="19">
        <v>0</v>
      </c>
      <c r="E431" s="20">
        <v>9.2958904109589042</v>
      </c>
      <c r="F431" s="21">
        <v>4.4457000000000004</v>
      </c>
      <c r="G431" s="21">
        <v>4.4299999999999784</v>
      </c>
      <c r="H431" s="21">
        <v>4.4912999999999998</v>
      </c>
      <c r="I431" s="21">
        <v>-4.5599999999999419</v>
      </c>
      <c r="J431" s="19" t="s">
        <v>17</v>
      </c>
      <c r="K431" s="19" t="s">
        <v>19</v>
      </c>
      <c r="L431" s="13">
        <v>3.05</v>
      </c>
      <c r="M431" s="14" t="s">
        <v>469</v>
      </c>
      <c r="N431" s="14" t="s">
        <v>461</v>
      </c>
      <c r="O431" s="4">
        <v>42867</v>
      </c>
    </row>
    <row r="432" spans="1:15">
      <c r="A432" s="7">
        <v>160213</v>
      </c>
      <c r="B432" s="7">
        <v>4.49</v>
      </c>
      <c r="C432" s="18" t="s">
        <v>468</v>
      </c>
      <c r="D432" s="19">
        <v>0</v>
      </c>
      <c r="E432" s="20">
        <v>9.2958904109589042</v>
      </c>
      <c r="F432" s="21">
        <v>4.4457000000000004</v>
      </c>
      <c r="G432" s="21">
        <v>4.4299999999999784</v>
      </c>
      <c r="H432" s="21">
        <v>4.4912999999999998</v>
      </c>
      <c r="I432" s="21">
        <v>-4.5599999999999419</v>
      </c>
      <c r="J432" s="19" t="s">
        <v>17</v>
      </c>
      <c r="K432" s="19" t="s">
        <v>19</v>
      </c>
      <c r="L432" s="13">
        <v>3.05</v>
      </c>
      <c r="M432" s="14" t="s">
        <v>469</v>
      </c>
      <c r="N432" s="14" t="s">
        <v>461</v>
      </c>
      <c r="O432" s="4">
        <v>42867</v>
      </c>
    </row>
    <row r="433" spans="1:15">
      <c r="A433" s="7">
        <v>160213</v>
      </c>
      <c r="B433" s="7">
        <v>4.49</v>
      </c>
      <c r="C433" s="18" t="s">
        <v>468</v>
      </c>
      <c r="D433" s="19">
        <v>0</v>
      </c>
      <c r="E433" s="20">
        <v>9.2958904109589042</v>
      </c>
      <c r="F433" s="21">
        <v>4.4457000000000004</v>
      </c>
      <c r="G433" s="21">
        <v>4.4299999999999784</v>
      </c>
      <c r="H433" s="21">
        <v>4.4912999999999998</v>
      </c>
      <c r="I433" s="21">
        <v>-4.5599999999999419</v>
      </c>
      <c r="J433" s="19" t="s">
        <v>17</v>
      </c>
      <c r="K433" s="19" t="s">
        <v>19</v>
      </c>
      <c r="L433" s="13">
        <v>3.05</v>
      </c>
      <c r="M433" s="14" t="s">
        <v>469</v>
      </c>
      <c r="N433" s="14" t="s">
        <v>461</v>
      </c>
      <c r="O433" s="4">
        <v>42867</v>
      </c>
    </row>
    <row r="434" spans="1:15">
      <c r="A434" s="7">
        <v>160213</v>
      </c>
      <c r="B434" s="7">
        <v>4.49</v>
      </c>
      <c r="C434" s="18" t="s">
        <v>468</v>
      </c>
      <c r="D434" s="19">
        <v>0</v>
      </c>
      <c r="E434" s="20">
        <v>9.2958904109589042</v>
      </c>
      <c r="F434" s="21">
        <v>4.4457000000000004</v>
      </c>
      <c r="G434" s="21">
        <v>4.4299999999999784</v>
      </c>
      <c r="H434" s="21">
        <v>4.4912999999999998</v>
      </c>
      <c r="I434" s="21">
        <v>-4.5599999999999419</v>
      </c>
      <c r="J434" s="19" t="s">
        <v>17</v>
      </c>
      <c r="K434" s="19" t="s">
        <v>19</v>
      </c>
      <c r="L434" s="13">
        <v>3.05</v>
      </c>
      <c r="M434" s="14" t="s">
        <v>469</v>
      </c>
      <c r="N434" s="14" t="s">
        <v>461</v>
      </c>
      <c r="O434" s="4">
        <v>42867</v>
      </c>
    </row>
    <row r="435" spans="1:15">
      <c r="A435" s="7">
        <v>160213</v>
      </c>
      <c r="B435" s="7">
        <v>4.49</v>
      </c>
      <c r="C435" s="18" t="s">
        <v>468</v>
      </c>
      <c r="D435" s="19">
        <v>0</v>
      </c>
      <c r="E435" s="20">
        <v>9.2958904109589042</v>
      </c>
      <c r="F435" s="21">
        <v>4.4457000000000004</v>
      </c>
      <c r="G435" s="21">
        <v>4.4299999999999784</v>
      </c>
      <c r="H435" s="21">
        <v>4.4912999999999998</v>
      </c>
      <c r="I435" s="21">
        <v>-4.5599999999999419</v>
      </c>
      <c r="J435" s="19" t="s">
        <v>17</v>
      </c>
      <c r="K435" s="19" t="s">
        <v>19</v>
      </c>
      <c r="L435" s="13">
        <v>3.05</v>
      </c>
      <c r="M435" s="14" t="s">
        <v>469</v>
      </c>
      <c r="N435" s="14" t="s">
        <v>461</v>
      </c>
      <c r="O435" s="4">
        <v>42867</v>
      </c>
    </row>
    <row r="436" spans="1:15">
      <c r="A436" s="7">
        <v>160213</v>
      </c>
      <c r="B436" s="7">
        <v>4.49</v>
      </c>
      <c r="C436" s="18" t="s">
        <v>468</v>
      </c>
      <c r="D436" s="19">
        <v>0</v>
      </c>
      <c r="E436" s="20">
        <v>9.2958904109589042</v>
      </c>
      <c r="F436" s="21">
        <v>4.4457000000000004</v>
      </c>
      <c r="G436" s="21">
        <v>4.4299999999999784</v>
      </c>
      <c r="H436" s="21">
        <v>4.4912999999999998</v>
      </c>
      <c r="I436" s="21">
        <v>-4.5599999999999419</v>
      </c>
      <c r="J436" s="19" t="s">
        <v>17</v>
      </c>
      <c r="K436" s="19" t="s">
        <v>19</v>
      </c>
      <c r="L436" s="13">
        <v>3.05</v>
      </c>
      <c r="M436" s="14" t="s">
        <v>469</v>
      </c>
      <c r="N436" s="14" t="s">
        <v>461</v>
      </c>
      <c r="O436" s="4">
        <v>42867</v>
      </c>
    </row>
    <row r="437" spans="1:15">
      <c r="A437" s="7">
        <v>160213</v>
      </c>
      <c r="B437" s="7">
        <v>4.49</v>
      </c>
      <c r="C437" s="18" t="s">
        <v>468</v>
      </c>
      <c r="D437" s="19">
        <v>0</v>
      </c>
      <c r="E437" s="20">
        <v>9.2958904109589042</v>
      </c>
      <c r="F437" s="21">
        <v>4.4457000000000004</v>
      </c>
      <c r="G437" s="21">
        <v>4.4299999999999784</v>
      </c>
      <c r="H437" s="21">
        <v>4.4912999999999998</v>
      </c>
      <c r="I437" s="21">
        <v>-4.5599999999999419</v>
      </c>
      <c r="J437" s="19" t="s">
        <v>17</v>
      </c>
      <c r="K437" s="19" t="s">
        <v>19</v>
      </c>
      <c r="L437" s="13">
        <v>3.05</v>
      </c>
      <c r="M437" s="14" t="s">
        <v>469</v>
      </c>
      <c r="N437" s="14" t="s">
        <v>461</v>
      </c>
      <c r="O437" s="4">
        <v>42867</v>
      </c>
    </row>
    <row r="438" spans="1:15">
      <c r="A438" s="7">
        <v>160213</v>
      </c>
      <c r="B438" s="7">
        <v>4.49</v>
      </c>
      <c r="C438" s="18" t="s">
        <v>468</v>
      </c>
      <c r="D438" s="19">
        <v>0</v>
      </c>
      <c r="E438" s="20">
        <v>9.2958904109589042</v>
      </c>
      <c r="F438" s="21">
        <v>4.4457000000000004</v>
      </c>
      <c r="G438" s="21">
        <v>4.4299999999999784</v>
      </c>
      <c r="H438" s="21">
        <v>4.4912999999999998</v>
      </c>
      <c r="I438" s="21">
        <v>-4.5599999999999419</v>
      </c>
      <c r="J438" s="19" t="s">
        <v>17</v>
      </c>
      <c r="K438" s="19" t="s">
        <v>19</v>
      </c>
      <c r="L438" s="13">
        <v>3.05</v>
      </c>
      <c r="M438" s="14" t="s">
        <v>469</v>
      </c>
      <c r="N438" s="14" t="s">
        <v>461</v>
      </c>
      <c r="O438" s="4">
        <v>42867</v>
      </c>
    </row>
    <row r="439" spans="1:15">
      <c r="A439" s="7">
        <v>160213</v>
      </c>
      <c r="B439" s="7">
        <v>4.49</v>
      </c>
      <c r="C439" s="18" t="s">
        <v>468</v>
      </c>
      <c r="D439" s="19">
        <v>0</v>
      </c>
      <c r="E439" s="20">
        <v>9.2958904109589042</v>
      </c>
      <c r="F439" s="21">
        <v>4.4457000000000004</v>
      </c>
      <c r="G439" s="21">
        <v>4.4299999999999784</v>
      </c>
      <c r="H439" s="21">
        <v>4.4912999999999998</v>
      </c>
      <c r="I439" s="21">
        <v>-4.5599999999999419</v>
      </c>
      <c r="J439" s="19" t="s">
        <v>17</v>
      </c>
      <c r="K439" s="19" t="s">
        <v>19</v>
      </c>
      <c r="L439" s="13">
        <v>3.05</v>
      </c>
      <c r="M439" s="14" t="s">
        <v>469</v>
      </c>
      <c r="N439" s="14" t="s">
        <v>461</v>
      </c>
      <c r="O439" s="4">
        <v>42867</v>
      </c>
    </row>
    <row r="440" spans="1:15">
      <c r="A440" s="7">
        <v>160213</v>
      </c>
      <c r="B440" s="7">
        <v>4.49</v>
      </c>
      <c r="C440" s="18" t="s">
        <v>468</v>
      </c>
      <c r="D440" s="19">
        <v>0</v>
      </c>
      <c r="E440" s="20">
        <v>9.2958904109589042</v>
      </c>
      <c r="F440" s="21">
        <v>4.4457000000000004</v>
      </c>
      <c r="G440" s="21">
        <v>4.4299999999999784</v>
      </c>
      <c r="H440" s="21">
        <v>4.4912999999999998</v>
      </c>
      <c r="I440" s="21">
        <v>-4.5599999999999419</v>
      </c>
      <c r="J440" s="19" t="s">
        <v>17</v>
      </c>
      <c r="K440" s="19" t="s">
        <v>19</v>
      </c>
      <c r="L440" s="13">
        <v>3.05</v>
      </c>
      <c r="M440" s="14" t="s">
        <v>469</v>
      </c>
      <c r="N440" s="14" t="s">
        <v>461</v>
      </c>
      <c r="O440" s="4">
        <v>42867</v>
      </c>
    </row>
    <row r="441" spans="1:15">
      <c r="A441" s="7">
        <v>160213</v>
      </c>
      <c r="B441" s="7">
        <v>4.4874999999999998</v>
      </c>
      <c r="C441" s="18" t="s">
        <v>468</v>
      </c>
      <c r="D441" s="19">
        <v>0</v>
      </c>
      <c r="E441" s="20">
        <v>9.2958904109589042</v>
      </c>
      <c r="F441" s="21">
        <v>4.4457000000000004</v>
      </c>
      <c r="G441" s="21">
        <v>4.1799999999999393</v>
      </c>
      <c r="H441" s="21">
        <v>4.4912999999999998</v>
      </c>
      <c r="I441" s="21">
        <v>-4.5599999999999419</v>
      </c>
      <c r="J441" s="19" t="s">
        <v>17</v>
      </c>
      <c r="K441" s="19" t="s">
        <v>19</v>
      </c>
      <c r="L441" s="13">
        <v>3.05</v>
      </c>
      <c r="M441" s="14" t="s">
        <v>469</v>
      </c>
      <c r="N441" s="14" t="s">
        <v>461</v>
      </c>
      <c r="O441" s="4">
        <v>42867</v>
      </c>
    </row>
    <row r="442" spans="1:15">
      <c r="A442" s="7">
        <v>160213</v>
      </c>
      <c r="B442" s="7">
        <v>4.4874999999999998</v>
      </c>
      <c r="C442" s="18" t="s">
        <v>468</v>
      </c>
      <c r="D442" s="19">
        <v>0</v>
      </c>
      <c r="E442" s="20">
        <v>9.2958904109589042</v>
      </c>
      <c r="F442" s="21">
        <v>4.4457000000000004</v>
      </c>
      <c r="G442" s="21">
        <v>4.1799999999999393</v>
      </c>
      <c r="H442" s="21">
        <v>4.4912999999999998</v>
      </c>
      <c r="I442" s="21">
        <v>-4.5599999999999419</v>
      </c>
      <c r="J442" s="19" t="s">
        <v>17</v>
      </c>
      <c r="K442" s="19" t="s">
        <v>19</v>
      </c>
      <c r="L442" s="13">
        <v>3.05</v>
      </c>
      <c r="M442" s="14" t="s">
        <v>469</v>
      </c>
      <c r="N442" s="14" t="s">
        <v>461</v>
      </c>
      <c r="O442" s="4">
        <v>42867</v>
      </c>
    </row>
    <row r="443" spans="1:15">
      <c r="A443" s="7">
        <v>160213</v>
      </c>
      <c r="B443" s="7">
        <v>4.4874999999999998</v>
      </c>
      <c r="C443" s="18" t="s">
        <v>468</v>
      </c>
      <c r="D443" s="19">
        <v>0</v>
      </c>
      <c r="E443" s="20">
        <v>9.2958904109589042</v>
      </c>
      <c r="F443" s="21">
        <v>4.4457000000000004</v>
      </c>
      <c r="G443" s="21">
        <v>4.1799999999999393</v>
      </c>
      <c r="H443" s="21">
        <v>4.4912999999999998</v>
      </c>
      <c r="I443" s="21">
        <v>-4.5599999999999419</v>
      </c>
      <c r="J443" s="19" t="s">
        <v>17</v>
      </c>
      <c r="K443" s="19" t="s">
        <v>19</v>
      </c>
      <c r="L443" s="13">
        <v>3.05</v>
      </c>
      <c r="M443" s="14" t="s">
        <v>469</v>
      </c>
      <c r="N443" s="14" t="s">
        <v>461</v>
      </c>
      <c r="O443" s="4">
        <v>42867</v>
      </c>
    </row>
    <row r="444" spans="1:15">
      <c r="A444" s="7">
        <v>160213</v>
      </c>
      <c r="B444" s="7">
        <v>4.4874999999999998</v>
      </c>
      <c r="C444" s="18" t="s">
        <v>468</v>
      </c>
      <c r="D444" s="19">
        <v>0</v>
      </c>
      <c r="E444" s="20">
        <v>9.2958904109589042</v>
      </c>
      <c r="F444" s="21">
        <v>4.4457000000000004</v>
      </c>
      <c r="G444" s="21">
        <v>4.1799999999999393</v>
      </c>
      <c r="H444" s="21">
        <v>4.4912999999999998</v>
      </c>
      <c r="I444" s="21">
        <v>-4.5599999999999419</v>
      </c>
      <c r="J444" s="19" t="s">
        <v>17</v>
      </c>
      <c r="K444" s="19" t="s">
        <v>19</v>
      </c>
      <c r="L444" s="13">
        <v>3.05</v>
      </c>
      <c r="M444" s="14" t="s">
        <v>469</v>
      </c>
      <c r="N444" s="14" t="s">
        <v>461</v>
      </c>
      <c r="O444" s="4">
        <v>42867</v>
      </c>
    </row>
    <row r="445" spans="1:15">
      <c r="A445" s="7">
        <v>160213</v>
      </c>
      <c r="B445" s="7">
        <v>4.4850000000000003</v>
      </c>
      <c r="C445" s="18" t="s">
        <v>468</v>
      </c>
      <c r="D445" s="19">
        <v>0</v>
      </c>
      <c r="E445" s="20">
        <v>9.2958904109589042</v>
      </c>
      <c r="F445" s="21">
        <v>4.4457000000000004</v>
      </c>
      <c r="G445" s="21">
        <v>3.9299999999999891</v>
      </c>
      <c r="H445" s="21">
        <v>4.4912999999999998</v>
      </c>
      <c r="I445" s="21">
        <v>-4.5599999999999419</v>
      </c>
      <c r="J445" s="19" t="s">
        <v>17</v>
      </c>
      <c r="K445" s="19" t="s">
        <v>19</v>
      </c>
      <c r="L445" s="13">
        <v>3.05</v>
      </c>
      <c r="M445" s="14" t="s">
        <v>469</v>
      </c>
      <c r="N445" s="14" t="s">
        <v>461</v>
      </c>
      <c r="O445" s="4">
        <v>42867</v>
      </c>
    </row>
    <row r="446" spans="1:15">
      <c r="A446" s="7">
        <v>160213</v>
      </c>
      <c r="B446" s="7">
        <v>4.4850000000000003</v>
      </c>
      <c r="C446" s="18" t="s">
        <v>468</v>
      </c>
      <c r="D446" s="19">
        <v>0</v>
      </c>
      <c r="E446" s="20">
        <v>9.2958904109589042</v>
      </c>
      <c r="F446" s="21">
        <v>4.4457000000000004</v>
      </c>
      <c r="G446" s="21">
        <v>3.9299999999999891</v>
      </c>
      <c r="H446" s="21">
        <v>4.4912999999999998</v>
      </c>
      <c r="I446" s="21">
        <v>-4.5599999999999419</v>
      </c>
      <c r="J446" s="19" t="s">
        <v>17</v>
      </c>
      <c r="K446" s="19" t="s">
        <v>19</v>
      </c>
      <c r="L446" s="13">
        <v>3.05</v>
      </c>
      <c r="M446" s="14" t="s">
        <v>469</v>
      </c>
      <c r="N446" s="14" t="s">
        <v>461</v>
      </c>
      <c r="O446" s="4">
        <v>42867</v>
      </c>
    </row>
    <row r="447" spans="1:15">
      <c r="A447" s="7">
        <v>160213</v>
      </c>
      <c r="B447" s="7">
        <v>4.4850000000000003</v>
      </c>
      <c r="C447" s="18" t="s">
        <v>468</v>
      </c>
      <c r="D447" s="19">
        <v>0</v>
      </c>
      <c r="E447" s="20">
        <v>9.2958904109589042</v>
      </c>
      <c r="F447" s="21">
        <v>4.4457000000000004</v>
      </c>
      <c r="G447" s="21">
        <v>3.9299999999999891</v>
      </c>
      <c r="H447" s="21">
        <v>4.4912999999999998</v>
      </c>
      <c r="I447" s="21">
        <v>-4.5599999999999419</v>
      </c>
      <c r="J447" s="19" t="s">
        <v>17</v>
      </c>
      <c r="K447" s="19" t="s">
        <v>19</v>
      </c>
      <c r="L447" s="13">
        <v>3.05</v>
      </c>
      <c r="M447" s="14" t="s">
        <v>469</v>
      </c>
      <c r="N447" s="14" t="s">
        <v>461</v>
      </c>
      <c r="O447" s="4">
        <v>42867</v>
      </c>
    </row>
    <row r="448" spans="1:15">
      <c r="A448" s="7">
        <v>160213</v>
      </c>
      <c r="B448" s="7">
        <v>4.4850000000000003</v>
      </c>
      <c r="C448" s="18" t="s">
        <v>468</v>
      </c>
      <c r="D448" s="19">
        <v>0</v>
      </c>
      <c r="E448" s="20">
        <v>9.2958904109589042</v>
      </c>
      <c r="F448" s="21">
        <v>4.4457000000000004</v>
      </c>
      <c r="G448" s="21">
        <v>3.9299999999999891</v>
      </c>
      <c r="H448" s="21">
        <v>4.4912999999999998</v>
      </c>
      <c r="I448" s="21">
        <v>-4.5599999999999419</v>
      </c>
      <c r="J448" s="19" t="s">
        <v>17</v>
      </c>
      <c r="K448" s="19" t="s">
        <v>19</v>
      </c>
      <c r="L448" s="13">
        <v>3.05</v>
      </c>
      <c r="M448" s="14" t="s">
        <v>469</v>
      </c>
      <c r="N448" s="14" t="s">
        <v>461</v>
      </c>
      <c r="O448" s="4">
        <v>42867</v>
      </c>
    </row>
    <row r="449" spans="1:15">
      <c r="A449" s="7">
        <v>160213</v>
      </c>
      <c r="B449" s="7">
        <v>4.4850000000000003</v>
      </c>
      <c r="C449" s="18" t="s">
        <v>468</v>
      </c>
      <c r="D449" s="19">
        <v>0</v>
      </c>
      <c r="E449" s="20">
        <v>9.2958904109589042</v>
      </c>
      <c r="F449" s="21">
        <v>4.4457000000000004</v>
      </c>
      <c r="G449" s="21">
        <v>3.9299999999999891</v>
      </c>
      <c r="H449" s="21">
        <v>4.4912999999999998</v>
      </c>
      <c r="I449" s="21">
        <v>-4.5599999999999419</v>
      </c>
      <c r="J449" s="19" t="s">
        <v>17</v>
      </c>
      <c r="K449" s="19" t="s">
        <v>19</v>
      </c>
      <c r="L449" s="13">
        <v>3.05</v>
      </c>
      <c r="M449" s="14" t="s">
        <v>469</v>
      </c>
      <c r="N449" s="14" t="s">
        <v>461</v>
      </c>
      <c r="O449" s="4">
        <v>42867</v>
      </c>
    </row>
    <row r="450" spans="1:15">
      <c r="A450" s="7">
        <v>160213</v>
      </c>
      <c r="B450" s="7">
        <v>4.4850000000000003</v>
      </c>
      <c r="C450" s="18" t="s">
        <v>468</v>
      </c>
      <c r="D450" s="19">
        <v>0</v>
      </c>
      <c r="E450" s="20">
        <v>9.2958904109589042</v>
      </c>
      <c r="F450" s="21">
        <v>4.4457000000000004</v>
      </c>
      <c r="G450" s="21">
        <v>3.9299999999999891</v>
      </c>
      <c r="H450" s="21">
        <v>4.4912999999999998</v>
      </c>
      <c r="I450" s="21">
        <v>-4.5599999999999419</v>
      </c>
      <c r="J450" s="19" t="s">
        <v>17</v>
      </c>
      <c r="K450" s="19" t="s">
        <v>19</v>
      </c>
      <c r="L450" s="13">
        <v>3.05</v>
      </c>
      <c r="M450" s="14" t="s">
        <v>469</v>
      </c>
      <c r="N450" s="14" t="s">
        <v>461</v>
      </c>
      <c r="O450" s="4">
        <v>42867</v>
      </c>
    </row>
    <row r="451" spans="1:15">
      <c r="A451" s="7">
        <v>160213</v>
      </c>
      <c r="B451" s="7">
        <v>4.4850000000000003</v>
      </c>
      <c r="C451" s="18" t="s">
        <v>468</v>
      </c>
      <c r="D451" s="19">
        <v>0</v>
      </c>
      <c r="E451" s="20">
        <v>9.2958904109589042</v>
      </c>
      <c r="F451" s="21">
        <v>4.4457000000000004</v>
      </c>
      <c r="G451" s="21">
        <v>3.9299999999999891</v>
      </c>
      <c r="H451" s="21">
        <v>4.4912999999999998</v>
      </c>
      <c r="I451" s="21">
        <v>-4.5599999999999419</v>
      </c>
      <c r="J451" s="19" t="s">
        <v>17</v>
      </c>
      <c r="K451" s="19" t="s">
        <v>19</v>
      </c>
      <c r="L451" s="13">
        <v>3.05</v>
      </c>
      <c r="M451" s="14" t="s">
        <v>469</v>
      </c>
      <c r="N451" s="14" t="s">
        <v>461</v>
      </c>
      <c r="O451" s="4">
        <v>42867</v>
      </c>
    </row>
    <row r="452" spans="1:15">
      <c r="A452" s="7">
        <v>160213</v>
      </c>
      <c r="B452" s="7">
        <v>4.4850000000000003</v>
      </c>
      <c r="C452" s="18" t="s">
        <v>468</v>
      </c>
      <c r="D452" s="19">
        <v>0</v>
      </c>
      <c r="E452" s="20">
        <v>9.2958904109589042</v>
      </c>
      <c r="F452" s="21">
        <v>4.4457000000000004</v>
      </c>
      <c r="G452" s="21">
        <v>3.9299999999999891</v>
      </c>
      <c r="H452" s="21">
        <v>4.4912999999999998</v>
      </c>
      <c r="I452" s="21">
        <v>-4.5599999999999419</v>
      </c>
      <c r="J452" s="19" t="s">
        <v>17</v>
      </c>
      <c r="K452" s="19" t="s">
        <v>19</v>
      </c>
      <c r="L452" s="13">
        <v>3.05</v>
      </c>
      <c r="M452" s="14" t="s">
        <v>469</v>
      </c>
      <c r="N452" s="14" t="s">
        <v>461</v>
      </c>
      <c r="O452" s="4">
        <v>42867</v>
      </c>
    </row>
    <row r="453" spans="1:15">
      <c r="A453" s="7">
        <v>160213</v>
      </c>
      <c r="B453" s="7">
        <v>4.4850000000000003</v>
      </c>
      <c r="C453" s="18" t="s">
        <v>468</v>
      </c>
      <c r="D453" s="19">
        <v>0</v>
      </c>
      <c r="E453" s="20">
        <v>9.2958904109589042</v>
      </c>
      <c r="F453" s="21">
        <v>4.4457000000000004</v>
      </c>
      <c r="G453" s="21">
        <v>3.9299999999999891</v>
      </c>
      <c r="H453" s="21">
        <v>4.4912999999999998</v>
      </c>
      <c r="I453" s="21">
        <v>-4.5599999999999419</v>
      </c>
      <c r="J453" s="19" t="s">
        <v>17</v>
      </c>
      <c r="K453" s="19" t="s">
        <v>19</v>
      </c>
      <c r="L453" s="13">
        <v>3.05</v>
      </c>
      <c r="M453" s="14" t="s">
        <v>469</v>
      </c>
      <c r="N453" s="14" t="s">
        <v>461</v>
      </c>
      <c r="O453" s="4">
        <v>42867</v>
      </c>
    </row>
    <row r="454" spans="1:15">
      <c r="A454" s="7">
        <v>170403</v>
      </c>
      <c r="B454" s="7">
        <v>4.4800000000000004</v>
      </c>
      <c r="C454" s="18" t="s">
        <v>673</v>
      </c>
      <c r="D454" s="19">
        <v>0</v>
      </c>
      <c r="E454" s="20">
        <v>4.6602739726027398</v>
      </c>
      <c r="F454" s="21">
        <v>4.4786999999999999</v>
      </c>
      <c r="G454" s="21">
        <v>0.1300000000000523</v>
      </c>
      <c r="H454" s="21">
        <v>4.5202999999999998</v>
      </c>
      <c r="I454" s="21">
        <v>-4.1599999999999859</v>
      </c>
      <c r="J454" s="19" t="s">
        <v>17</v>
      </c>
      <c r="K454" s="19" t="s">
        <v>19</v>
      </c>
      <c r="L454" s="13">
        <v>3.7</v>
      </c>
      <c r="M454" s="14" t="s">
        <v>644</v>
      </c>
      <c r="N454" s="14" t="s">
        <v>635</v>
      </c>
      <c r="O454" s="4">
        <v>42867</v>
      </c>
    </row>
    <row r="455" spans="1:15">
      <c r="A455" s="7">
        <v>170403</v>
      </c>
      <c r="B455" s="7">
        <v>4.4800000000000004</v>
      </c>
      <c r="C455" s="18" t="s">
        <v>673</v>
      </c>
      <c r="D455" s="19">
        <v>0</v>
      </c>
      <c r="E455" s="20">
        <v>4.6602739726027398</v>
      </c>
      <c r="F455" s="21">
        <v>4.4786999999999999</v>
      </c>
      <c r="G455" s="21">
        <v>0.1300000000000523</v>
      </c>
      <c r="H455" s="21">
        <v>4.5202999999999998</v>
      </c>
      <c r="I455" s="21">
        <v>-4.1599999999999859</v>
      </c>
      <c r="J455" s="19" t="s">
        <v>17</v>
      </c>
      <c r="K455" s="19" t="s">
        <v>19</v>
      </c>
      <c r="L455" s="13">
        <v>3.7</v>
      </c>
      <c r="M455" s="14" t="s">
        <v>644</v>
      </c>
      <c r="N455" s="14" t="s">
        <v>635</v>
      </c>
      <c r="O455" s="4">
        <v>42867</v>
      </c>
    </row>
    <row r="456" spans="1:15">
      <c r="A456" s="7">
        <v>170403</v>
      </c>
      <c r="B456" s="7">
        <v>4.4800000000000004</v>
      </c>
      <c r="C456" s="18" t="s">
        <v>673</v>
      </c>
      <c r="D456" s="19">
        <v>0</v>
      </c>
      <c r="E456" s="20">
        <v>4.6602739726027398</v>
      </c>
      <c r="F456" s="21">
        <v>4.4786999999999999</v>
      </c>
      <c r="G456" s="21">
        <v>0.1300000000000523</v>
      </c>
      <c r="H456" s="21">
        <v>4.5202999999999998</v>
      </c>
      <c r="I456" s="21">
        <v>-4.1599999999999859</v>
      </c>
      <c r="J456" s="19" t="s">
        <v>17</v>
      </c>
      <c r="K456" s="19" t="s">
        <v>19</v>
      </c>
      <c r="L456" s="13">
        <v>3.7</v>
      </c>
      <c r="M456" s="14" t="s">
        <v>644</v>
      </c>
      <c r="N456" s="14" t="s">
        <v>635</v>
      </c>
      <c r="O456" s="4">
        <v>42867</v>
      </c>
    </row>
    <row r="457" spans="1:15">
      <c r="A457" s="7">
        <v>170403</v>
      </c>
      <c r="B457" s="7">
        <v>4.4800000000000004</v>
      </c>
      <c r="C457" s="18" t="s">
        <v>673</v>
      </c>
      <c r="D457" s="19">
        <v>0</v>
      </c>
      <c r="E457" s="20">
        <v>4.6602739726027398</v>
      </c>
      <c r="F457" s="21">
        <v>4.4786999999999999</v>
      </c>
      <c r="G457" s="21">
        <v>0.1300000000000523</v>
      </c>
      <c r="H457" s="21">
        <v>4.5202999999999998</v>
      </c>
      <c r="I457" s="21">
        <v>-4.1599999999999859</v>
      </c>
      <c r="J457" s="19" t="s">
        <v>17</v>
      </c>
      <c r="K457" s="19" t="s">
        <v>19</v>
      </c>
      <c r="L457" s="13">
        <v>3.7</v>
      </c>
      <c r="M457" s="14" t="s">
        <v>644</v>
      </c>
      <c r="N457" s="14" t="s">
        <v>635</v>
      </c>
      <c r="O457" s="4">
        <v>42867</v>
      </c>
    </row>
    <row r="458" spans="1:15">
      <c r="A458" s="7">
        <v>170304</v>
      </c>
      <c r="B458" s="7">
        <v>4.4800000000000004</v>
      </c>
      <c r="C458" s="18" t="s">
        <v>812</v>
      </c>
      <c r="D458" s="19">
        <v>0</v>
      </c>
      <c r="E458" s="20">
        <v>4.86027397260274</v>
      </c>
      <c r="F458" s="21">
        <v>4.5008999999999997</v>
      </c>
      <c r="G458" s="21">
        <v>-2.0899999999999253</v>
      </c>
      <c r="H458" s="21">
        <v>4.5218999999999996</v>
      </c>
      <c r="I458" s="21">
        <v>-2.0999999999999908</v>
      </c>
      <c r="J458" s="19" t="s">
        <v>17</v>
      </c>
      <c r="K458" s="19" t="s">
        <v>19</v>
      </c>
      <c r="L458" s="13">
        <v>4.05</v>
      </c>
      <c r="M458" s="14" t="s">
        <v>788</v>
      </c>
      <c r="N458" s="14" t="s">
        <v>773</v>
      </c>
      <c r="O458" s="4">
        <v>42867</v>
      </c>
    </row>
    <row r="459" spans="1:15">
      <c r="A459" s="7">
        <v>170304</v>
      </c>
      <c r="B459" s="7">
        <v>4.4800000000000004</v>
      </c>
      <c r="C459" s="18" t="s">
        <v>812</v>
      </c>
      <c r="D459" s="19">
        <v>0</v>
      </c>
      <c r="E459" s="20">
        <v>4.86027397260274</v>
      </c>
      <c r="F459" s="21">
        <v>4.5008999999999997</v>
      </c>
      <c r="G459" s="21">
        <v>-2.0899999999999253</v>
      </c>
      <c r="H459" s="21">
        <v>4.5218999999999996</v>
      </c>
      <c r="I459" s="21">
        <v>-2.0999999999999908</v>
      </c>
      <c r="J459" s="19" t="s">
        <v>17</v>
      </c>
      <c r="K459" s="19" t="s">
        <v>19</v>
      </c>
      <c r="L459" s="13">
        <v>4.05</v>
      </c>
      <c r="M459" s="14" t="s">
        <v>788</v>
      </c>
      <c r="N459" s="14" t="s">
        <v>773</v>
      </c>
      <c r="O459" s="4">
        <v>42867</v>
      </c>
    </row>
    <row r="460" spans="1:15">
      <c r="A460" s="7">
        <v>160213</v>
      </c>
      <c r="B460" s="7">
        <v>4.4800000000000004</v>
      </c>
      <c r="C460" s="18" t="s">
        <v>468</v>
      </c>
      <c r="D460" s="19">
        <v>0</v>
      </c>
      <c r="E460" s="20">
        <v>9.2958904109589042</v>
      </c>
      <c r="F460" s="21">
        <v>4.4457000000000004</v>
      </c>
      <c r="G460" s="21">
        <v>3.4299999999999997</v>
      </c>
      <c r="H460" s="21">
        <v>4.4912999999999998</v>
      </c>
      <c r="I460" s="21">
        <v>-4.5599999999999419</v>
      </c>
      <c r="J460" s="19" t="s">
        <v>17</v>
      </c>
      <c r="K460" s="19" t="s">
        <v>19</v>
      </c>
      <c r="L460" s="13">
        <v>3.05</v>
      </c>
      <c r="M460" s="14" t="s">
        <v>469</v>
      </c>
      <c r="N460" s="14" t="s">
        <v>461</v>
      </c>
      <c r="O460" s="4">
        <v>42867</v>
      </c>
    </row>
    <row r="461" spans="1:15">
      <c r="A461" s="7">
        <v>160213</v>
      </c>
      <c r="B461" s="7">
        <v>4.4800000000000004</v>
      </c>
      <c r="C461" s="18" t="s">
        <v>468</v>
      </c>
      <c r="D461" s="19">
        <v>0</v>
      </c>
      <c r="E461" s="20">
        <v>9.2958904109589042</v>
      </c>
      <c r="F461" s="21">
        <v>4.4457000000000004</v>
      </c>
      <c r="G461" s="21">
        <v>3.4299999999999997</v>
      </c>
      <c r="H461" s="21">
        <v>4.4912999999999998</v>
      </c>
      <c r="I461" s="21">
        <v>-4.5599999999999419</v>
      </c>
      <c r="J461" s="19" t="s">
        <v>17</v>
      </c>
      <c r="K461" s="19" t="s">
        <v>19</v>
      </c>
      <c r="L461" s="13">
        <v>3.05</v>
      </c>
      <c r="M461" s="14" t="s">
        <v>469</v>
      </c>
      <c r="N461" s="14" t="s">
        <v>461</v>
      </c>
      <c r="O461" s="4">
        <v>42867</v>
      </c>
    </row>
    <row r="462" spans="1:15">
      <c r="A462" s="7">
        <v>160213</v>
      </c>
      <c r="B462" s="7">
        <v>4.4800000000000004</v>
      </c>
      <c r="C462" s="18" t="s">
        <v>468</v>
      </c>
      <c r="D462" s="19">
        <v>0</v>
      </c>
      <c r="E462" s="20">
        <v>9.2958904109589042</v>
      </c>
      <c r="F462" s="21">
        <v>4.4457000000000004</v>
      </c>
      <c r="G462" s="21">
        <v>3.4299999999999997</v>
      </c>
      <c r="H462" s="21">
        <v>4.4912999999999998</v>
      </c>
      <c r="I462" s="21">
        <v>-4.5599999999999419</v>
      </c>
      <c r="J462" s="19" t="s">
        <v>17</v>
      </c>
      <c r="K462" s="19" t="s">
        <v>19</v>
      </c>
      <c r="L462" s="13">
        <v>3.05</v>
      </c>
      <c r="M462" s="14" t="s">
        <v>469</v>
      </c>
      <c r="N462" s="14" t="s">
        <v>461</v>
      </c>
      <c r="O462" s="4">
        <v>42867</v>
      </c>
    </row>
    <row r="463" spans="1:15">
      <c r="A463" s="7">
        <v>160213</v>
      </c>
      <c r="B463" s="7">
        <v>4.4800000000000004</v>
      </c>
      <c r="C463" s="18" t="s">
        <v>468</v>
      </c>
      <c r="D463" s="19">
        <v>0</v>
      </c>
      <c r="E463" s="20">
        <v>9.2958904109589042</v>
      </c>
      <c r="F463" s="21">
        <v>4.4457000000000004</v>
      </c>
      <c r="G463" s="21">
        <v>3.4299999999999997</v>
      </c>
      <c r="H463" s="21">
        <v>4.4912999999999998</v>
      </c>
      <c r="I463" s="21">
        <v>-4.5599999999999419</v>
      </c>
      <c r="J463" s="19" t="s">
        <v>17</v>
      </c>
      <c r="K463" s="19" t="s">
        <v>19</v>
      </c>
      <c r="L463" s="13">
        <v>3.05</v>
      </c>
      <c r="M463" s="14" t="s">
        <v>469</v>
      </c>
      <c r="N463" s="14" t="s">
        <v>461</v>
      </c>
      <c r="O463" s="4">
        <v>42867</v>
      </c>
    </row>
    <row r="464" spans="1:15">
      <c r="A464" s="7">
        <v>160213</v>
      </c>
      <c r="B464" s="7">
        <v>4.4800000000000004</v>
      </c>
      <c r="C464" s="18" t="s">
        <v>468</v>
      </c>
      <c r="D464" s="19">
        <v>0</v>
      </c>
      <c r="E464" s="20">
        <v>9.2958904109589042</v>
      </c>
      <c r="F464" s="21">
        <v>4.4457000000000004</v>
      </c>
      <c r="G464" s="21">
        <v>3.4299999999999997</v>
      </c>
      <c r="H464" s="21">
        <v>4.4912999999999998</v>
      </c>
      <c r="I464" s="21">
        <v>-4.5599999999999419</v>
      </c>
      <c r="J464" s="19" t="s">
        <v>17</v>
      </c>
      <c r="K464" s="19" t="s">
        <v>19</v>
      </c>
      <c r="L464" s="13">
        <v>3.05</v>
      </c>
      <c r="M464" s="14" t="s">
        <v>469</v>
      </c>
      <c r="N464" s="14" t="s">
        <v>461</v>
      </c>
      <c r="O464" s="4">
        <v>42867</v>
      </c>
    </row>
    <row r="465" spans="1:15">
      <c r="A465" s="7">
        <v>160213</v>
      </c>
      <c r="B465" s="7">
        <v>4.4800000000000004</v>
      </c>
      <c r="C465" s="18" t="s">
        <v>468</v>
      </c>
      <c r="D465" s="19">
        <v>0</v>
      </c>
      <c r="E465" s="20">
        <v>9.2958904109589042</v>
      </c>
      <c r="F465" s="21">
        <v>4.4457000000000004</v>
      </c>
      <c r="G465" s="21">
        <v>3.4299999999999997</v>
      </c>
      <c r="H465" s="21">
        <v>4.4912999999999998</v>
      </c>
      <c r="I465" s="21">
        <v>-4.5599999999999419</v>
      </c>
      <c r="J465" s="19" t="s">
        <v>17</v>
      </c>
      <c r="K465" s="19" t="s">
        <v>19</v>
      </c>
      <c r="L465" s="13">
        <v>3.05</v>
      </c>
      <c r="M465" s="14" t="s">
        <v>469</v>
      </c>
      <c r="N465" s="14" t="s">
        <v>461</v>
      </c>
      <c r="O465" s="4">
        <v>42867</v>
      </c>
    </row>
    <row r="466" spans="1:15">
      <c r="A466" s="7">
        <v>160213</v>
      </c>
      <c r="B466" s="7">
        <v>4.4800000000000004</v>
      </c>
      <c r="C466" s="18" t="s">
        <v>468</v>
      </c>
      <c r="D466" s="19">
        <v>0</v>
      </c>
      <c r="E466" s="20">
        <v>9.2958904109589042</v>
      </c>
      <c r="F466" s="21">
        <v>4.4457000000000004</v>
      </c>
      <c r="G466" s="21">
        <v>3.4299999999999997</v>
      </c>
      <c r="H466" s="21">
        <v>4.4912999999999998</v>
      </c>
      <c r="I466" s="21">
        <v>-4.5599999999999419</v>
      </c>
      <c r="J466" s="19" t="s">
        <v>17</v>
      </c>
      <c r="K466" s="19" t="s">
        <v>19</v>
      </c>
      <c r="L466" s="13">
        <v>3.05</v>
      </c>
      <c r="M466" s="14" t="s">
        <v>469</v>
      </c>
      <c r="N466" s="14" t="s">
        <v>461</v>
      </c>
      <c r="O466" s="4">
        <v>42867</v>
      </c>
    </row>
    <row r="467" spans="1:15">
      <c r="A467" s="7">
        <v>160213</v>
      </c>
      <c r="B467" s="7">
        <v>4.4800000000000004</v>
      </c>
      <c r="C467" s="18" t="s">
        <v>468</v>
      </c>
      <c r="D467" s="19">
        <v>0</v>
      </c>
      <c r="E467" s="20">
        <v>9.2958904109589042</v>
      </c>
      <c r="F467" s="21">
        <v>4.4457000000000004</v>
      </c>
      <c r="G467" s="21">
        <v>3.4299999999999997</v>
      </c>
      <c r="H467" s="21">
        <v>4.4912999999999998</v>
      </c>
      <c r="I467" s="21">
        <v>-4.5599999999999419</v>
      </c>
      <c r="J467" s="19" t="s">
        <v>17</v>
      </c>
      <c r="K467" s="19" t="s">
        <v>19</v>
      </c>
      <c r="L467" s="13">
        <v>3.05</v>
      </c>
      <c r="M467" s="14" t="s">
        <v>469</v>
      </c>
      <c r="N467" s="14" t="s">
        <v>461</v>
      </c>
      <c r="O467" s="4">
        <v>42867</v>
      </c>
    </row>
    <row r="468" spans="1:15">
      <c r="A468" s="7">
        <v>160213</v>
      </c>
      <c r="B468" s="7">
        <v>4.4800000000000004</v>
      </c>
      <c r="C468" s="18" t="s">
        <v>468</v>
      </c>
      <c r="D468" s="19">
        <v>0</v>
      </c>
      <c r="E468" s="20">
        <v>9.2958904109589042</v>
      </c>
      <c r="F468" s="21">
        <v>4.4457000000000004</v>
      </c>
      <c r="G468" s="21">
        <v>3.4299999999999997</v>
      </c>
      <c r="H468" s="21">
        <v>4.4912999999999998</v>
      </c>
      <c r="I468" s="21">
        <v>-4.5599999999999419</v>
      </c>
      <c r="J468" s="19" t="s">
        <v>17</v>
      </c>
      <c r="K468" s="19" t="s">
        <v>19</v>
      </c>
      <c r="L468" s="13">
        <v>3.05</v>
      </c>
      <c r="M468" s="14" t="s">
        <v>469</v>
      </c>
      <c r="N468" s="14" t="s">
        <v>461</v>
      </c>
      <c r="O468" s="4">
        <v>42867</v>
      </c>
    </row>
    <row r="469" spans="1:15">
      <c r="A469" s="7">
        <v>160213</v>
      </c>
      <c r="B469" s="7">
        <v>4.4800000000000004</v>
      </c>
      <c r="C469" s="18" t="s">
        <v>468</v>
      </c>
      <c r="D469" s="19">
        <v>0</v>
      </c>
      <c r="E469" s="20">
        <v>9.2958904109589042</v>
      </c>
      <c r="F469" s="21">
        <v>4.4457000000000004</v>
      </c>
      <c r="G469" s="21">
        <v>3.4299999999999997</v>
      </c>
      <c r="H469" s="21">
        <v>4.4912999999999998</v>
      </c>
      <c r="I469" s="21">
        <v>-4.5599999999999419</v>
      </c>
      <c r="J469" s="19" t="s">
        <v>17</v>
      </c>
      <c r="K469" s="19" t="s">
        <v>19</v>
      </c>
      <c r="L469" s="13">
        <v>3.05</v>
      </c>
      <c r="M469" s="14" t="s">
        <v>469</v>
      </c>
      <c r="N469" s="14" t="s">
        <v>461</v>
      </c>
      <c r="O469" s="4">
        <v>42867</v>
      </c>
    </row>
    <row r="470" spans="1:15">
      <c r="A470" s="7">
        <v>160213</v>
      </c>
      <c r="B470" s="7">
        <v>4.4798999999999998</v>
      </c>
      <c r="C470" s="18" t="s">
        <v>468</v>
      </c>
      <c r="D470" s="19">
        <v>0</v>
      </c>
      <c r="E470" s="20">
        <v>9.2958904109589042</v>
      </c>
      <c r="F470" s="21">
        <v>4.4457000000000004</v>
      </c>
      <c r="G470" s="21">
        <v>3.4199999999999342</v>
      </c>
      <c r="H470" s="21">
        <v>4.4912999999999998</v>
      </c>
      <c r="I470" s="21">
        <v>-4.5599999999999419</v>
      </c>
      <c r="J470" s="19" t="s">
        <v>17</v>
      </c>
      <c r="K470" s="19" t="s">
        <v>19</v>
      </c>
      <c r="L470" s="13">
        <v>3.05</v>
      </c>
      <c r="M470" s="14" t="s">
        <v>469</v>
      </c>
      <c r="N470" s="14" t="s">
        <v>461</v>
      </c>
      <c r="O470" s="4">
        <v>42867</v>
      </c>
    </row>
    <row r="471" spans="1:15">
      <c r="A471" s="7">
        <v>160213</v>
      </c>
      <c r="B471" s="7">
        <v>4.4775</v>
      </c>
      <c r="C471" s="18" t="s">
        <v>468</v>
      </c>
      <c r="D471" s="19">
        <v>0</v>
      </c>
      <c r="E471" s="20">
        <v>9.2958904109589042</v>
      </c>
      <c r="F471" s="21">
        <v>4.4457000000000004</v>
      </c>
      <c r="G471" s="21">
        <v>3.1799999999999606</v>
      </c>
      <c r="H471" s="21">
        <v>4.4912999999999998</v>
      </c>
      <c r="I471" s="21">
        <v>-4.5599999999999419</v>
      </c>
      <c r="J471" s="19" t="s">
        <v>17</v>
      </c>
      <c r="K471" s="19" t="s">
        <v>19</v>
      </c>
      <c r="L471" s="13">
        <v>3.05</v>
      </c>
      <c r="M471" s="14" t="s">
        <v>469</v>
      </c>
      <c r="N471" s="14" t="s">
        <v>461</v>
      </c>
      <c r="O471" s="4">
        <v>42867</v>
      </c>
    </row>
    <row r="472" spans="1:15">
      <c r="A472" s="7">
        <v>160213</v>
      </c>
      <c r="B472" s="7">
        <v>4.4775</v>
      </c>
      <c r="C472" s="18" t="s">
        <v>468</v>
      </c>
      <c r="D472" s="19">
        <v>0</v>
      </c>
      <c r="E472" s="20">
        <v>9.2958904109589042</v>
      </c>
      <c r="F472" s="21">
        <v>4.4457000000000004</v>
      </c>
      <c r="G472" s="21">
        <v>3.1799999999999606</v>
      </c>
      <c r="H472" s="21">
        <v>4.4912999999999998</v>
      </c>
      <c r="I472" s="21">
        <v>-4.5599999999999419</v>
      </c>
      <c r="J472" s="19" t="s">
        <v>17</v>
      </c>
      <c r="K472" s="19" t="s">
        <v>19</v>
      </c>
      <c r="L472" s="13">
        <v>3.05</v>
      </c>
      <c r="M472" s="14" t="s">
        <v>469</v>
      </c>
      <c r="N472" s="14" t="s">
        <v>461</v>
      </c>
      <c r="O472" s="4">
        <v>42867</v>
      </c>
    </row>
    <row r="473" spans="1:15">
      <c r="A473" s="7">
        <v>160213</v>
      </c>
      <c r="B473" s="7">
        <v>4.4749999999999996</v>
      </c>
      <c r="C473" s="18" t="s">
        <v>468</v>
      </c>
      <c r="D473" s="19">
        <v>0</v>
      </c>
      <c r="E473" s="20">
        <v>9.2958904109589042</v>
      </c>
      <c r="F473" s="21">
        <v>4.4457000000000004</v>
      </c>
      <c r="G473" s="21">
        <v>2.9299999999999216</v>
      </c>
      <c r="H473" s="21">
        <v>4.4912999999999998</v>
      </c>
      <c r="I473" s="21">
        <v>-4.5599999999999419</v>
      </c>
      <c r="J473" s="19" t="s">
        <v>17</v>
      </c>
      <c r="K473" s="19" t="s">
        <v>19</v>
      </c>
      <c r="L473" s="13">
        <v>3.05</v>
      </c>
      <c r="M473" s="14" t="s">
        <v>469</v>
      </c>
      <c r="N473" s="14" t="s">
        <v>461</v>
      </c>
      <c r="O473" s="4">
        <v>42867</v>
      </c>
    </row>
    <row r="474" spans="1:15">
      <c r="A474" s="7">
        <v>160213</v>
      </c>
      <c r="B474" s="7">
        <v>4.4749999999999996</v>
      </c>
      <c r="C474" s="18" t="s">
        <v>468</v>
      </c>
      <c r="D474" s="19">
        <v>0</v>
      </c>
      <c r="E474" s="20">
        <v>9.2958904109589042</v>
      </c>
      <c r="F474" s="21">
        <v>4.4457000000000004</v>
      </c>
      <c r="G474" s="21">
        <v>2.9299999999999216</v>
      </c>
      <c r="H474" s="21">
        <v>4.4912999999999998</v>
      </c>
      <c r="I474" s="21">
        <v>-4.5599999999999419</v>
      </c>
      <c r="J474" s="19" t="s">
        <v>17</v>
      </c>
      <c r="K474" s="19" t="s">
        <v>19</v>
      </c>
      <c r="L474" s="13">
        <v>3.05</v>
      </c>
      <c r="M474" s="14" t="s">
        <v>469</v>
      </c>
      <c r="N474" s="14" t="s">
        <v>461</v>
      </c>
      <c r="O474" s="4">
        <v>42867</v>
      </c>
    </row>
    <row r="475" spans="1:15">
      <c r="A475" s="7">
        <v>160213</v>
      </c>
      <c r="B475" s="7">
        <v>4.4749999999999996</v>
      </c>
      <c r="C475" s="18" t="s">
        <v>468</v>
      </c>
      <c r="D475" s="19">
        <v>0</v>
      </c>
      <c r="E475" s="20">
        <v>9.2958904109589042</v>
      </c>
      <c r="F475" s="21">
        <v>4.4457000000000004</v>
      </c>
      <c r="G475" s="21">
        <v>2.9299999999999216</v>
      </c>
      <c r="H475" s="21">
        <v>4.4912999999999998</v>
      </c>
      <c r="I475" s="21">
        <v>-4.5599999999999419</v>
      </c>
      <c r="J475" s="19" t="s">
        <v>17</v>
      </c>
      <c r="K475" s="19" t="s">
        <v>19</v>
      </c>
      <c r="L475" s="13">
        <v>3.05</v>
      </c>
      <c r="M475" s="14" t="s">
        <v>469</v>
      </c>
      <c r="N475" s="14" t="s">
        <v>461</v>
      </c>
      <c r="O475" s="4">
        <v>42867</v>
      </c>
    </row>
    <row r="476" spans="1:15">
      <c r="A476" s="7">
        <v>160213</v>
      </c>
      <c r="B476" s="7">
        <v>4.4749999999999996</v>
      </c>
      <c r="C476" s="18" t="s">
        <v>468</v>
      </c>
      <c r="D476" s="19">
        <v>0</v>
      </c>
      <c r="E476" s="20">
        <v>9.2958904109589042</v>
      </c>
      <c r="F476" s="21">
        <v>4.4457000000000004</v>
      </c>
      <c r="G476" s="21">
        <v>2.9299999999999216</v>
      </c>
      <c r="H476" s="21">
        <v>4.4912999999999998</v>
      </c>
      <c r="I476" s="21">
        <v>-4.5599999999999419</v>
      </c>
      <c r="J476" s="19" t="s">
        <v>17</v>
      </c>
      <c r="K476" s="19" t="s">
        <v>19</v>
      </c>
      <c r="L476" s="13">
        <v>3.05</v>
      </c>
      <c r="M476" s="14" t="s">
        <v>469</v>
      </c>
      <c r="N476" s="14" t="s">
        <v>461</v>
      </c>
      <c r="O476" s="4">
        <v>42867</v>
      </c>
    </row>
    <row r="477" spans="1:15">
      <c r="A477" s="7">
        <v>160213</v>
      </c>
      <c r="B477" s="7">
        <v>4.4749999999999996</v>
      </c>
      <c r="C477" s="18" t="s">
        <v>468</v>
      </c>
      <c r="D477" s="19">
        <v>0</v>
      </c>
      <c r="E477" s="20">
        <v>9.2958904109589042</v>
      </c>
      <c r="F477" s="21">
        <v>4.4457000000000004</v>
      </c>
      <c r="G477" s="21">
        <v>2.9299999999999216</v>
      </c>
      <c r="H477" s="21">
        <v>4.4912999999999998</v>
      </c>
      <c r="I477" s="21">
        <v>-4.5599999999999419</v>
      </c>
      <c r="J477" s="19" t="s">
        <v>17</v>
      </c>
      <c r="K477" s="19" t="s">
        <v>19</v>
      </c>
      <c r="L477" s="13">
        <v>3.05</v>
      </c>
      <c r="M477" s="14" t="s">
        <v>469</v>
      </c>
      <c r="N477" s="14" t="s">
        <v>461</v>
      </c>
      <c r="O477" s="4">
        <v>42867</v>
      </c>
    </row>
    <row r="478" spans="1:15">
      <c r="A478" s="7">
        <v>160213</v>
      </c>
      <c r="B478" s="7">
        <v>4.4749999999999996</v>
      </c>
      <c r="C478" s="18" t="s">
        <v>468</v>
      </c>
      <c r="D478" s="19">
        <v>0</v>
      </c>
      <c r="E478" s="20">
        <v>9.2958904109589042</v>
      </c>
      <c r="F478" s="21">
        <v>4.4457000000000004</v>
      </c>
      <c r="G478" s="21">
        <v>2.9299999999999216</v>
      </c>
      <c r="H478" s="21">
        <v>4.4912999999999998</v>
      </c>
      <c r="I478" s="21">
        <v>-4.5599999999999419</v>
      </c>
      <c r="J478" s="19" t="s">
        <v>17</v>
      </c>
      <c r="K478" s="19" t="s">
        <v>19</v>
      </c>
      <c r="L478" s="13">
        <v>3.05</v>
      </c>
      <c r="M478" s="14" t="s">
        <v>469</v>
      </c>
      <c r="N478" s="14" t="s">
        <v>461</v>
      </c>
      <c r="O478" s="4">
        <v>42867</v>
      </c>
    </row>
    <row r="479" spans="1:15">
      <c r="A479" s="7">
        <v>160213</v>
      </c>
      <c r="B479" s="7">
        <v>4.4749999999999996</v>
      </c>
      <c r="C479" s="18" t="s">
        <v>468</v>
      </c>
      <c r="D479" s="19">
        <v>0</v>
      </c>
      <c r="E479" s="20">
        <v>9.2958904109589042</v>
      </c>
      <c r="F479" s="21">
        <v>4.4457000000000004</v>
      </c>
      <c r="G479" s="21">
        <v>2.9299999999999216</v>
      </c>
      <c r="H479" s="21">
        <v>4.4912999999999998</v>
      </c>
      <c r="I479" s="21">
        <v>-4.5599999999999419</v>
      </c>
      <c r="J479" s="19" t="s">
        <v>17</v>
      </c>
      <c r="K479" s="19" t="s">
        <v>19</v>
      </c>
      <c r="L479" s="13">
        <v>3.05</v>
      </c>
      <c r="M479" s="14" t="s">
        <v>469</v>
      </c>
      <c r="N479" s="14" t="s">
        <v>461</v>
      </c>
      <c r="O479" s="4">
        <v>42867</v>
      </c>
    </row>
    <row r="480" spans="1:15">
      <c r="A480" s="7">
        <v>160213</v>
      </c>
      <c r="B480" s="7">
        <v>4.4749999999999996</v>
      </c>
      <c r="C480" s="18" t="s">
        <v>468</v>
      </c>
      <c r="D480" s="19">
        <v>0</v>
      </c>
      <c r="E480" s="20">
        <v>9.2958904109589042</v>
      </c>
      <c r="F480" s="21">
        <v>4.4457000000000004</v>
      </c>
      <c r="G480" s="21">
        <v>2.9299999999999216</v>
      </c>
      <c r="H480" s="21">
        <v>4.4912999999999998</v>
      </c>
      <c r="I480" s="21">
        <v>-4.5599999999999419</v>
      </c>
      <c r="J480" s="19" t="s">
        <v>17</v>
      </c>
      <c r="K480" s="19" t="s">
        <v>19</v>
      </c>
      <c r="L480" s="13">
        <v>3.05</v>
      </c>
      <c r="M480" s="14" t="s">
        <v>469</v>
      </c>
      <c r="N480" s="14" t="s">
        <v>461</v>
      </c>
      <c r="O480" s="4">
        <v>42867</v>
      </c>
    </row>
    <row r="481" spans="1:15">
      <c r="A481" s="7">
        <v>160213</v>
      </c>
      <c r="B481" s="7">
        <v>4.4749999999999996</v>
      </c>
      <c r="C481" s="18" t="s">
        <v>468</v>
      </c>
      <c r="D481" s="19">
        <v>0</v>
      </c>
      <c r="E481" s="20">
        <v>9.2958904109589042</v>
      </c>
      <c r="F481" s="21">
        <v>4.4457000000000004</v>
      </c>
      <c r="G481" s="21">
        <v>2.9299999999999216</v>
      </c>
      <c r="H481" s="21">
        <v>4.4912999999999998</v>
      </c>
      <c r="I481" s="21">
        <v>-4.5599999999999419</v>
      </c>
      <c r="J481" s="19" t="s">
        <v>17</v>
      </c>
      <c r="K481" s="19" t="s">
        <v>19</v>
      </c>
      <c r="L481" s="13">
        <v>3.05</v>
      </c>
      <c r="M481" s="14" t="s">
        <v>469</v>
      </c>
      <c r="N481" s="14" t="s">
        <v>461</v>
      </c>
      <c r="O481" s="4">
        <v>42867</v>
      </c>
    </row>
    <row r="482" spans="1:15">
      <c r="A482" s="7">
        <v>160213</v>
      </c>
      <c r="B482" s="7">
        <v>4.4749999999999996</v>
      </c>
      <c r="C482" s="18" t="s">
        <v>468</v>
      </c>
      <c r="D482" s="19">
        <v>0</v>
      </c>
      <c r="E482" s="20">
        <v>9.2958904109589042</v>
      </c>
      <c r="F482" s="21">
        <v>4.4457000000000004</v>
      </c>
      <c r="G482" s="21">
        <v>2.9299999999999216</v>
      </c>
      <c r="H482" s="21">
        <v>4.4912999999999998</v>
      </c>
      <c r="I482" s="21">
        <v>-4.5599999999999419</v>
      </c>
      <c r="J482" s="19" t="s">
        <v>17</v>
      </c>
      <c r="K482" s="19" t="s">
        <v>19</v>
      </c>
      <c r="L482" s="13">
        <v>3.05</v>
      </c>
      <c r="M482" s="14" t="s">
        <v>469</v>
      </c>
      <c r="N482" s="14" t="s">
        <v>461</v>
      </c>
      <c r="O482" s="4">
        <v>42867</v>
      </c>
    </row>
    <row r="483" spans="1:15">
      <c r="A483" s="7">
        <v>160213</v>
      </c>
      <c r="B483" s="7">
        <v>4.4749999999999996</v>
      </c>
      <c r="C483" s="18" t="s">
        <v>468</v>
      </c>
      <c r="D483" s="19">
        <v>0</v>
      </c>
      <c r="E483" s="20">
        <v>9.2958904109589042</v>
      </c>
      <c r="F483" s="21">
        <v>4.4457000000000004</v>
      </c>
      <c r="G483" s="21">
        <v>2.9299999999999216</v>
      </c>
      <c r="H483" s="21">
        <v>4.4912999999999998</v>
      </c>
      <c r="I483" s="21">
        <v>-4.5599999999999419</v>
      </c>
      <c r="J483" s="19" t="s">
        <v>17</v>
      </c>
      <c r="K483" s="19" t="s">
        <v>19</v>
      </c>
      <c r="L483" s="13">
        <v>3.05</v>
      </c>
      <c r="M483" s="14" t="s">
        <v>469</v>
      </c>
      <c r="N483" s="14" t="s">
        <v>461</v>
      </c>
      <c r="O483" s="4">
        <v>42867</v>
      </c>
    </row>
    <row r="484" spans="1:15">
      <c r="A484" s="7">
        <v>160213</v>
      </c>
      <c r="B484" s="7">
        <v>4.4749999999999996</v>
      </c>
      <c r="C484" s="18" t="s">
        <v>468</v>
      </c>
      <c r="D484" s="19">
        <v>0</v>
      </c>
      <c r="E484" s="20">
        <v>9.2958904109589042</v>
      </c>
      <c r="F484" s="21">
        <v>4.4457000000000004</v>
      </c>
      <c r="G484" s="21">
        <v>2.9299999999999216</v>
      </c>
      <c r="H484" s="21">
        <v>4.4912999999999998</v>
      </c>
      <c r="I484" s="21">
        <v>-4.5599999999999419</v>
      </c>
      <c r="J484" s="19" t="s">
        <v>17</v>
      </c>
      <c r="K484" s="19" t="s">
        <v>19</v>
      </c>
      <c r="L484" s="13">
        <v>3.05</v>
      </c>
      <c r="M484" s="14" t="s">
        <v>469</v>
      </c>
      <c r="N484" s="14" t="s">
        <v>461</v>
      </c>
      <c r="O484" s="4">
        <v>42867</v>
      </c>
    </row>
    <row r="485" spans="1:15">
      <c r="A485" s="7">
        <v>160213</v>
      </c>
      <c r="B485" s="7">
        <v>4.4749999999999996</v>
      </c>
      <c r="C485" s="18" t="s">
        <v>468</v>
      </c>
      <c r="D485" s="19">
        <v>0</v>
      </c>
      <c r="E485" s="20">
        <v>9.2958904109589042</v>
      </c>
      <c r="F485" s="21">
        <v>4.4457000000000004</v>
      </c>
      <c r="G485" s="21">
        <v>2.9299999999999216</v>
      </c>
      <c r="H485" s="21">
        <v>4.4912999999999998</v>
      </c>
      <c r="I485" s="21">
        <v>-4.5599999999999419</v>
      </c>
      <c r="J485" s="19" t="s">
        <v>17</v>
      </c>
      <c r="K485" s="19" t="s">
        <v>19</v>
      </c>
      <c r="L485" s="13">
        <v>3.05</v>
      </c>
      <c r="M485" s="14" t="s">
        <v>469</v>
      </c>
      <c r="N485" s="14" t="s">
        <v>461</v>
      </c>
      <c r="O485" s="4">
        <v>42867</v>
      </c>
    </row>
    <row r="486" spans="1:15">
      <c r="A486" s="7">
        <v>160213</v>
      </c>
      <c r="B486" s="7">
        <v>4.4749999999999996</v>
      </c>
      <c r="C486" s="18" t="s">
        <v>468</v>
      </c>
      <c r="D486" s="19">
        <v>0</v>
      </c>
      <c r="E486" s="20">
        <v>9.2958904109589042</v>
      </c>
      <c r="F486" s="21">
        <v>4.4457000000000004</v>
      </c>
      <c r="G486" s="21">
        <v>2.9299999999999216</v>
      </c>
      <c r="H486" s="21">
        <v>4.4912999999999998</v>
      </c>
      <c r="I486" s="21">
        <v>-4.5599999999999419</v>
      </c>
      <c r="J486" s="19" t="s">
        <v>17</v>
      </c>
      <c r="K486" s="19" t="s">
        <v>19</v>
      </c>
      <c r="L486" s="13">
        <v>3.05</v>
      </c>
      <c r="M486" s="14" t="s">
        <v>469</v>
      </c>
      <c r="N486" s="14" t="s">
        <v>461</v>
      </c>
      <c r="O486" s="4">
        <v>42867</v>
      </c>
    </row>
    <row r="487" spans="1:15">
      <c r="A487" s="7">
        <v>160213</v>
      </c>
      <c r="B487" s="7">
        <v>4.4749999999999996</v>
      </c>
      <c r="C487" s="18" t="s">
        <v>468</v>
      </c>
      <c r="D487" s="19">
        <v>0</v>
      </c>
      <c r="E487" s="20">
        <v>9.2958904109589042</v>
      </c>
      <c r="F487" s="21">
        <v>4.4457000000000004</v>
      </c>
      <c r="G487" s="21">
        <v>2.9299999999999216</v>
      </c>
      <c r="H487" s="21">
        <v>4.4912999999999998</v>
      </c>
      <c r="I487" s="21">
        <v>-4.5599999999999419</v>
      </c>
      <c r="J487" s="19" t="s">
        <v>17</v>
      </c>
      <c r="K487" s="19" t="s">
        <v>19</v>
      </c>
      <c r="L487" s="13">
        <v>3.05</v>
      </c>
      <c r="M487" s="14" t="s">
        <v>469</v>
      </c>
      <c r="N487" s="14" t="s">
        <v>461</v>
      </c>
      <c r="O487" s="4">
        <v>42867</v>
      </c>
    </row>
    <row r="488" spans="1:15">
      <c r="A488" s="7">
        <v>160213</v>
      </c>
      <c r="B488" s="7">
        <v>4.4749999999999996</v>
      </c>
      <c r="C488" s="18" t="s">
        <v>468</v>
      </c>
      <c r="D488" s="19">
        <v>0</v>
      </c>
      <c r="E488" s="20">
        <v>9.2958904109589042</v>
      </c>
      <c r="F488" s="21">
        <v>4.4457000000000004</v>
      </c>
      <c r="G488" s="21">
        <v>2.9299999999999216</v>
      </c>
      <c r="H488" s="21">
        <v>4.4912999999999998</v>
      </c>
      <c r="I488" s="21">
        <v>-4.5599999999999419</v>
      </c>
      <c r="J488" s="19" t="s">
        <v>17</v>
      </c>
      <c r="K488" s="19" t="s">
        <v>19</v>
      </c>
      <c r="L488" s="13">
        <v>3.05</v>
      </c>
      <c r="M488" s="14" t="s">
        <v>469</v>
      </c>
      <c r="N488" s="14" t="s">
        <v>461</v>
      </c>
      <c r="O488" s="4">
        <v>42867</v>
      </c>
    </row>
    <row r="489" spans="1:15">
      <c r="A489" s="7">
        <v>160213</v>
      </c>
      <c r="B489" s="7">
        <v>4.4749999999999996</v>
      </c>
      <c r="C489" s="18" t="s">
        <v>468</v>
      </c>
      <c r="D489" s="19">
        <v>0</v>
      </c>
      <c r="E489" s="20">
        <v>9.2958904109589042</v>
      </c>
      <c r="F489" s="21">
        <v>4.4457000000000004</v>
      </c>
      <c r="G489" s="21">
        <v>2.9299999999999216</v>
      </c>
      <c r="H489" s="21">
        <v>4.4912999999999998</v>
      </c>
      <c r="I489" s="21">
        <v>-4.5599999999999419</v>
      </c>
      <c r="J489" s="19" t="s">
        <v>17</v>
      </c>
      <c r="K489" s="19" t="s">
        <v>19</v>
      </c>
      <c r="L489" s="13">
        <v>3.05</v>
      </c>
      <c r="M489" s="14" t="s">
        <v>469</v>
      </c>
      <c r="N489" s="14" t="s">
        <v>461</v>
      </c>
      <c r="O489" s="4">
        <v>42867</v>
      </c>
    </row>
    <row r="490" spans="1:15">
      <c r="A490" s="7">
        <v>160213</v>
      </c>
      <c r="B490" s="7">
        <v>4.4725000000000001</v>
      </c>
      <c r="C490" s="18" t="s">
        <v>468</v>
      </c>
      <c r="D490" s="19">
        <v>0</v>
      </c>
      <c r="E490" s="20">
        <v>9.2958904109589042</v>
      </c>
      <c r="F490" s="21">
        <v>4.4457000000000004</v>
      </c>
      <c r="G490" s="21">
        <v>2.6799999999999713</v>
      </c>
      <c r="H490" s="21">
        <v>4.4912999999999998</v>
      </c>
      <c r="I490" s="21">
        <v>-4.5599999999999419</v>
      </c>
      <c r="J490" s="19" t="s">
        <v>17</v>
      </c>
      <c r="K490" s="19" t="s">
        <v>19</v>
      </c>
      <c r="L490" s="13">
        <v>3.05</v>
      </c>
      <c r="M490" s="14" t="s">
        <v>469</v>
      </c>
      <c r="N490" s="14" t="s">
        <v>461</v>
      </c>
      <c r="O490" s="4">
        <v>42867</v>
      </c>
    </row>
    <row r="491" spans="1:15">
      <c r="A491" s="7">
        <v>160213</v>
      </c>
      <c r="B491" s="7">
        <v>4.47</v>
      </c>
      <c r="C491" s="18" t="s">
        <v>468</v>
      </c>
      <c r="D491" s="19">
        <v>0</v>
      </c>
      <c r="E491" s="20">
        <v>9.2958904109589042</v>
      </c>
      <c r="F491" s="21">
        <v>4.4457000000000004</v>
      </c>
      <c r="G491" s="21">
        <v>2.4299999999999322</v>
      </c>
      <c r="H491" s="21">
        <v>4.4912999999999998</v>
      </c>
      <c r="I491" s="21">
        <v>-4.5599999999999419</v>
      </c>
      <c r="J491" s="19" t="s">
        <v>17</v>
      </c>
      <c r="K491" s="19" t="s">
        <v>19</v>
      </c>
      <c r="L491" s="13">
        <v>3.05</v>
      </c>
      <c r="M491" s="14" t="s">
        <v>469</v>
      </c>
      <c r="N491" s="14" t="s">
        <v>461</v>
      </c>
      <c r="O491" s="4">
        <v>42867</v>
      </c>
    </row>
    <row r="492" spans="1:15">
      <c r="A492" s="7">
        <v>160213</v>
      </c>
      <c r="B492" s="7">
        <v>4.47</v>
      </c>
      <c r="C492" s="18" t="s">
        <v>468</v>
      </c>
      <c r="D492" s="19">
        <v>0</v>
      </c>
      <c r="E492" s="20">
        <v>9.2958904109589042</v>
      </c>
      <c r="F492" s="21">
        <v>4.4457000000000004</v>
      </c>
      <c r="G492" s="21">
        <v>2.4299999999999322</v>
      </c>
      <c r="H492" s="21">
        <v>4.4912999999999998</v>
      </c>
      <c r="I492" s="21">
        <v>-4.5599999999999419</v>
      </c>
      <c r="J492" s="19" t="s">
        <v>17</v>
      </c>
      <c r="K492" s="19" t="s">
        <v>19</v>
      </c>
      <c r="L492" s="13">
        <v>3.05</v>
      </c>
      <c r="M492" s="14" t="s">
        <v>469</v>
      </c>
      <c r="N492" s="14" t="s">
        <v>461</v>
      </c>
      <c r="O492" s="4">
        <v>42867</v>
      </c>
    </row>
    <row r="493" spans="1:15">
      <c r="A493" s="7">
        <v>160213</v>
      </c>
      <c r="B493" s="7">
        <v>4.47</v>
      </c>
      <c r="C493" s="18" t="s">
        <v>468</v>
      </c>
      <c r="D493" s="19">
        <v>0</v>
      </c>
      <c r="E493" s="20">
        <v>9.2958904109589042</v>
      </c>
      <c r="F493" s="21">
        <v>4.4457000000000004</v>
      </c>
      <c r="G493" s="21">
        <v>2.4299999999999322</v>
      </c>
      <c r="H493" s="21">
        <v>4.4912999999999998</v>
      </c>
      <c r="I493" s="21">
        <v>-4.5599999999999419</v>
      </c>
      <c r="J493" s="19" t="s">
        <v>17</v>
      </c>
      <c r="K493" s="19" t="s">
        <v>19</v>
      </c>
      <c r="L493" s="13">
        <v>3.05</v>
      </c>
      <c r="M493" s="14" t="s">
        <v>469</v>
      </c>
      <c r="N493" s="14" t="s">
        <v>461</v>
      </c>
      <c r="O493" s="4">
        <v>42867</v>
      </c>
    </row>
    <row r="494" spans="1:15">
      <c r="A494" s="7">
        <v>160213</v>
      </c>
      <c r="B494" s="7">
        <v>4.47</v>
      </c>
      <c r="C494" s="18" t="s">
        <v>468</v>
      </c>
      <c r="D494" s="19">
        <v>0</v>
      </c>
      <c r="E494" s="20">
        <v>9.2958904109589042</v>
      </c>
      <c r="F494" s="21">
        <v>4.4457000000000004</v>
      </c>
      <c r="G494" s="21">
        <v>2.4299999999999322</v>
      </c>
      <c r="H494" s="21">
        <v>4.4912999999999998</v>
      </c>
      <c r="I494" s="21">
        <v>-4.5599999999999419</v>
      </c>
      <c r="J494" s="19" t="s">
        <v>17</v>
      </c>
      <c r="K494" s="19" t="s">
        <v>19</v>
      </c>
      <c r="L494" s="13">
        <v>3.05</v>
      </c>
      <c r="M494" s="14" t="s">
        <v>469</v>
      </c>
      <c r="N494" s="14" t="s">
        <v>461</v>
      </c>
      <c r="O494" s="4">
        <v>42867</v>
      </c>
    </row>
    <row r="495" spans="1:15">
      <c r="A495" s="7">
        <v>160213</v>
      </c>
      <c r="B495" s="7">
        <v>4.47</v>
      </c>
      <c r="C495" s="18" t="s">
        <v>468</v>
      </c>
      <c r="D495" s="19">
        <v>0</v>
      </c>
      <c r="E495" s="20">
        <v>9.2958904109589042</v>
      </c>
      <c r="F495" s="21">
        <v>4.4457000000000004</v>
      </c>
      <c r="G495" s="21">
        <v>2.4299999999999322</v>
      </c>
      <c r="H495" s="21">
        <v>4.4912999999999998</v>
      </c>
      <c r="I495" s="21">
        <v>-4.5599999999999419</v>
      </c>
      <c r="J495" s="19" t="s">
        <v>17</v>
      </c>
      <c r="K495" s="19" t="s">
        <v>19</v>
      </c>
      <c r="L495" s="13">
        <v>3.05</v>
      </c>
      <c r="M495" s="14" t="s">
        <v>469</v>
      </c>
      <c r="N495" s="14" t="s">
        <v>461</v>
      </c>
      <c r="O495" s="4">
        <v>42867</v>
      </c>
    </row>
    <row r="496" spans="1:15">
      <c r="A496" s="7">
        <v>160213</v>
      </c>
      <c r="B496" s="7">
        <v>4.47</v>
      </c>
      <c r="C496" s="18" t="s">
        <v>468</v>
      </c>
      <c r="D496" s="19">
        <v>0</v>
      </c>
      <c r="E496" s="20">
        <v>9.2958904109589042</v>
      </c>
      <c r="F496" s="21">
        <v>4.4457000000000004</v>
      </c>
      <c r="G496" s="21">
        <v>2.4299999999999322</v>
      </c>
      <c r="H496" s="21">
        <v>4.4912999999999998</v>
      </c>
      <c r="I496" s="21">
        <v>-4.5599999999999419</v>
      </c>
      <c r="J496" s="19" t="s">
        <v>17</v>
      </c>
      <c r="K496" s="19" t="s">
        <v>19</v>
      </c>
      <c r="L496" s="13">
        <v>3.05</v>
      </c>
      <c r="M496" s="14" t="s">
        <v>469</v>
      </c>
      <c r="N496" s="14" t="s">
        <v>461</v>
      </c>
      <c r="O496" s="4">
        <v>42867</v>
      </c>
    </row>
    <row r="497" spans="1:15">
      <c r="A497" s="7">
        <v>160213</v>
      </c>
      <c r="B497" s="7">
        <v>4.47</v>
      </c>
      <c r="C497" s="18" t="s">
        <v>468</v>
      </c>
      <c r="D497" s="19">
        <v>0</v>
      </c>
      <c r="E497" s="20">
        <v>9.2958904109589042</v>
      </c>
      <c r="F497" s="21">
        <v>4.4457000000000004</v>
      </c>
      <c r="G497" s="21">
        <v>2.4299999999999322</v>
      </c>
      <c r="H497" s="21">
        <v>4.4912999999999998</v>
      </c>
      <c r="I497" s="21">
        <v>-4.5599999999999419</v>
      </c>
      <c r="J497" s="19" t="s">
        <v>17</v>
      </c>
      <c r="K497" s="19" t="s">
        <v>19</v>
      </c>
      <c r="L497" s="13">
        <v>3.05</v>
      </c>
      <c r="M497" s="14" t="s">
        <v>469</v>
      </c>
      <c r="N497" s="14" t="s">
        <v>461</v>
      </c>
      <c r="O497" s="4">
        <v>42867</v>
      </c>
    </row>
    <row r="498" spans="1:15">
      <c r="A498" s="7">
        <v>160213</v>
      </c>
      <c r="B498" s="7">
        <v>4.47</v>
      </c>
      <c r="C498" s="18" t="s">
        <v>468</v>
      </c>
      <c r="D498" s="19">
        <v>0</v>
      </c>
      <c r="E498" s="20">
        <v>9.2958904109589042</v>
      </c>
      <c r="F498" s="21">
        <v>4.4457000000000004</v>
      </c>
      <c r="G498" s="21">
        <v>2.4299999999999322</v>
      </c>
      <c r="H498" s="21">
        <v>4.4912999999999998</v>
      </c>
      <c r="I498" s="21">
        <v>-4.5599999999999419</v>
      </c>
      <c r="J498" s="19" t="s">
        <v>17</v>
      </c>
      <c r="K498" s="19" t="s">
        <v>19</v>
      </c>
      <c r="L498" s="13">
        <v>3.05</v>
      </c>
      <c r="M498" s="14" t="s">
        <v>469</v>
      </c>
      <c r="N498" s="14" t="s">
        <v>461</v>
      </c>
      <c r="O498" s="4">
        <v>42867</v>
      </c>
    </row>
    <row r="499" spans="1:15">
      <c r="A499" s="7">
        <v>160213</v>
      </c>
      <c r="B499" s="7">
        <v>4.4649999999999999</v>
      </c>
      <c r="C499" s="18" t="s">
        <v>468</v>
      </c>
      <c r="D499" s="19">
        <v>0</v>
      </c>
      <c r="E499" s="20">
        <v>9.2958904109589042</v>
      </c>
      <c r="F499" s="21">
        <v>4.4457000000000004</v>
      </c>
      <c r="G499" s="21">
        <v>1.9299999999999429</v>
      </c>
      <c r="H499" s="21">
        <v>4.4912999999999998</v>
      </c>
      <c r="I499" s="21">
        <v>-4.5599999999999419</v>
      </c>
      <c r="J499" s="19" t="s">
        <v>17</v>
      </c>
      <c r="K499" s="19" t="s">
        <v>19</v>
      </c>
      <c r="L499" s="13">
        <v>3.05</v>
      </c>
      <c r="M499" s="14" t="s">
        <v>469</v>
      </c>
      <c r="N499" s="14" t="s">
        <v>461</v>
      </c>
      <c r="O499" s="4">
        <v>42867</v>
      </c>
    </row>
    <row r="500" spans="1:15">
      <c r="A500" s="7">
        <v>160213</v>
      </c>
      <c r="B500" s="7">
        <v>4.4649999999999999</v>
      </c>
      <c r="C500" s="18" t="s">
        <v>468</v>
      </c>
      <c r="D500" s="19">
        <v>0</v>
      </c>
      <c r="E500" s="20">
        <v>9.2958904109589042</v>
      </c>
      <c r="F500" s="21">
        <v>4.4457000000000004</v>
      </c>
      <c r="G500" s="21">
        <v>1.9299999999999429</v>
      </c>
      <c r="H500" s="21">
        <v>4.4912999999999998</v>
      </c>
      <c r="I500" s="21">
        <v>-4.5599999999999419</v>
      </c>
      <c r="J500" s="19" t="s">
        <v>17</v>
      </c>
      <c r="K500" s="19" t="s">
        <v>19</v>
      </c>
      <c r="L500" s="13">
        <v>3.05</v>
      </c>
      <c r="M500" s="14" t="s">
        <v>469</v>
      </c>
      <c r="N500" s="14" t="s">
        <v>461</v>
      </c>
      <c r="O500" s="4">
        <v>42867</v>
      </c>
    </row>
    <row r="501" spans="1:15">
      <c r="A501" s="7">
        <v>160213</v>
      </c>
      <c r="B501" s="7">
        <v>4.4649999999999999</v>
      </c>
      <c r="C501" s="18" t="s">
        <v>468</v>
      </c>
      <c r="D501" s="19">
        <v>0</v>
      </c>
      <c r="E501" s="20">
        <v>9.2958904109589042</v>
      </c>
      <c r="F501" s="21">
        <v>4.4457000000000004</v>
      </c>
      <c r="G501" s="21">
        <v>1.9299999999999429</v>
      </c>
      <c r="H501" s="21">
        <v>4.4912999999999998</v>
      </c>
      <c r="I501" s="21">
        <v>-4.5599999999999419</v>
      </c>
      <c r="J501" s="19" t="s">
        <v>17</v>
      </c>
      <c r="K501" s="19" t="s">
        <v>19</v>
      </c>
      <c r="L501" s="13">
        <v>3.05</v>
      </c>
      <c r="M501" s="14" t="s">
        <v>469</v>
      </c>
      <c r="N501" s="14" t="s">
        <v>461</v>
      </c>
      <c r="O501" s="4">
        <v>42867</v>
      </c>
    </row>
    <row r="502" spans="1:15">
      <c r="A502" s="7">
        <v>160213</v>
      </c>
      <c r="B502" s="7">
        <v>4.4649999999999999</v>
      </c>
      <c r="C502" s="18" t="s">
        <v>468</v>
      </c>
      <c r="D502" s="19">
        <v>0</v>
      </c>
      <c r="E502" s="20">
        <v>9.2958904109589042</v>
      </c>
      <c r="F502" s="21">
        <v>4.4457000000000004</v>
      </c>
      <c r="G502" s="21">
        <v>1.9299999999999429</v>
      </c>
      <c r="H502" s="21">
        <v>4.4912999999999998</v>
      </c>
      <c r="I502" s="21">
        <v>-4.5599999999999419</v>
      </c>
      <c r="J502" s="19" t="s">
        <v>17</v>
      </c>
      <c r="K502" s="19" t="s">
        <v>19</v>
      </c>
      <c r="L502" s="13">
        <v>3.05</v>
      </c>
      <c r="M502" s="14" t="s">
        <v>469</v>
      </c>
      <c r="N502" s="14" t="s">
        <v>461</v>
      </c>
      <c r="O502" s="4">
        <v>42867</v>
      </c>
    </row>
    <row r="503" spans="1:15">
      <c r="A503" s="7">
        <v>170403</v>
      </c>
      <c r="B503" s="7">
        <v>4.46</v>
      </c>
      <c r="C503" s="18" t="s">
        <v>673</v>
      </c>
      <c r="D503" s="19">
        <v>0</v>
      </c>
      <c r="E503" s="20">
        <v>4.6602739726027398</v>
      </c>
      <c r="F503" s="21">
        <v>4.4786999999999999</v>
      </c>
      <c r="G503" s="21">
        <v>-1.8699999999999939</v>
      </c>
      <c r="H503" s="21">
        <v>4.5202999999999998</v>
      </c>
      <c r="I503" s="21">
        <v>-4.1599999999999859</v>
      </c>
      <c r="J503" s="19" t="s">
        <v>17</v>
      </c>
      <c r="K503" s="19" t="s">
        <v>19</v>
      </c>
      <c r="L503" s="13">
        <v>3.7</v>
      </c>
      <c r="M503" s="14" t="s">
        <v>644</v>
      </c>
      <c r="N503" s="14" t="s">
        <v>635</v>
      </c>
      <c r="O503" s="4">
        <v>42867</v>
      </c>
    </row>
    <row r="504" spans="1:15">
      <c r="A504" s="7">
        <v>160413</v>
      </c>
      <c r="B504" s="7">
        <v>4.46</v>
      </c>
      <c r="C504" s="18" t="s">
        <v>301</v>
      </c>
      <c r="D504" s="19">
        <v>0</v>
      </c>
      <c r="E504" s="20">
        <v>3.9068493150684933</v>
      </c>
      <c r="F504" s="21">
        <v>4.4432</v>
      </c>
      <c r="G504" s="21">
        <v>1.6799999999999926</v>
      </c>
      <c r="H504" s="21">
        <v>4.4435000000000002</v>
      </c>
      <c r="I504" s="21">
        <v>-3.00000000000189E-2</v>
      </c>
      <c r="J504" s="19">
        <v>0</v>
      </c>
      <c r="K504" s="19" t="s">
        <v>19</v>
      </c>
      <c r="L504" s="13">
        <v>2.98</v>
      </c>
      <c r="M504" s="14" t="s">
        <v>145</v>
      </c>
      <c r="N504" s="14" t="s">
        <v>293</v>
      </c>
      <c r="O504" s="4">
        <v>42867</v>
      </c>
    </row>
    <row r="505" spans="1:15">
      <c r="A505" s="7">
        <v>160218</v>
      </c>
      <c r="B505" s="7">
        <v>4.46</v>
      </c>
      <c r="C505" s="18" t="s">
        <v>617</v>
      </c>
      <c r="D505" s="19">
        <v>0</v>
      </c>
      <c r="E505" s="20">
        <v>4.580821917808219</v>
      </c>
      <c r="F505" s="21">
        <v>4.4470999999999998</v>
      </c>
      <c r="G505" s="21">
        <v>1.2900000000000134</v>
      </c>
      <c r="H505" s="21">
        <v>4.4459999999999997</v>
      </c>
      <c r="I505" s="21">
        <v>0.11000000000001009</v>
      </c>
      <c r="J505" s="19" t="s">
        <v>17</v>
      </c>
      <c r="K505" s="19" t="s">
        <v>19</v>
      </c>
      <c r="L505" s="13">
        <v>3.43</v>
      </c>
      <c r="M505" s="14" t="s">
        <v>611</v>
      </c>
      <c r="N505" s="14" t="s">
        <v>612</v>
      </c>
      <c r="O505" s="4">
        <v>42867</v>
      </c>
    </row>
    <row r="506" spans="1:15">
      <c r="A506" s="7">
        <v>160218</v>
      </c>
      <c r="B506" s="7">
        <v>4.46</v>
      </c>
      <c r="C506" s="18" t="s">
        <v>617</v>
      </c>
      <c r="D506" s="19">
        <v>0</v>
      </c>
      <c r="E506" s="20">
        <v>4.580821917808219</v>
      </c>
      <c r="F506" s="21">
        <v>4.4470999999999998</v>
      </c>
      <c r="G506" s="21">
        <v>1.2900000000000134</v>
      </c>
      <c r="H506" s="21">
        <v>4.4459999999999997</v>
      </c>
      <c r="I506" s="21">
        <v>0.11000000000001009</v>
      </c>
      <c r="J506" s="19" t="s">
        <v>17</v>
      </c>
      <c r="K506" s="19" t="s">
        <v>19</v>
      </c>
      <c r="L506" s="13">
        <v>3.43</v>
      </c>
      <c r="M506" s="14" t="s">
        <v>611</v>
      </c>
      <c r="N506" s="14" t="s">
        <v>612</v>
      </c>
      <c r="O506" s="4">
        <v>42867</v>
      </c>
    </row>
    <row r="507" spans="1:15">
      <c r="A507" s="7">
        <v>160213</v>
      </c>
      <c r="B507" s="7">
        <v>4.46</v>
      </c>
      <c r="C507" s="18" t="s">
        <v>468</v>
      </c>
      <c r="D507" s="19">
        <v>0</v>
      </c>
      <c r="E507" s="20">
        <v>9.2958904109589042</v>
      </c>
      <c r="F507" s="21">
        <v>4.4457000000000004</v>
      </c>
      <c r="G507" s="21">
        <v>1.4299999999999535</v>
      </c>
      <c r="H507" s="21">
        <v>4.4912999999999998</v>
      </c>
      <c r="I507" s="21">
        <v>-4.5599999999999419</v>
      </c>
      <c r="J507" s="19" t="s">
        <v>17</v>
      </c>
      <c r="K507" s="19" t="s">
        <v>19</v>
      </c>
      <c r="L507" s="13">
        <v>3.05</v>
      </c>
      <c r="M507" s="14" t="s">
        <v>469</v>
      </c>
      <c r="N507" s="14" t="s">
        <v>461</v>
      </c>
      <c r="O507" s="4">
        <v>42867</v>
      </c>
    </row>
    <row r="508" spans="1:15">
      <c r="A508" s="7">
        <v>160213</v>
      </c>
      <c r="B508" s="7">
        <v>4.46</v>
      </c>
      <c r="C508" s="18" t="s">
        <v>468</v>
      </c>
      <c r="D508" s="19">
        <v>0</v>
      </c>
      <c r="E508" s="20">
        <v>9.2958904109589042</v>
      </c>
      <c r="F508" s="21">
        <v>4.4457000000000004</v>
      </c>
      <c r="G508" s="21">
        <v>1.4299999999999535</v>
      </c>
      <c r="H508" s="21">
        <v>4.4912999999999998</v>
      </c>
      <c r="I508" s="21">
        <v>-4.5599999999999419</v>
      </c>
      <c r="J508" s="19" t="s">
        <v>17</v>
      </c>
      <c r="K508" s="19" t="s">
        <v>19</v>
      </c>
      <c r="L508" s="13">
        <v>3.05</v>
      </c>
      <c r="M508" s="14" t="s">
        <v>469</v>
      </c>
      <c r="N508" s="14" t="s">
        <v>461</v>
      </c>
      <c r="O508" s="4">
        <v>42867</v>
      </c>
    </row>
    <row r="509" spans="1:15">
      <c r="A509" s="7">
        <v>160213</v>
      </c>
      <c r="B509" s="7">
        <v>4.46</v>
      </c>
      <c r="C509" s="18" t="s">
        <v>468</v>
      </c>
      <c r="D509" s="19">
        <v>0</v>
      </c>
      <c r="E509" s="20">
        <v>9.2958904109589042</v>
      </c>
      <c r="F509" s="21">
        <v>4.4457000000000004</v>
      </c>
      <c r="G509" s="21">
        <v>1.4299999999999535</v>
      </c>
      <c r="H509" s="21">
        <v>4.4912999999999998</v>
      </c>
      <c r="I509" s="21">
        <v>-4.5599999999999419</v>
      </c>
      <c r="J509" s="19" t="s">
        <v>17</v>
      </c>
      <c r="K509" s="19" t="s">
        <v>19</v>
      </c>
      <c r="L509" s="13">
        <v>3.05</v>
      </c>
      <c r="M509" s="14" t="s">
        <v>469</v>
      </c>
      <c r="N509" s="14" t="s">
        <v>461</v>
      </c>
      <c r="O509" s="4">
        <v>42867</v>
      </c>
    </row>
    <row r="510" spans="1:15">
      <c r="A510" s="7">
        <v>160213</v>
      </c>
      <c r="B510" s="7">
        <v>4.46</v>
      </c>
      <c r="C510" s="18" t="s">
        <v>468</v>
      </c>
      <c r="D510" s="19">
        <v>0</v>
      </c>
      <c r="E510" s="20">
        <v>9.2958904109589042</v>
      </c>
      <c r="F510" s="21">
        <v>4.4457000000000004</v>
      </c>
      <c r="G510" s="21">
        <v>1.4299999999999535</v>
      </c>
      <c r="H510" s="21">
        <v>4.4912999999999998</v>
      </c>
      <c r="I510" s="21">
        <v>-4.5599999999999419</v>
      </c>
      <c r="J510" s="19" t="s">
        <v>17</v>
      </c>
      <c r="K510" s="19" t="s">
        <v>19</v>
      </c>
      <c r="L510" s="13">
        <v>3.05</v>
      </c>
      <c r="M510" s="14" t="s">
        <v>469</v>
      </c>
      <c r="N510" s="14" t="s">
        <v>461</v>
      </c>
      <c r="O510" s="4">
        <v>42867</v>
      </c>
    </row>
    <row r="511" spans="1:15">
      <c r="A511" s="7">
        <v>160213</v>
      </c>
      <c r="B511" s="7">
        <v>4.46</v>
      </c>
      <c r="C511" s="18" t="s">
        <v>468</v>
      </c>
      <c r="D511" s="19">
        <v>0</v>
      </c>
      <c r="E511" s="20">
        <v>9.2958904109589042</v>
      </c>
      <c r="F511" s="21">
        <v>4.4457000000000004</v>
      </c>
      <c r="G511" s="21">
        <v>1.4299999999999535</v>
      </c>
      <c r="H511" s="21">
        <v>4.4912999999999998</v>
      </c>
      <c r="I511" s="21">
        <v>-4.5599999999999419</v>
      </c>
      <c r="J511" s="19" t="s">
        <v>17</v>
      </c>
      <c r="K511" s="19" t="s">
        <v>19</v>
      </c>
      <c r="L511" s="13">
        <v>3.05</v>
      </c>
      <c r="M511" s="14" t="s">
        <v>469</v>
      </c>
      <c r="N511" s="14" t="s">
        <v>461</v>
      </c>
      <c r="O511" s="4">
        <v>42867</v>
      </c>
    </row>
    <row r="512" spans="1:15">
      <c r="A512" s="7">
        <v>160213</v>
      </c>
      <c r="B512" s="7">
        <v>4.46</v>
      </c>
      <c r="C512" s="18" t="s">
        <v>468</v>
      </c>
      <c r="D512" s="19">
        <v>0</v>
      </c>
      <c r="E512" s="20">
        <v>9.2958904109589042</v>
      </c>
      <c r="F512" s="21">
        <v>4.4457000000000004</v>
      </c>
      <c r="G512" s="21">
        <v>1.4299999999999535</v>
      </c>
      <c r="H512" s="21">
        <v>4.4912999999999998</v>
      </c>
      <c r="I512" s="21">
        <v>-4.5599999999999419</v>
      </c>
      <c r="J512" s="19" t="s">
        <v>17</v>
      </c>
      <c r="K512" s="19" t="s">
        <v>19</v>
      </c>
      <c r="L512" s="13">
        <v>3.05</v>
      </c>
      <c r="M512" s="14" t="s">
        <v>469</v>
      </c>
      <c r="N512" s="14" t="s">
        <v>461</v>
      </c>
      <c r="O512" s="4">
        <v>42867</v>
      </c>
    </row>
    <row r="513" spans="1:15">
      <c r="A513" s="7">
        <v>160213</v>
      </c>
      <c r="B513" s="7">
        <v>4.46</v>
      </c>
      <c r="C513" s="18" t="s">
        <v>468</v>
      </c>
      <c r="D513" s="19">
        <v>0</v>
      </c>
      <c r="E513" s="20">
        <v>9.2958904109589042</v>
      </c>
      <c r="F513" s="21">
        <v>4.4457000000000004</v>
      </c>
      <c r="G513" s="21">
        <v>1.4299999999999535</v>
      </c>
      <c r="H513" s="21">
        <v>4.4912999999999998</v>
      </c>
      <c r="I513" s="21">
        <v>-4.5599999999999419</v>
      </c>
      <c r="J513" s="19" t="s">
        <v>17</v>
      </c>
      <c r="K513" s="19" t="s">
        <v>19</v>
      </c>
      <c r="L513" s="13">
        <v>3.05</v>
      </c>
      <c r="M513" s="14" t="s">
        <v>469</v>
      </c>
      <c r="N513" s="14" t="s">
        <v>461</v>
      </c>
      <c r="O513" s="4">
        <v>42867</v>
      </c>
    </row>
    <row r="514" spans="1:15">
      <c r="A514" s="7">
        <v>160213</v>
      </c>
      <c r="B514" s="7">
        <v>4.4550000000000001</v>
      </c>
      <c r="C514" s="18" t="s">
        <v>468</v>
      </c>
      <c r="D514" s="19">
        <v>0</v>
      </c>
      <c r="E514" s="20">
        <v>9.2958904109589042</v>
      </c>
      <c r="F514" s="21">
        <v>4.4457000000000004</v>
      </c>
      <c r="G514" s="21">
        <v>0.92999999999996419</v>
      </c>
      <c r="H514" s="21">
        <v>4.4912999999999998</v>
      </c>
      <c r="I514" s="21">
        <v>-4.5599999999999419</v>
      </c>
      <c r="J514" s="19" t="s">
        <v>17</v>
      </c>
      <c r="K514" s="19" t="s">
        <v>19</v>
      </c>
      <c r="L514" s="13">
        <v>3.05</v>
      </c>
      <c r="M514" s="14" t="s">
        <v>469</v>
      </c>
      <c r="N514" s="14" t="s">
        <v>461</v>
      </c>
      <c r="O514" s="4">
        <v>42867</v>
      </c>
    </row>
    <row r="515" spans="1:15">
      <c r="A515" s="7">
        <v>160213</v>
      </c>
      <c r="B515" s="7">
        <v>4.4550000000000001</v>
      </c>
      <c r="C515" s="18" t="s">
        <v>468</v>
      </c>
      <c r="D515" s="19">
        <v>0</v>
      </c>
      <c r="E515" s="20">
        <v>9.2958904109589042</v>
      </c>
      <c r="F515" s="21">
        <v>4.4457000000000004</v>
      </c>
      <c r="G515" s="21">
        <v>0.92999999999996419</v>
      </c>
      <c r="H515" s="21">
        <v>4.4912999999999998</v>
      </c>
      <c r="I515" s="21">
        <v>-4.5599999999999419</v>
      </c>
      <c r="J515" s="19" t="s">
        <v>17</v>
      </c>
      <c r="K515" s="19" t="s">
        <v>19</v>
      </c>
      <c r="L515" s="13">
        <v>3.05</v>
      </c>
      <c r="M515" s="14" t="s">
        <v>469</v>
      </c>
      <c r="N515" s="14" t="s">
        <v>461</v>
      </c>
      <c r="O515" s="4">
        <v>42867</v>
      </c>
    </row>
    <row r="516" spans="1:15">
      <c r="A516" s="7">
        <v>160213</v>
      </c>
      <c r="B516" s="7">
        <v>4.4550000000000001</v>
      </c>
      <c r="C516" s="18" t="s">
        <v>468</v>
      </c>
      <c r="D516" s="19">
        <v>0</v>
      </c>
      <c r="E516" s="20">
        <v>9.2958904109589042</v>
      </c>
      <c r="F516" s="21">
        <v>4.4457000000000004</v>
      </c>
      <c r="G516" s="21">
        <v>0.92999999999996419</v>
      </c>
      <c r="H516" s="21">
        <v>4.4912999999999998</v>
      </c>
      <c r="I516" s="21">
        <v>-4.5599999999999419</v>
      </c>
      <c r="J516" s="19" t="s">
        <v>17</v>
      </c>
      <c r="K516" s="19" t="s">
        <v>19</v>
      </c>
      <c r="L516" s="13">
        <v>3.05</v>
      </c>
      <c r="M516" s="14" t="s">
        <v>469</v>
      </c>
      <c r="N516" s="14" t="s">
        <v>461</v>
      </c>
      <c r="O516" s="4">
        <v>42867</v>
      </c>
    </row>
    <row r="517" spans="1:15">
      <c r="A517" s="7">
        <v>111792946</v>
      </c>
      <c r="B517" s="7">
        <v>4.45</v>
      </c>
      <c r="C517" s="18" t="s">
        <v>996</v>
      </c>
      <c r="D517" s="19" t="s">
        <v>876</v>
      </c>
      <c r="E517" s="20">
        <v>7.1232876712328766E-2</v>
      </c>
      <c r="F517" s="21">
        <v>4.5425000000000004</v>
      </c>
      <c r="G517" s="21">
        <v>-9.2500000000000249</v>
      </c>
      <c r="H517" s="21">
        <v>4.5716999999999999</v>
      </c>
      <c r="I517" s="21">
        <v>-2.9199999999999449</v>
      </c>
      <c r="J517" s="19" t="s">
        <v>12</v>
      </c>
      <c r="K517" s="19" t="s">
        <v>56</v>
      </c>
      <c r="L517" s="13">
        <v>4.45</v>
      </c>
      <c r="M517" s="14" t="s">
        <v>741</v>
      </c>
      <c r="N517" s="14" t="s">
        <v>738</v>
      </c>
      <c r="O517" s="4">
        <v>42867</v>
      </c>
    </row>
    <row r="518" spans="1:15">
      <c r="A518" s="7">
        <v>160218</v>
      </c>
      <c r="B518" s="7">
        <v>4.45</v>
      </c>
      <c r="C518" s="18" t="s">
        <v>617</v>
      </c>
      <c r="D518" s="19">
        <v>0</v>
      </c>
      <c r="E518" s="20">
        <v>4.580821917808219</v>
      </c>
      <c r="F518" s="21">
        <v>4.4470999999999998</v>
      </c>
      <c r="G518" s="21">
        <v>0.29000000000003467</v>
      </c>
      <c r="H518" s="21">
        <v>4.4459999999999997</v>
      </c>
      <c r="I518" s="21">
        <v>0.11000000000001009</v>
      </c>
      <c r="J518" s="19" t="s">
        <v>17</v>
      </c>
      <c r="K518" s="19" t="s">
        <v>19</v>
      </c>
      <c r="L518" s="13">
        <v>3.43</v>
      </c>
      <c r="M518" s="14" t="s">
        <v>611</v>
      </c>
      <c r="N518" s="14" t="s">
        <v>612</v>
      </c>
      <c r="O518" s="4">
        <v>42867</v>
      </c>
    </row>
    <row r="519" spans="1:15">
      <c r="A519" s="7">
        <v>160213</v>
      </c>
      <c r="B519" s="7">
        <v>4.45</v>
      </c>
      <c r="C519" s="18" t="s">
        <v>468</v>
      </c>
      <c r="D519" s="19">
        <v>0</v>
      </c>
      <c r="E519" s="20">
        <v>9.2958904109589042</v>
      </c>
      <c r="F519" s="21">
        <v>4.4457000000000004</v>
      </c>
      <c r="G519" s="21">
        <v>0.42999999999997485</v>
      </c>
      <c r="H519" s="21">
        <v>4.4912999999999998</v>
      </c>
      <c r="I519" s="21">
        <v>-4.5599999999999419</v>
      </c>
      <c r="J519" s="19" t="s">
        <v>17</v>
      </c>
      <c r="K519" s="19" t="s">
        <v>19</v>
      </c>
      <c r="L519" s="13">
        <v>3.05</v>
      </c>
      <c r="M519" s="14" t="s">
        <v>469</v>
      </c>
      <c r="N519" s="14" t="s">
        <v>461</v>
      </c>
      <c r="O519" s="4">
        <v>42867</v>
      </c>
    </row>
    <row r="520" spans="1:15">
      <c r="A520" s="7">
        <v>160213</v>
      </c>
      <c r="B520" s="7">
        <v>4.45</v>
      </c>
      <c r="C520" s="18" t="s">
        <v>468</v>
      </c>
      <c r="D520" s="19">
        <v>0</v>
      </c>
      <c r="E520" s="20">
        <v>9.2958904109589042</v>
      </c>
      <c r="F520" s="21">
        <v>4.4457000000000004</v>
      </c>
      <c r="G520" s="21">
        <v>0.42999999999997485</v>
      </c>
      <c r="H520" s="21">
        <v>4.4912999999999998</v>
      </c>
      <c r="I520" s="21">
        <v>-4.5599999999999419</v>
      </c>
      <c r="J520" s="19" t="s">
        <v>17</v>
      </c>
      <c r="K520" s="19" t="s">
        <v>19</v>
      </c>
      <c r="L520" s="13">
        <v>3.05</v>
      </c>
      <c r="M520" s="14" t="s">
        <v>469</v>
      </c>
      <c r="N520" s="14" t="s">
        <v>461</v>
      </c>
      <c r="O520" s="4">
        <v>42867</v>
      </c>
    </row>
    <row r="521" spans="1:15">
      <c r="A521" s="7">
        <v>160213</v>
      </c>
      <c r="B521" s="7">
        <v>4.45</v>
      </c>
      <c r="C521" s="18" t="s">
        <v>468</v>
      </c>
      <c r="D521" s="19">
        <v>0</v>
      </c>
      <c r="E521" s="20">
        <v>9.2958904109589042</v>
      </c>
      <c r="F521" s="21">
        <v>4.4457000000000004</v>
      </c>
      <c r="G521" s="21">
        <v>0.42999999999997485</v>
      </c>
      <c r="H521" s="21">
        <v>4.4912999999999998</v>
      </c>
      <c r="I521" s="21">
        <v>-4.5599999999999419</v>
      </c>
      <c r="J521" s="19" t="s">
        <v>17</v>
      </c>
      <c r="K521" s="19" t="s">
        <v>19</v>
      </c>
      <c r="L521" s="13">
        <v>3.05</v>
      </c>
      <c r="M521" s="14" t="s">
        <v>469</v>
      </c>
      <c r="N521" s="14" t="s">
        <v>461</v>
      </c>
      <c r="O521" s="4">
        <v>42867</v>
      </c>
    </row>
    <row r="522" spans="1:15">
      <c r="A522" s="7">
        <v>160213</v>
      </c>
      <c r="B522" s="7">
        <v>4.45</v>
      </c>
      <c r="C522" s="18" t="s">
        <v>468</v>
      </c>
      <c r="D522" s="19">
        <v>0</v>
      </c>
      <c r="E522" s="20">
        <v>9.2958904109589042</v>
      </c>
      <c r="F522" s="21">
        <v>4.4457000000000004</v>
      </c>
      <c r="G522" s="21">
        <v>0.42999999999997485</v>
      </c>
      <c r="H522" s="21">
        <v>4.4912999999999998</v>
      </c>
      <c r="I522" s="21">
        <v>-4.5599999999999419</v>
      </c>
      <c r="J522" s="19" t="s">
        <v>17</v>
      </c>
      <c r="K522" s="19" t="s">
        <v>19</v>
      </c>
      <c r="L522" s="13">
        <v>3.05</v>
      </c>
      <c r="M522" s="14" t="s">
        <v>469</v>
      </c>
      <c r="N522" s="14" t="s">
        <v>461</v>
      </c>
      <c r="O522" s="4">
        <v>42867</v>
      </c>
    </row>
    <row r="523" spans="1:15">
      <c r="A523" s="7">
        <v>160213</v>
      </c>
      <c r="B523" s="7">
        <v>4.45</v>
      </c>
      <c r="C523" s="18" t="s">
        <v>468</v>
      </c>
      <c r="D523" s="19">
        <v>0</v>
      </c>
      <c r="E523" s="20">
        <v>9.2958904109589042</v>
      </c>
      <c r="F523" s="21">
        <v>4.4457000000000004</v>
      </c>
      <c r="G523" s="21">
        <v>0.42999999999997485</v>
      </c>
      <c r="H523" s="21">
        <v>4.4912999999999998</v>
      </c>
      <c r="I523" s="21">
        <v>-4.5599999999999419</v>
      </c>
      <c r="J523" s="19" t="s">
        <v>17</v>
      </c>
      <c r="K523" s="19" t="s">
        <v>19</v>
      </c>
      <c r="L523" s="13">
        <v>3.05</v>
      </c>
      <c r="M523" s="14" t="s">
        <v>469</v>
      </c>
      <c r="N523" s="14" t="s">
        <v>461</v>
      </c>
      <c r="O523" s="4">
        <v>42867</v>
      </c>
    </row>
    <row r="524" spans="1:15">
      <c r="A524" s="7">
        <v>160213</v>
      </c>
      <c r="B524" s="7">
        <v>4.4450000000000003</v>
      </c>
      <c r="C524" s="18" t="s">
        <v>468</v>
      </c>
      <c r="D524" s="19">
        <v>0</v>
      </c>
      <c r="E524" s="20">
        <v>9.2958904109589042</v>
      </c>
      <c r="F524" s="21">
        <v>4.4457000000000004</v>
      </c>
      <c r="G524" s="21">
        <v>-7.0000000000014495E-2</v>
      </c>
      <c r="H524" s="21">
        <v>4.4912999999999998</v>
      </c>
      <c r="I524" s="21">
        <v>-4.5599999999999419</v>
      </c>
      <c r="J524" s="19" t="s">
        <v>17</v>
      </c>
      <c r="K524" s="19" t="s">
        <v>19</v>
      </c>
      <c r="L524" s="13">
        <v>3.05</v>
      </c>
      <c r="M524" s="14" t="s">
        <v>469</v>
      </c>
      <c r="N524" s="14" t="s">
        <v>461</v>
      </c>
      <c r="O524" s="4">
        <v>42867</v>
      </c>
    </row>
    <row r="525" spans="1:15">
      <c r="A525" s="7">
        <v>160213</v>
      </c>
      <c r="B525" s="7">
        <v>4.4450000000000003</v>
      </c>
      <c r="C525" s="18" t="s">
        <v>468</v>
      </c>
      <c r="D525" s="19">
        <v>0</v>
      </c>
      <c r="E525" s="20">
        <v>9.2958904109589042</v>
      </c>
      <c r="F525" s="21">
        <v>4.4457000000000004</v>
      </c>
      <c r="G525" s="21">
        <v>-7.0000000000014495E-2</v>
      </c>
      <c r="H525" s="21">
        <v>4.4912999999999998</v>
      </c>
      <c r="I525" s="21">
        <v>-4.5599999999999419</v>
      </c>
      <c r="J525" s="19" t="s">
        <v>17</v>
      </c>
      <c r="K525" s="19" t="s">
        <v>19</v>
      </c>
      <c r="L525" s="13">
        <v>3.05</v>
      </c>
      <c r="M525" s="14" t="s">
        <v>469</v>
      </c>
      <c r="N525" s="14" t="s">
        <v>461</v>
      </c>
      <c r="O525" s="4">
        <v>42867</v>
      </c>
    </row>
    <row r="526" spans="1:15">
      <c r="A526" s="7">
        <v>160213</v>
      </c>
      <c r="B526" s="7">
        <v>4.4450000000000003</v>
      </c>
      <c r="C526" s="18" t="s">
        <v>468</v>
      </c>
      <c r="D526" s="19">
        <v>0</v>
      </c>
      <c r="E526" s="20">
        <v>9.2958904109589042</v>
      </c>
      <c r="F526" s="21">
        <v>4.4457000000000004</v>
      </c>
      <c r="G526" s="21">
        <v>-7.0000000000014495E-2</v>
      </c>
      <c r="H526" s="21">
        <v>4.4912999999999998</v>
      </c>
      <c r="I526" s="21">
        <v>-4.5599999999999419</v>
      </c>
      <c r="J526" s="19" t="s">
        <v>17</v>
      </c>
      <c r="K526" s="19" t="s">
        <v>19</v>
      </c>
      <c r="L526" s="13">
        <v>3.05</v>
      </c>
      <c r="M526" s="14" t="s">
        <v>469</v>
      </c>
      <c r="N526" s="14" t="s">
        <v>461</v>
      </c>
      <c r="O526" s="4">
        <v>42867</v>
      </c>
    </row>
    <row r="527" spans="1:15">
      <c r="A527" s="7">
        <v>160213</v>
      </c>
      <c r="B527" s="7">
        <v>4.4450000000000003</v>
      </c>
      <c r="C527" s="18" t="s">
        <v>468</v>
      </c>
      <c r="D527" s="19">
        <v>0</v>
      </c>
      <c r="E527" s="20">
        <v>9.2958904109589042</v>
      </c>
      <c r="F527" s="21">
        <v>4.4457000000000004</v>
      </c>
      <c r="G527" s="21">
        <v>-7.0000000000014495E-2</v>
      </c>
      <c r="H527" s="21">
        <v>4.4912999999999998</v>
      </c>
      <c r="I527" s="21">
        <v>-4.5599999999999419</v>
      </c>
      <c r="J527" s="19" t="s">
        <v>17</v>
      </c>
      <c r="K527" s="19" t="s">
        <v>19</v>
      </c>
      <c r="L527" s="13">
        <v>3.05</v>
      </c>
      <c r="M527" s="14" t="s">
        <v>469</v>
      </c>
      <c r="N527" s="14" t="s">
        <v>461</v>
      </c>
      <c r="O527" s="4">
        <v>42867</v>
      </c>
    </row>
    <row r="528" spans="1:15">
      <c r="A528" s="7">
        <v>160213</v>
      </c>
      <c r="B528" s="7">
        <v>4.4450000000000003</v>
      </c>
      <c r="C528" s="18" t="s">
        <v>468</v>
      </c>
      <c r="D528" s="19">
        <v>0</v>
      </c>
      <c r="E528" s="20">
        <v>9.2958904109589042</v>
      </c>
      <c r="F528" s="21">
        <v>4.4457000000000004</v>
      </c>
      <c r="G528" s="21">
        <v>-7.0000000000014495E-2</v>
      </c>
      <c r="H528" s="21">
        <v>4.4912999999999998</v>
      </c>
      <c r="I528" s="21">
        <v>-4.5599999999999419</v>
      </c>
      <c r="J528" s="19" t="s">
        <v>17</v>
      </c>
      <c r="K528" s="19" t="s">
        <v>19</v>
      </c>
      <c r="L528" s="13">
        <v>3.05</v>
      </c>
      <c r="M528" s="14" t="s">
        <v>469</v>
      </c>
      <c r="N528" s="14" t="s">
        <v>461</v>
      </c>
      <c r="O528" s="4">
        <v>42867</v>
      </c>
    </row>
    <row r="529" spans="1:15">
      <c r="A529" s="7">
        <v>160213</v>
      </c>
      <c r="B529" s="7">
        <v>4.4450000000000003</v>
      </c>
      <c r="C529" s="18" t="s">
        <v>468</v>
      </c>
      <c r="D529" s="19">
        <v>0</v>
      </c>
      <c r="E529" s="20">
        <v>9.2958904109589042</v>
      </c>
      <c r="F529" s="21">
        <v>4.4457000000000004</v>
      </c>
      <c r="G529" s="21">
        <v>-7.0000000000014495E-2</v>
      </c>
      <c r="H529" s="21">
        <v>4.4912999999999998</v>
      </c>
      <c r="I529" s="21">
        <v>-4.5599999999999419</v>
      </c>
      <c r="J529" s="19" t="s">
        <v>17</v>
      </c>
      <c r="K529" s="19" t="s">
        <v>19</v>
      </c>
      <c r="L529" s="13">
        <v>3.05</v>
      </c>
      <c r="M529" s="14" t="s">
        <v>469</v>
      </c>
      <c r="N529" s="14" t="s">
        <v>461</v>
      </c>
      <c r="O529" s="4">
        <v>42867</v>
      </c>
    </row>
    <row r="530" spans="1:15">
      <c r="A530" s="7">
        <v>160213</v>
      </c>
      <c r="B530" s="7">
        <v>4.4450000000000003</v>
      </c>
      <c r="C530" s="18" t="s">
        <v>468</v>
      </c>
      <c r="D530" s="19">
        <v>0</v>
      </c>
      <c r="E530" s="20">
        <v>9.2958904109589042</v>
      </c>
      <c r="F530" s="21">
        <v>4.4457000000000004</v>
      </c>
      <c r="G530" s="21">
        <v>-7.0000000000014495E-2</v>
      </c>
      <c r="H530" s="21">
        <v>4.4912999999999998</v>
      </c>
      <c r="I530" s="21">
        <v>-4.5599999999999419</v>
      </c>
      <c r="J530" s="19" t="s">
        <v>17</v>
      </c>
      <c r="K530" s="19" t="s">
        <v>19</v>
      </c>
      <c r="L530" s="13">
        <v>3.05</v>
      </c>
      <c r="M530" s="14" t="s">
        <v>469</v>
      </c>
      <c r="N530" s="14" t="s">
        <v>461</v>
      </c>
      <c r="O530" s="4">
        <v>42867</v>
      </c>
    </row>
    <row r="531" spans="1:15">
      <c r="A531" s="7">
        <v>160213</v>
      </c>
      <c r="B531" s="7">
        <v>4.4450000000000003</v>
      </c>
      <c r="C531" s="18" t="s">
        <v>468</v>
      </c>
      <c r="D531" s="19">
        <v>0</v>
      </c>
      <c r="E531" s="20">
        <v>9.2958904109589042</v>
      </c>
      <c r="F531" s="21">
        <v>4.4457000000000004</v>
      </c>
      <c r="G531" s="21">
        <v>-7.0000000000014495E-2</v>
      </c>
      <c r="H531" s="21">
        <v>4.4912999999999998</v>
      </c>
      <c r="I531" s="21">
        <v>-4.5599999999999419</v>
      </c>
      <c r="J531" s="19" t="s">
        <v>17</v>
      </c>
      <c r="K531" s="19" t="s">
        <v>19</v>
      </c>
      <c r="L531" s="13">
        <v>3.05</v>
      </c>
      <c r="M531" s="14" t="s">
        <v>469</v>
      </c>
      <c r="N531" s="14" t="s">
        <v>461</v>
      </c>
      <c r="O531" s="4">
        <v>42867</v>
      </c>
    </row>
    <row r="532" spans="1:15">
      <c r="A532" s="7">
        <v>160213</v>
      </c>
      <c r="B532" s="7">
        <v>4.4450000000000003</v>
      </c>
      <c r="C532" s="18" t="s">
        <v>468</v>
      </c>
      <c r="D532" s="19">
        <v>0</v>
      </c>
      <c r="E532" s="20">
        <v>9.2958904109589042</v>
      </c>
      <c r="F532" s="21">
        <v>4.4457000000000004</v>
      </c>
      <c r="G532" s="21">
        <v>-7.0000000000014495E-2</v>
      </c>
      <c r="H532" s="21">
        <v>4.4912999999999998</v>
      </c>
      <c r="I532" s="21">
        <v>-4.5599999999999419</v>
      </c>
      <c r="J532" s="19" t="s">
        <v>17</v>
      </c>
      <c r="K532" s="19" t="s">
        <v>19</v>
      </c>
      <c r="L532" s="13">
        <v>3.05</v>
      </c>
      <c r="M532" s="14" t="s">
        <v>469</v>
      </c>
      <c r="N532" s="14" t="s">
        <v>461</v>
      </c>
      <c r="O532" s="4">
        <v>42867</v>
      </c>
    </row>
    <row r="533" spans="1:15">
      <c r="A533" s="7">
        <v>170206</v>
      </c>
      <c r="B533" s="7">
        <v>4.4400000000000004</v>
      </c>
      <c r="C533" s="18" t="s">
        <v>852</v>
      </c>
      <c r="D533" s="19">
        <v>0</v>
      </c>
      <c r="E533" s="20">
        <v>4.9369863013698634</v>
      </c>
      <c r="F533" s="21">
        <v>4.3773</v>
      </c>
      <c r="G533" s="21">
        <v>6.2700000000000422</v>
      </c>
      <c r="H533" s="21">
        <v>4.3998999999999997</v>
      </c>
      <c r="I533" s="21">
        <v>-2.2599999999999731</v>
      </c>
      <c r="J533" s="19" t="s">
        <v>17</v>
      </c>
      <c r="K533" s="19" t="s">
        <v>19</v>
      </c>
      <c r="L533" s="13">
        <v>4.0199999999999996</v>
      </c>
      <c r="M533" s="14" t="s">
        <v>845</v>
      </c>
      <c r="N533" s="14" t="s">
        <v>840</v>
      </c>
      <c r="O533" s="4">
        <v>42867</v>
      </c>
    </row>
    <row r="534" spans="1:15">
      <c r="A534" s="7">
        <v>160218</v>
      </c>
      <c r="B534" s="7">
        <v>4.4400000000000004</v>
      </c>
      <c r="C534" s="18" t="s">
        <v>617</v>
      </c>
      <c r="D534" s="19">
        <v>0</v>
      </c>
      <c r="E534" s="20">
        <v>4.580821917808219</v>
      </c>
      <c r="F534" s="21">
        <v>4.4470999999999998</v>
      </c>
      <c r="G534" s="21">
        <v>-0.70999999999994401</v>
      </c>
      <c r="H534" s="21">
        <v>4.4459999999999997</v>
      </c>
      <c r="I534" s="21">
        <v>0.11000000000001009</v>
      </c>
      <c r="J534" s="19" t="s">
        <v>17</v>
      </c>
      <c r="K534" s="19" t="s">
        <v>19</v>
      </c>
      <c r="L534" s="13">
        <v>3.43</v>
      </c>
      <c r="M534" s="14" t="s">
        <v>611</v>
      </c>
      <c r="N534" s="14" t="s">
        <v>612</v>
      </c>
      <c r="O534" s="4">
        <v>42867</v>
      </c>
    </row>
    <row r="535" spans="1:15">
      <c r="A535" s="7">
        <v>160213</v>
      </c>
      <c r="B535" s="7">
        <v>4.4400000000000004</v>
      </c>
      <c r="C535" s="18" t="s">
        <v>468</v>
      </c>
      <c r="D535" s="19">
        <v>0</v>
      </c>
      <c r="E535" s="20">
        <v>9.2958904109589042</v>
      </c>
      <c r="F535" s="21">
        <v>4.4457000000000004</v>
      </c>
      <c r="G535" s="21">
        <v>-0.57000000000000384</v>
      </c>
      <c r="H535" s="21">
        <v>4.4912999999999998</v>
      </c>
      <c r="I535" s="21">
        <v>-4.5599999999999419</v>
      </c>
      <c r="J535" s="19" t="s">
        <v>17</v>
      </c>
      <c r="K535" s="19" t="s">
        <v>19</v>
      </c>
      <c r="L535" s="13">
        <v>3.05</v>
      </c>
      <c r="M535" s="14" t="s">
        <v>469</v>
      </c>
      <c r="N535" s="14" t="s">
        <v>461</v>
      </c>
      <c r="O535" s="4">
        <v>42867</v>
      </c>
    </row>
    <row r="536" spans="1:15">
      <c r="A536" s="7">
        <v>160213</v>
      </c>
      <c r="B536" s="7">
        <v>4.4400000000000004</v>
      </c>
      <c r="C536" s="18" t="s">
        <v>468</v>
      </c>
      <c r="D536" s="19">
        <v>0</v>
      </c>
      <c r="E536" s="20">
        <v>9.2958904109589042</v>
      </c>
      <c r="F536" s="21">
        <v>4.4457000000000004</v>
      </c>
      <c r="G536" s="21">
        <v>-0.57000000000000384</v>
      </c>
      <c r="H536" s="21">
        <v>4.4912999999999998</v>
      </c>
      <c r="I536" s="21">
        <v>-4.5599999999999419</v>
      </c>
      <c r="J536" s="19" t="s">
        <v>17</v>
      </c>
      <c r="K536" s="19" t="s">
        <v>19</v>
      </c>
      <c r="L536" s="13">
        <v>3.05</v>
      </c>
      <c r="M536" s="14" t="s">
        <v>469</v>
      </c>
      <c r="N536" s="14" t="s">
        <v>461</v>
      </c>
      <c r="O536" s="4">
        <v>42867</v>
      </c>
    </row>
    <row r="537" spans="1:15">
      <c r="A537" s="7">
        <v>160213</v>
      </c>
      <c r="B537" s="7">
        <v>4.4400000000000004</v>
      </c>
      <c r="C537" s="18" t="s">
        <v>468</v>
      </c>
      <c r="D537" s="19">
        <v>0</v>
      </c>
      <c r="E537" s="20">
        <v>9.2958904109589042</v>
      </c>
      <c r="F537" s="21">
        <v>4.4457000000000004</v>
      </c>
      <c r="G537" s="21">
        <v>-0.57000000000000384</v>
      </c>
      <c r="H537" s="21">
        <v>4.4912999999999998</v>
      </c>
      <c r="I537" s="21">
        <v>-4.5599999999999419</v>
      </c>
      <c r="J537" s="19" t="s">
        <v>17</v>
      </c>
      <c r="K537" s="19" t="s">
        <v>19</v>
      </c>
      <c r="L537" s="13">
        <v>3.05</v>
      </c>
      <c r="M537" s="14" t="s">
        <v>469</v>
      </c>
      <c r="N537" s="14" t="s">
        <v>461</v>
      </c>
      <c r="O537" s="4">
        <v>42867</v>
      </c>
    </row>
    <row r="538" spans="1:15">
      <c r="A538" s="7">
        <v>160213</v>
      </c>
      <c r="B538" s="7">
        <v>4.4400000000000004</v>
      </c>
      <c r="C538" s="18" t="s">
        <v>468</v>
      </c>
      <c r="D538" s="19">
        <v>0</v>
      </c>
      <c r="E538" s="20">
        <v>9.2958904109589042</v>
      </c>
      <c r="F538" s="21">
        <v>4.4457000000000004</v>
      </c>
      <c r="G538" s="21">
        <v>-0.57000000000000384</v>
      </c>
      <c r="H538" s="21">
        <v>4.4912999999999998</v>
      </c>
      <c r="I538" s="21">
        <v>-4.5599999999999419</v>
      </c>
      <c r="J538" s="19" t="s">
        <v>17</v>
      </c>
      <c r="K538" s="19" t="s">
        <v>19</v>
      </c>
      <c r="L538" s="13">
        <v>3.05</v>
      </c>
      <c r="M538" s="14" t="s">
        <v>469</v>
      </c>
      <c r="N538" s="14" t="s">
        <v>461</v>
      </c>
      <c r="O538" s="4">
        <v>42867</v>
      </c>
    </row>
    <row r="539" spans="1:15">
      <c r="A539" s="7">
        <v>160213</v>
      </c>
      <c r="B539" s="7">
        <v>4.4400000000000004</v>
      </c>
      <c r="C539" s="18" t="s">
        <v>468</v>
      </c>
      <c r="D539" s="19">
        <v>0</v>
      </c>
      <c r="E539" s="20">
        <v>9.2958904109589042</v>
      </c>
      <c r="F539" s="21">
        <v>4.4457000000000004</v>
      </c>
      <c r="G539" s="21">
        <v>-0.57000000000000384</v>
      </c>
      <c r="H539" s="21">
        <v>4.4912999999999998</v>
      </c>
      <c r="I539" s="21">
        <v>-4.5599999999999419</v>
      </c>
      <c r="J539" s="19" t="s">
        <v>17</v>
      </c>
      <c r="K539" s="19" t="s">
        <v>19</v>
      </c>
      <c r="L539" s="13">
        <v>3.05</v>
      </c>
      <c r="M539" s="14" t="s">
        <v>469</v>
      </c>
      <c r="N539" s="14" t="s">
        <v>461</v>
      </c>
      <c r="O539" s="4">
        <v>42867</v>
      </c>
    </row>
    <row r="540" spans="1:15">
      <c r="A540" s="7">
        <v>160213</v>
      </c>
      <c r="B540" s="7">
        <v>4.4400000000000004</v>
      </c>
      <c r="C540" s="18" t="s">
        <v>468</v>
      </c>
      <c r="D540" s="19">
        <v>0</v>
      </c>
      <c r="E540" s="20">
        <v>9.2958904109589042</v>
      </c>
      <c r="F540" s="21">
        <v>4.4457000000000004</v>
      </c>
      <c r="G540" s="21">
        <v>-0.57000000000000384</v>
      </c>
      <c r="H540" s="21">
        <v>4.4912999999999998</v>
      </c>
      <c r="I540" s="21">
        <v>-4.5599999999999419</v>
      </c>
      <c r="J540" s="19" t="s">
        <v>17</v>
      </c>
      <c r="K540" s="19" t="s">
        <v>19</v>
      </c>
      <c r="L540" s="13">
        <v>3.05</v>
      </c>
      <c r="M540" s="14" t="s">
        <v>469</v>
      </c>
      <c r="N540" s="14" t="s">
        <v>461</v>
      </c>
      <c r="O540" s="4">
        <v>42867</v>
      </c>
    </row>
    <row r="541" spans="1:15">
      <c r="A541" s="7">
        <v>160213</v>
      </c>
      <c r="B541" s="7">
        <v>4.4400000000000004</v>
      </c>
      <c r="C541" s="18" t="s">
        <v>468</v>
      </c>
      <c r="D541" s="19">
        <v>0</v>
      </c>
      <c r="E541" s="20">
        <v>9.2958904109589042</v>
      </c>
      <c r="F541" s="21">
        <v>4.4457000000000004</v>
      </c>
      <c r="G541" s="21">
        <v>-0.57000000000000384</v>
      </c>
      <c r="H541" s="21">
        <v>4.4912999999999998</v>
      </c>
      <c r="I541" s="21">
        <v>-4.5599999999999419</v>
      </c>
      <c r="J541" s="19" t="s">
        <v>17</v>
      </c>
      <c r="K541" s="19" t="s">
        <v>19</v>
      </c>
      <c r="L541" s="13">
        <v>3.05</v>
      </c>
      <c r="M541" s="14" t="s">
        <v>469</v>
      </c>
      <c r="N541" s="14" t="s">
        <v>461</v>
      </c>
      <c r="O541" s="4">
        <v>42867</v>
      </c>
    </row>
    <row r="542" spans="1:15">
      <c r="A542" s="7">
        <v>160213</v>
      </c>
      <c r="B542" s="7">
        <v>4.4400000000000004</v>
      </c>
      <c r="C542" s="18" t="s">
        <v>468</v>
      </c>
      <c r="D542" s="19">
        <v>0</v>
      </c>
      <c r="E542" s="20">
        <v>9.2958904109589042</v>
      </c>
      <c r="F542" s="21">
        <v>4.4457000000000004</v>
      </c>
      <c r="G542" s="21">
        <v>-0.57000000000000384</v>
      </c>
      <c r="H542" s="21">
        <v>4.4912999999999998</v>
      </c>
      <c r="I542" s="21">
        <v>-4.5599999999999419</v>
      </c>
      <c r="J542" s="19" t="s">
        <v>17</v>
      </c>
      <c r="K542" s="19" t="s">
        <v>19</v>
      </c>
      <c r="L542" s="13">
        <v>3.05</v>
      </c>
      <c r="M542" s="14" t="s">
        <v>469</v>
      </c>
      <c r="N542" s="14" t="s">
        <v>461</v>
      </c>
      <c r="O542" s="4">
        <v>42867</v>
      </c>
    </row>
    <row r="543" spans="1:15">
      <c r="A543" s="7">
        <v>160213</v>
      </c>
      <c r="B543" s="7">
        <v>4.4375</v>
      </c>
      <c r="C543" s="18" t="s">
        <v>468</v>
      </c>
      <c r="D543" s="19">
        <v>0</v>
      </c>
      <c r="E543" s="20">
        <v>9.2958904109589042</v>
      </c>
      <c r="F543" s="21">
        <v>4.4457000000000004</v>
      </c>
      <c r="G543" s="21">
        <v>-0.82000000000004292</v>
      </c>
      <c r="H543" s="21">
        <v>4.4912999999999998</v>
      </c>
      <c r="I543" s="21">
        <v>-4.5599999999999419</v>
      </c>
      <c r="J543" s="19" t="s">
        <v>17</v>
      </c>
      <c r="K543" s="19" t="s">
        <v>19</v>
      </c>
      <c r="L543" s="13">
        <v>3.05</v>
      </c>
      <c r="M543" s="14" t="s">
        <v>469</v>
      </c>
      <c r="N543" s="14" t="s">
        <v>461</v>
      </c>
      <c r="O543" s="4">
        <v>42867</v>
      </c>
    </row>
    <row r="544" spans="1:15">
      <c r="A544" s="7">
        <v>160213</v>
      </c>
      <c r="B544" s="7">
        <v>4.4375</v>
      </c>
      <c r="C544" s="18" t="s">
        <v>468</v>
      </c>
      <c r="D544" s="19">
        <v>0</v>
      </c>
      <c r="E544" s="20">
        <v>9.2958904109589042</v>
      </c>
      <c r="F544" s="21">
        <v>4.4457000000000004</v>
      </c>
      <c r="G544" s="21">
        <v>-0.82000000000004292</v>
      </c>
      <c r="H544" s="21">
        <v>4.4912999999999998</v>
      </c>
      <c r="I544" s="21">
        <v>-4.5599999999999419</v>
      </c>
      <c r="J544" s="19" t="s">
        <v>17</v>
      </c>
      <c r="K544" s="19" t="s">
        <v>19</v>
      </c>
      <c r="L544" s="13">
        <v>3.05</v>
      </c>
      <c r="M544" s="14" t="s">
        <v>469</v>
      </c>
      <c r="N544" s="14" t="s">
        <v>461</v>
      </c>
      <c r="O544" s="4">
        <v>42867</v>
      </c>
    </row>
    <row r="545" spans="1:15">
      <c r="A545" s="7">
        <v>160213</v>
      </c>
      <c r="B545" s="7">
        <v>4.4375</v>
      </c>
      <c r="C545" s="18" t="s">
        <v>468</v>
      </c>
      <c r="D545" s="19">
        <v>0</v>
      </c>
      <c r="E545" s="20">
        <v>9.2958904109589042</v>
      </c>
      <c r="F545" s="21">
        <v>4.4457000000000004</v>
      </c>
      <c r="G545" s="21">
        <v>-0.82000000000004292</v>
      </c>
      <c r="H545" s="21">
        <v>4.4912999999999998</v>
      </c>
      <c r="I545" s="21">
        <v>-4.5599999999999419</v>
      </c>
      <c r="J545" s="19" t="s">
        <v>17</v>
      </c>
      <c r="K545" s="19" t="s">
        <v>19</v>
      </c>
      <c r="L545" s="13">
        <v>3.05</v>
      </c>
      <c r="M545" s="14" t="s">
        <v>469</v>
      </c>
      <c r="N545" s="14" t="s">
        <v>461</v>
      </c>
      <c r="O545" s="4">
        <v>42867</v>
      </c>
    </row>
    <row r="546" spans="1:15">
      <c r="A546" s="7">
        <v>160213</v>
      </c>
      <c r="B546" s="7">
        <v>4.4349999999999996</v>
      </c>
      <c r="C546" s="18" t="s">
        <v>468</v>
      </c>
      <c r="D546" s="19">
        <v>0</v>
      </c>
      <c r="E546" s="20">
        <v>9.2958904109589042</v>
      </c>
      <c r="F546" s="21">
        <v>4.4457000000000004</v>
      </c>
      <c r="G546" s="21">
        <v>-1.070000000000082</v>
      </c>
      <c r="H546" s="21">
        <v>4.4912999999999998</v>
      </c>
      <c r="I546" s="21">
        <v>-4.5599999999999419</v>
      </c>
      <c r="J546" s="19" t="s">
        <v>17</v>
      </c>
      <c r="K546" s="19" t="s">
        <v>19</v>
      </c>
      <c r="L546" s="13">
        <v>3.05</v>
      </c>
      <c r="M546" s="14" t="s">
        <v>469</v>
      </c>
      <c r="N546" s="14" t="s">
        <v>461</v>
      </c>
      <c r="O546" s="4">
        <v>42867</v>
      </c>
    </row>
    <row r="547" spans="1:15">
      <c r="A547" s="7">
        <v>160213</v>
      </c>
      <c r="B547" s="7">
        <v>4.4349999999999996</v>
      </c>
      <c r="C547" s="18" t="s">
        <v>468</v>
      </c>
      <c r="D547" s="19">
        <v>0</v>
      </c>
      <c r="E547" s="20">
        <v>9.2958904109589042</v>
      </c>
      <c r="F547" s="21">
        <v>4.4457000000000004</v>
      </c>
      <c r="G547" s="21">
        <v>-1.070000000000082</v>
      </c>
      <c r="H547" s="21">
        <v>4.4912999999999998</v>
      </c>
      <c r="I547" s="21">
        <v>-4.5599999999999419</v>
      </c>
      <c r="J547" s="19" t="s">
        <v>17</v>
      </c>
      <c r="K547" s="19" t="s">
        <v>19</v>
      </c>
      <c r="L547" s="13">
        <v>3.05</v>
      </c>
      <c r="M547" s="14" t="s">
        <v>469</v>
      </c>
      <c r="N547" s="14" t="s">
        <v>461</v>
      </c>
      <c r="O547" s="4">
        <v>42867</v>
      </c>
    </row>
    <row r="548" spans="1:15">
      <c r="A548" s="7">
        <v>160213</v>
      </c>
      <c r="B548" s="7">
        <v>4.4349999999999996</v>
      </c>
      <c r="C548" s="18" t="s">
        <v>468</v>
      </c>
      <c r="D548" s="19">
        <v>0</v>
      </c>
      <c r="E548" s="20">
        <v>9.2958904109589042</v>
      </c>
      <c r="F548" s="21">
        <v>4.4457000000000004</v>
      </c>
      <c r="G548" s="21">
        <v>-1.070000000000082</v>
      </c>
      <c r="H548" s="21">
        <v>4.4912999999999998</v>
      </c>
      <c r="I548" s="21">
        <v>-4.5599999999999419</v>
      </c>
      <c r="J548" s="19" t="s">
        <v>17</v>
      </c>
      <c r="K548" s="19" t="s">
        <v>19</v>
      </c>
      <c r="L548" s="13">
        <v>3.05</v>
      </c>
      <c r="M548" s="14" t="s">
        <v>469</v>
      </c>
      <c r="N548" s="14" t="s">
        <v>461</v>
      </c>
      <c r="O548" s="4">
        <v>42867</v>
      </c>
    </row>
    <row r="549" spans="1:15">
      <c r="A549" s="7">
        <v>170206</v>
      </c>
      <c r="B549" s="7">
        <v>4.43</v>
      </c>
      <c r="C549" s="18" t="s">
        <v>852</v>
      </c>
      <c r="D549" s="19">
        <v>0</v>
      </c>
      <c r="E549" s="20">
        <v>4.9369863013698634</v>
      </c>
      <c r="F549" s="21">
        <v>4.3773</v>
      </c>
      <c r="G549" s="21">
        <v>5.2699999999999747</v>
      </c>
      <c r="H549" s="21">
        <v>4.3998999999999997</v>
      </c>
      <c r="I549" s="21">
        <v>-2.2599999999999731</v>
      </c>
      <c r="J549" s="19" t="s">
        <v>17</v>
      </c>
      <c r="K549" s="19" t="s">
        <v>19</v>
      </c>
      <c r="L549" s="13">
        <v>4.0199999999999996</v>
      </c>
      <c r="M549" s="14" t="s">
        <v>845</v>
      </c>
      <c r="N549" s="14" t="s">
        <v>840</v>
      </c>
      <c r="O549" s="4">
        <v>42867</v>
      </c>
    </row>
    <row r="550" spans="1:15">
      <c r="A550" s="7">
        <v>160218</v>
      </c>
      <c r="B550" s="7">
        <v>4.43</v>
      </c>
      <c r="C550" s="18" t="s">
        <v>617</v>
      </c>
      <c r="D550" s="19">
        <v>0</v>
      </c>
      <c r="E550" s="20">
        <v>4.580821917808219</v>
      </c>
      <c r="F550" s="21">
        <v>4.4470999999999998</v>
      </c>
      <c r="G550" s="21">
        <v>-1.7100000000000115</v>
      </c>
      <c r="H550" s="21">
        <v>4.4459999999999997</v>
      </c>
      <c r="I550" s="21">
        <v>0.11000000000001009</v>
      </c>
      <c r="J550" s="19" t="s">
        <v>17</v>
      </c>
      <c r="K550" s="19" t="s">
        <v>19</v>
      </c>
      <c r="L550" s="13">
        <v>3.43</v>
      </c>
      <c r="M550" s="14" t="s">
        <v>611</v>
      </c>
      <c r="N550" s="14" t="s">
        <v>612</v>
      </c>
      <c r="O550" s="4">
        <v>42867</v>
      </c>
    </row>
    <row r="551" spans="1:15">
      <c r="A551" s="7">
        <v>160218</v>
      </c>
      <c r="B551" s="7">
        <v>4.43</v>
      </c>
      <c r="C551" s="18" t="s">
        <v>617</v>
      </c>
      <c r="D551" s="19">
        <v>0</v>
      </c>
      <c r="E551" s="20">
        <v>4.580821917808219</v>
      </c>
      <c r="F551" s="21">
        <v>4.4470999999999998</v>
      </c>
      <c r="G551" s="21">
        <v>-1.7100000000000115</v>
      </c>
      <c r="H551" s="21">
        <v>4.4459999999999997</v>
      </c>
      <c r="I551" s="21">
        <v>0.11000000000001009</v>
      </c>
      <c r="J551" s="19" t="s">
        <v>17</v>
      </c>
      <c r="K551" s="19" t="s">
        <v>19</v>
      </c>
      <c r="L551" s="13">
        <v>3.43</v>
      </c>
      <c r="M551" s="14" t="s">
        <v>611</v>
      </c>
      <c r="N551" s="14" t="s">
        <v>612</v>
      </c>
      <c r="O551" s="4">
        <v>42867</v>
      </c>
    </row>
    <row r="552" spans="1:15">
      <c r="A552" s="7">
        <v>160213</v>
      </c>
      <c r="B552" s="7">
        <v>4.43</v>
      </c>
      <c r="C552" s="18" t="s">
        <v>468</v>
      </c>
      <c r="D552" s="19">
        <v>0</v>
      </c>
      <c r="E552" s="20">
        <v>9.2958904109589042</v>
      </c>
      <c r="F552" s="21">
        <v>4.4457000000000004</v>
      </c>
      <c r="G552" s="21">
        <v>-1.5700000000000713</v>
      </c>
      <c r="H552" s="21">
        <v>4.4912999999999998</v>
      </c>
      <c r="I552" s="21">
        <v>-4.5599999999999419</v>
      </c>
      <c r="J552" s="19" t="s">
        <v>17</v>
      </c>
      <c r="K552" s="19" t="s">
        <v>19</v>
      </c>
      <c r="L552" s="13">
        <v>3.05</v>
      </c>
      <c r="M552" s="14" t="s">
        <v>469</v>
      </c>
      <c r="N552" s="14" t="s">
        <v>461</v>
      </c>
      <c r="O552" s="4">
        <v>42867</v>
      </c>
    </row>
    <row r="553" spans="1:15">
      <c r="A553" s="7">
        <v>160213</v>
      </c>
      <c r="B553" s="7">
        <v>4.43</v>
      </c>
      <c r="C553" s="18" t="s">
        <v>468</v>
      </c>
      <c r="D553" s="19">
        <v>0</v>
      </c>
      <c r="E553" s="20">
        <v>9.2958904109589042</v>
      </c>
      <c r="F553" s="21">
        <v>4.4457000000000004</v>
      </c>
      <c r="G553" s="21">
        <v>-1.5700000000000713</v>
      </c>
      <c r="H553" s="21">
        <v>4.4912999999999998</v>
      </c>
      <c r="I553" s="21">
        <v>-4.5599999999999419</v>
      </c>
      <c r="J553" s="19" t="s">
        <v>17</v>
      </c>
      <c r="K553" s="19" t="s">
        <v>19</v>
      </c>
      <c r="L553" s="13">
        <v>3.05</v>
      </c>
      <c r="M553" s="14" t="s">
        <v>469</v>
      </c>
      <c r="N553" s="14" t="s">
        <v>461</v>
      </c>
      <c r="O553" s="4">
        <v>42867</v>
      </c>
    </row>
    <row r="554" spans="1:15">
      <c r="A554" s="7">
        <v>160213</v>
      </c>
      <c r="B554" s="7">
        <v>4.43</v>
      </c>
      <c r="C554" s="18" t="s">
        <v>468</v>
      </c>
      <c r="D554" s="19">
        <v>0</v>
      </c>
      <c r="E554" s="20">
        <v>9.2958904109589042</v>
      </c>
      <c r="F554" s="21">
        <v>4.4457000000000004</v>
      </c>
      <c r="G554" s="21">
        <v>-1.5700000000000713</v>
      </c>
      <c r="H554" s="21">
        <v>4.4912999999999998</v>
      </c>
      <c r="I554" s="21">
        <v>-4.5599999999999419</v>
      </c>
      <c r="J554" s="19" t="s">
        <v>17</v>
      </c>
      <c r="K554" s="19" t="s">
        <v>19</v>
      </c>
      <c r="L554" s="13">
        <v>3.05</v>
      </c>
      <c r="M554" s="14" t="s">
        <v>469</v>
      </c>
      <c r="N554" s="14" t="s">
        <v>461</v>
      </c>
      <c r="O554" s="4">
        <v>42867</v>
      </c>
    </row>
    <row r="555" spans="1:15">
      <c r="A555" s="7">
        <v>160213</v>
      </c>
      <c r="B555" s="7">
        <v>4.43</v>
      </c>
      <c r="C555" s="18" t="s">
        <v>468</v>
      </c>
      <c r="D555" s="19">
        <v>0</v>
      </c>
      <c r="E555" s="20">
        <v>9.2958904109589042</v>
      </c>
      <c r="F555" s="21">
        <v>4.4457000000000004</v>
      </c>
      <c r="G555" s="21">
        <v>-1.5700000000000713</v>
      </c>
      <c r="H555" s="21">
        <v>4.4912999999999998</v>
      </c>
      <c r="I555" s="21">
        <v>-4.5599999999999419</v>
      </c>
      <c r="J555" s="19" t="s">
        <v>17</v>
      </c>
      <c r="K555" s="19" t="s">
        <v>19</v>
      </c>
      <c r="L555" s="13">
        <v>3.05</v>
      </c>
      <c r="M555" s="14" t="s">
        <v>469</v>
      </c>
      <c r="N555" s="14" t="s">
        <v>461</v>
      </c>
      <c r="O555" s="4">
        <v>42867</v>
      </c>
    </row>
    <row r="556" spans="1:15">
      <c r="A556" s="7">
        <v>160206</v>
      </c>
      <c r="B556" s="7">
        <v>4.43</v>
      </c>
      <c r="C556" s="18" t="s">
        <v>131</v>
      </c>
      <c r="D556" s="19">
        <v>0</v>
      </c>
      <c r="E556" s="20">
        <v>3.7780821917808218</v>
      </c>
      <c r="F556" s="21">
        <v>4.4044999999999996</v>
      </c>
      <c r="G556" s="21">
        <v>2.5500000000000078</v>
      </c>
      <c r="H556" s="21">
        <v>4.3906999999999998</v>
      </c>
      <c r="I556" s="21">
        <v>1.3799999999999812</v>
      </c>
      <c r="J556" s="19" t="s">
        <v>17</v>
      </c>
      <c r="K556" s="19" t="s">
        <v>19</v>
      </c>
      <c r="L556" s="13">
        <v>2.96</v>
      </c>
      <c r="M556" s="14" t="s">
        <v>132</v>
      </c>
      <c r="N556" s="14" t="s">
        <v>360</v>
      </c>
      <c r="O556" s="4">
        <v>42867</v>
      </c>
    </row>
    <row r="557" spans="1:15">
      <c r="A557" s="7">
        <v>170206</v>
      </c>
      <c r="B557" s="7">
        <v>4.42</v>
      </c>
      <c r="C557" s="18" t="s">
        <v>852</v>
      </c>
      <c r="D557" s="19">
        <v>0</v>
      </c>
      <c r="E557" s="20">
        <v>4.9369863013698634</v>
      </c>
      <c r="F557" s="21">
        <v>4.3773</v>
      </c>
      <c r="G557" s="21">
        <v>4.269999999999996</v>
      </c>
      <c r="H557" s="21">
        <v>4.3998999999999997</v>
      </c>
      <c r="I557" s="21">
        <v>-2.2599999999999731</v>
      </c>
      <c r="J557" s="19" t="s">
        <v>17</v>
      </c>
      <c r="K557" s="19" t="s">
        <v>19</v>
      </c>
      <c r="L557" s="13">
        <v>4.0199999999999996</v>
      </c>
      <c r="M557" s="14" t="s">
        <v>845</v>
      </c>
      <c r="N557" s="14" t="s">
        <v>840</v>
      </c>
      <c r="O557" s="4">
        <v>42867</v>
      </c>
    </row>
    <row r="558" spans="1:15">
      <c r="A558" s="7">
        <v>170206</v>
      </c>
      <c r="B558" s="7">
        <v>4.42</v>
      </c>
      <c r="C558" s="18" t="s">
        <v>852</v>
      </c>
      <c r="D558" s="19">
        <v>0</v>
      </c>
      <c r="E558" s="20">
        <v>4.9369863013698634</v>
      </c>
      <c r="F558" s="21">
        <v>4.3773</v>
      </c>
      <c r="G558" s="21">
        <v>4.269999999999996</v>
      </c>
      <c r="H558" s="21">
        <v>4.3998999999999997</v>
      </c>
      <c r="I558" s="21">
        <v>-2.2599999999999731</v>
      </c>
      <c r="J558" s="19" t="s">
        <v>17</v>
      </c>
      <c r="K558" s="19" t="s">
        <v>19</v>
      </c>
      <c r="L558" s="13">
        <v>4.0199999999999996</v>
      </c>
      <c r="M558" s="14" t="s">
        <v>845</v>
      </c>
      <c r="N558" s="14" t="s">
        <v>840</v>
      </c>
      <c r="O558" s="4">
        <v>42867</v>
      </c>
    </row>
    <row r="559" spans="1:15">
      <c r="A559" s="7">
        <v>160206</v>
      </c>
      <c r="B559" s="7">
        <v>4.42</v>
      </c>
      <c r="C559" s="18" t="s">
        <v>131</v>
      </c>
      <c r="D559" s="19">
        <v>0</v>
      </c>
      <c r="E559" s="20">
        <v>3.7780821917808218</v>
      </c>
      <c r="F559" s="21">
        <v>4.4044999999999996</v>
      </c>
      <c r="G559" s="21">
        <v>1.5500000000000291</v>
      </c>
      <c r="H559" s="21">
        <v>4.3906999999999998</v>
      </c>
      <c r="I559" s="21">
        <v>1.3799999999999812</v>
      </c>
      <c r="J559" s="19" t="s">
        <v>17</v>
      </c>
      <c r="K559" s="19" t="s">
        <v>19</v>
      </c>
      <c r="L559" s="13">
        <v>2.96</v>
      </c>
      <c r="M559" s="14" t="s">
        <v>132</v>
      </c>
      <c r="N559" s="14" t="s">
        <v>360</v>
      </c>
      <c r="O559" s="4">
        <v>42867</v>
      </c>
    </row>
    <row r="560" spans="1:15">
      <c r="A560" s="7">
        <v>160206</v>
      </c>
      <c r="B560" s="7">
        <v>4.42</v>
      </c>
      <c r="C560" s="18" t="s">
        <v>131</v>
      </c>
      <c r="D560" s="19">
        <v>0</v>
      </c>
      <c r="E560" s="20">
        <v>3.7780821917808218</v>
      </c>
      <c r="F560" s="21">
        <v>4.4044999999999996</v>
      </c>
      <c r="G560" s="21">
        <v>1.5500000000000291</v>
      </c>
      <c r="H560" s="21">
        <v>4.3906999999999998</v>
      </c>
      <c r="I560" s="21">
        <v>1.3799999999999812</v>
      </c>
      <c r="J560" s="19" t="s">
        <v>17</v>
      </c>
      <c r="K560" s="19" t="s">
        <v>19</v>
      </c>
      <c r="L560" s="13">
        <v>2.96</v>
      </c>
      <c r="M560" s="14" t="s">
        <v>132</v>
      </c>
      <c r="N560" s="14" t="s">
        <v>360</v>
      </c>
      <c r="O560" s="4">
        <v>42867</v>
      </c>
    </row>
    <row r="561" spans="1:15">
      <c r="A561" s="7">
        <v>160206</v>
      </c>
      <c r="B561" s="7">
        <v>4.42</v>
      </c>
      <c r="C561" s="18" t="s">
        <v>131</v>
      </c>
      <c r="D561" s="19">
        <v>0</v>
      </c>
      <c r="E561" s="20">
        <v>3.7780821917808218</v>
      </c>
      <c r="F561" s="21">
        <v>4.4044999999999996</v>
      </c>
      <c r="G561" s="21">
        <v>1.5500000000000291</v>
      </c>
      <c r="H561" s="21">
        <v>4.3906999999999998</v>
      </c>
      <c r="I561" s="21">
        <v>1.3799999999999812</v>
      </c>
      <c r="J561" s="19" t="s">
        <v>17</v>
      </c>
      <c r="K561" s="19" t="s">
        <v>19</v>
      </c>
      <c r="L561" s="13">
        <v>2.96</v>
      </c>
      <c r="M561" s="14" t="s">
        <v>132</v>
      </c>
      <c r="N561" s="14" t="s">
        <v>360</v>
      </c>
      <c r="O561" s="4">
        <v>42867</v>
      </c>
    </row>
    <row r="562" spans="1:15">
      <c r="A562" s="7">
        <v>170206</v>
      </c>
      <c r="B562" s="7">
        <v>4.41</v>
      </c>
      <c r="C562" s="18" t="s">
        <v>852</v>
      </c>
      <c r="D562" s="19">
        <v>0</v>
      </c>
      <c r="E562" s="20">
        <v>4.9369863013698634</v>
      </c>
      <c r="F562" s="21">
        <v>4.3773</v>
      </c>
      <c r="G562" s="21">
        <v>3.2700000000000173</v>
      </c>
      <c r="H562" s="21">
        <v>4.3998999999999997</v>
      </c>
      <c r="I562" s="21">
        <v>-2.2599999999999731</v>
      </c>
      <c r="J562" s="19" t="s">
        <v>17</v>
      </c>
      <c r="K562" s="19" t="s">
        <v>19</v>
      </c>
      <c r="L562" s="13">
        <v>4.0199999999999996</v>
      </c>
      <c r="M562" s="14" t="s">
        <v>845</v>
      </c>
      <c r="N562" s="14" t="s">
        <v>840</v>
      </c>
      <c r="O562" s="4">
        <v>42867</v>
      </c>
    </row>
    <row r="563" spans="1:15">
      <c r="A563" s="7">
        <v>170206</v>
      </c>
      <c r="B563" s="7">
        <v>4.41</v>
      </c>
      <c r="C563" s="18" t="s">
        <v>852</v>
      </c>
      <c r="D563" s="19">
        <v>0</v>
      </c>
      <c r="E563" s="20">
        <v>4.9369863013698634</v>
      </c>
      <c r="F563" s="21">
        <v>4.3773</v>
      </c>
      <c r="G563" s="21">
        <v>3.2700000000000173</v>
      </c>
      <c r="H563" s="21">
        <v>4.3998999999999997</v>
      </c>
      <c r="I563" s="21">
        <v>-2.2599999999999731</v>
      </c>
      <c r="J563" s="19" t="s">
        <v>17</v>
      </c>
      <c r="K563" s="19" t="s">
        <v>19</v>
      </c>
      <c r="L563" s="13">
        <v>4.0199999999999996</v>
      </c>
      <c r="M563" s="14" t="s">
        <v>845</v>
      </c>
      <c r="N563" s="14" t="s">
        <v>840</v>
      </c>
      <c r="O563" s="4">
        <v>42867</v>
      </c>
    </row>
    <row r="564" spans="1:15">
      <c r="A564" s="7">
        <v>160206</v>
      </c>
      <c r="B564" s="7">
        <v>4.41</v>
      </c>
      <c r="C564" s="18" t="s">
        <v>131</v>
      </c>
      <c r="D564" s="19">
        <v>0</v>
      </c>
      <c r="E564" s="20">
        <v>3.7780821917808218</v>
      </c>
      <c r="F564" s="21">
        <v>4.4044999999999996</v>
      </c>
      <c r="G564" s="21">
        <v>0.55000000000005045</v>
      </c>
      <c r="H564" s="21">
        <v>4.3906999999999998</v>
      </c>
      <c r="I564" s="21">
        <v>1.3799999999999812</v>
      </c>
      <c r="J564" s="19" t="s">
        <v>17</v>
      </c>
      <c r="K564" s="19" t="s">
        <v>19</v>
      </c>
      <c r="L564" s="13">
        <v>2.96</v>
      </c>
      <c r="M564" s="14" t="s">
        <v>132</v>
      </c>
      <c r="N564" s="14" t="s">
        <v>360</v>
      </c>
      <c r="O564" s="4">
        <v>42867</v>
      </c>
    </row>
    <row r="565" spans="1:15">
      <c r="A565" s="7">
        <v>160206</v>
      </c>
      <c r="B565" s="7">
        <v>4.41</v>
      </c>
      <c r="C565" s="18" t="s">
        <v>131</v>
      </c>
      <c r="D565" s="19">
        <v>0</v>
      </c>
      <c r="E565" s="20">
        <v>3.7780821917808218</v>
      </c>
      <c r="F565" s="21">
        <v>4.4044999999999996</v>
      </c>
      <c r="G565" s="21">
        <v>0.55000000000005045</v>
      </c>
      <c r="H565" s="21">
        <v>4.3906999999999998</v>
      </c>
      <c r="I565" s="21">
        <v>1.3799999999999812</v>
      </c>
      <c r="J565" s="19" t="s">
        <v>17</v>
      </c>
      <c r="K565" s="19" t="s">
        <v>19</v>
      </c>
      <c r="L565" s="13">
        <v>2.96</v>
      </c>
      <c r="M565" s="14" t="s">
        <v>132</v>
      </c>
      <c r="N565" s="14" t="s">
        <v>360</v>
      </c>
      <c r="O565" s="4">
        <v>42867</v>
      </c>
    </row>
    <row r="566" spans="1:15">
      <c r="A566" s="7">
        <v>160206</v>
      </c>
      <c r="B566" s="7">
        <v>4.41</v>
      </c>
      <c r="C566" s="18" t="s">
        <v>131</v>
      </c>
      <c r="D566" s="19">
        <v>0</v>
      </c>
      <c r="E566" s="20">
        <v>3.7780821917808218</v>
      </c>
      <c r="F566" s="21">
        <v>4.4044999999999996</v>
      </c>
      <c r="G566" s="21">
        <v>0.55000000000005045</v>
      </c>
      <c r="H566" s="21">
        <v>4.3906999999999998</v>
      </c>
      <c r="I566" s="21">
        <v>1.3799999999999812</v>
      </c>
      <c r="J566" s="19" t="s">
        <v>17</v>
      </c>
      <c r="K566" s="19" t="s">
        <v>19</v>
      </c>
      <c r="L566" s="13">
        <v>2.96</v>
      </c>
      <c r="M566" s="14" t="s">
        <v>132</v>
      </c>
      <c r="N566" s="14" t="s">
        <v>360</v>
      </c>
      <c r="O566" s="4">
        <v>42867</v>
      </c>
    </row>
    <row r="567" spans="1:15">
      <c r="A567" s="7">
        <v>170206</v>
      </c>
      <c r="B567" s="7">
        <v>4.4050000000000002</v>
      </c>
      <c r="C567" s="18" t="s">
        <v>852</v>
      </c>
      <c r="D567" s="19">
        <v>0</v>
      </c>
      <c r="E567" s="20">
        <v>4.9369863013698634</v>
      </c>
      <c r="F567" s="21">
        <v>4.3773</v>
      </c>
      <c r="G567" s="21">
        <v>2.770000000000028</v>
      </c>
      <c r="H567" s="21">
        <v>4.3998999999999997</v>
      </c>
      <c r="I567" s="21">
        <v>-2.2599999999999731</v>
      </c>
      <c r="J567" s="19" t="s">
        <v>17</v>
      </c>
      <c r="K567" s="19" t="s">
        <v>19</v>
      </c>
      <c r="L567" s="13">
        <v>4.0199999999999996</v>
      </c>
      <c r="M567" s="14" t="s">
        <v>845</v>
      </c>
      <c r="N567" s="14" t="s">
        <v>840</v>
      </c>
      <c r="O567" s="4">
        <v>42867</v>
      </c>
    </row>
    <row r="568" spans="1:15">
      <c r="A568" s="7">
        <v>111792100</v>
      </c>
      <c r="B568" s="7">
        <v>4.4000000000000004</v>
      </c>
      <c r="C568" s="18" t="s">
        <v>793</v>
      </c>
      <c r="D568" s="19" t="s">
        <v>11</v>
      </c>
      <c r="E568" s="20">
        <v>2.4657534246575342E-2</v>
      </c>
      <c r="F568" s="21">
        <v>3.4142000000000001</v>
      </c>
      <c r="G568" s="21">
        <v>98.580000000000027</v>
      </c>
      <c r="H568" s="21">
        <v>3.4289000000000001</v>
      </c>
      <c r="I568" s="21">
        <v>-1.4699999999999935</v>
      </c>
      <c r="J568" s="19" t="s">
        <v>55</v>
      </c>
      <c r="K568" s="19" t="s">
        <v>56</v>
      </c>
      <c r="L568" s="13">
        <v>4.5</v>
      </c>
      <c r="M568" s="14" t="s">
        <v>691</v>
      </c>
      <c r="N568" s="14" t="s">
        <v>693</v>
      </c>
      <c r="O568" s="4">
        <v>42867</v>
      </c>
    </row>
    <row r="569" spans="1:15">
      <c r="A569" s="7">
        <v>111718063</v>
      </c>
      <c r="B569" s="7">
        <v>4.4000000000000004</v>
      </c>
      <c r="C569" s="18" t="s">
        <v>997</v>
      </c>
      <c r="D569" s="19" t="s">
        <v>11</v>
      </c>
      <c r="E569" s="20">
        <v>4.6575342465753428E-2</v>
      </c>
      <c r="F569" s="21">
        <v>3.5855000000000001</v>
      </c>
      <c r="G569" s="21">
        <v>81.450000000000017</v>
      </c>
      <c r="H569" s="21">
        <v>3.6135000000000002</v>
      </c>
      <c r="I569" s="21">
        <v>-2.8000000000000025</v>
      </c>
      <c r="J569" s="19" t="s">
        <v>55</v>
      </c>
      <c r="K569" s="19" t="s">
        <v>56</v>
      </c>
      <c r="L569" s="13">
        <v>4.4001000000000001</v>
      </c>
      <c r="M569" s="14" t="s">
        <v>702</v>
      </c>
      <c r="N569" s="14" t="s">
        <v>703</v>
      </c>
      <c r="O569" s="4">
        <v>42867</v>
      </c>
    </row>
    <row r="570" spans="1:15">
      <c r="A570" s="7">
        <v>111616274</v>
      </c>
      <c r="B570" s="7">
        <v>4.4000000000000004</v>
      </c>
      <c r="C570" s="18" t="s">
        <v>998</v>
      </c>
      <c r="D570" s="19" t="s">
        <v>11</v>
      </c>
      <c r="E570" s="20">
        <v>4.9315068493150684E-2</v>
      </c>
      <c r="F570" s="21">
        <v>3.6215000000000002</v>
      </c>
      <c r="G570" s="21">
        <v>77.850000000000023</v>
      </c>
      <c r="H570" s="21">
        <v>3.6467999999999998</v>
      </c>
      <c r="I570" s="21">
        <v>-2.5299999999999656</v>
      </c>
      <c r="J570" s="19" t="s">
        <v>55</v>
      </c>
      <c r="K570" s="19" t="s">
        <v>56</v>
      </c>
      <c r="L570" s="13">
        <v>3.3</v>
      </c>
      <c r="M570" s="14" t="s">
        <v>601</v>
      </c>
      <c r="N570" s="14" t="s">
        <v>599</v>
      </c>
      <c r="O570" s="4">
        <v>42867</v>
      </c>
    </row>
    <row r="571" spans="1:15">
      <c r="A571" s="7">
        <v>170206</v>
      </c>
      <c r="B571" s="7">
        <v>4.4000000000000004</v>
      </c>
      <c r="C571" s="18" t="s">
        <v>852</v>
      </c>
      <c r="D571" s="19">
        <v>0</v>
      </c>
      <c r="E571" s="20">
        <v>4.9369863013698634</v>
      </c>
      <c r="F571" s="21">
        <v>4.3773</v>
      </c>
      <c r="G571" s="21">
        <v>2.2700000000000387</v>
      </c>
      <c r="H571" s="21">
        <v>4.3998999999999997</v>
      </c>
      <c r="I571" s="21">
        <v>-2.2599999999999731</v>
      </c>
      <c r="J571" s="19" t="s">
        <v>17</v>
      </c>
      <c r="K571" s="19" t="s">
        <v>19</v>
      </c>
      <c r="L571" s="13">
        <v>4.0199999999999996</v>
      </c>
      <c r="M571" s="14" t="s">
        <v>845</v>
      </c>
      <c r="N571" s="14" t="s">
        <v>840</v>
      </c>
      <c r="O571" s="4">
        <v>42867</v>
      </c>
    </row>
    <row r="572" spans="1:15">
      <c r="A572" s="7">
        <v>160206</v>
      </c>
      <c r="B572" s="7">
        <v>4.4000000000000004</v>
      </c>
      <c r="C572" s="18" t="s">
        <v>131</v>
      </c>
      <c r="D572" s="19">
        <v>0</v>
      </c>
      <c r="E572" s="20">
        <v>3.7780821917808218</v>
      </c>
      <c r="F572" s="21">
        <v>4.4044999999999996</v>
      </c>
      <c r="G572" s="21">
        <v>-0.44999999999992824</v>
      </c>
      <c r="H572" s="21">
        <v>4.3906999999999998</v>
      </c>
      <c r="I572" s="21">
        <v>1.3799999999999812</v>
      </c>
      <c r="J572" s="19" t="s">
        <v>17</v>
      </c>
      <c r="K572" s="19" t="s">
        <v>19</v>
      </c>
      <c r="L572" s="13">
        <v>2.96</v>
      </c>
      <c r="M572" s="14" t="s">
        <v>132</v>
      </c>
      <c r="N572" s="14" t="s">
        <v>360</v>
      </c>
      <c r="O572" s="4">
        <v>42867</v>
      </c>
    </row>
    <row r="573" spans="1:15">
      <c r="A573" s="7">
        <v>160206</v>
      </c>
      <c r="B573" s="7">
        <v>4.4000000000000004</v>
      </c>
      <c r="C573" s="18" t="s">
        <v>131</v>
      </c>
      <c r="D573" s="19">
        <v>0</v>
      </c>
      <c r="E573" s="20">
        <v>3.7780821917808218</v>
      </c>
      <c r="F573" s="21">
        <v>4.4044999999999996</v>
      </c>
      <c r="G573" s="21">
        <v>-0.44999999999992824</v>
      </c>
      <c r="H573" s="21">
        <v>4.3906999999999998</v>
      </c>
      <c r="I573" s="21">
        <v>1.3799999999999812</v>
      </c>
      <c r="J573" s="19" t="s">
        <v>17</v>
      </c>
      <c r="K573" s="19" t="s">
        <v>19</v>
      </c>
      <c r="L573" s="13">
        <v>2.96</v>
      </c>
      <c r="M573" s="14" t="s">
        <v>132</v>
      </c>
      <c r="N573" s="14" t="s">
        <v>360</v>
      </c>
      <c r="O573" s="4">
        <v>42867</v>
      </c>
    </row>
    <row r="574" spans="1:15">
      <c r="A574" s="7">
        <v>160206</v>
      </c>
      <c r="B574" s="7">
        <v>4.4000000000000004</v>
      </c>
      <c r="C574" s="18" t="s">
        <v>131</v>
      </c>
      <c r="D574" s="19">
        <v>0</v>
      </c>
      <c r="E574" s="20">
        <v>3.7780821917808218</v>
      </c>
      <c r="F574" s="21">
        <v>4.4044999999999996</v>
      </c>
      <c r="G574" s="21">
        <v>-0.44999999999992824</v>
      </c>
      <c r="H574" s="21">
        <v>4.3906999999999998</v>
      </c>
      <c r="I574" s="21">
        <v>1.3799999999999812</v>
      </c>
      <c r="J574" s="19" t="s">
        <v>17</v>
      </c>
      <c r="K574" s="19" t="s">
        <v>19</v>
      </c>
      <c r="L574" s="13">
        <v>2.96</v>
      </c>
      <c r="M574" s="14" t="s">
        <v>132</v>
      </c>
      <c r="N574" s="14" t="s">
        <v>360</v>
      </c>
      <c r="O574" s="4">
        <v>42867</v>
      </c>
    </row>
    <row r="575" spans="1:15">
      <c r="A575" s="7">
        <v>170206</v>
      </c>
      <c r="B575" s="7">
        <v>4.3949999999999996</v>
      </c>
      <c r="C575" s="18" t="s">
        <v>852</v>
      </c>
      <c r="D575" s="19">
        <v>0</v>
      </c>
      <c r="E575" s="20">
        <v>4.9369863013698634</v>
      </c>
      <c r="F575" s="21">
        <v>4.3773</v>
      </c>
      <c r="G575" s="21">
        <v>1.7699999999999605</v>
      </c>
      <c r="H575" s="21">
        <v>4.3998999999999997</v>
      </c>
      <c r="I575" s="21">
        <v>-2.2599999999999731</v>
      </c>
      <c r="J575" s="19" t="s">
        <v>17</v>
      </c>
      <c r="K575" s="19" t="s">
        <v>19</v>
      </c>
      <c r="L575" s="13">
        <v>4.0199999999999996</v>
      </c>
      <c r="M575" s="14" t="s">
        <v>845</v>
      </c>
      <c r="N575" s="14" t="s">
        <v>840</v>
      </c>
      <c r="O575" s="4">
        <v>42867</v>
      </c>
    </row>
    <row r="576" spans="1:15">
      <c r="A576" s="7">
        <v>170206</v>
      </c>
      <c r="B576" s="7">
        <v>4.3899999999999997</v>
      </c>
      <c r="C576" s="18" t="s">
        <v>852</v>
      </c>
      <c r="D576" s="19">
        <v>0</v>
      </c>
      <c r="E576" s="20">
        <v>4.9369863013698634</v>
      </c>
      <c r="F576" s="21">
        <v>4.3773</v>
      </c>
      <c r="G576" s="21">
        <v>1.2699999999999712</v>
      </c>
      <c r="H576" s="21">
        <v>4.3998999999999997</v>
      </c>
      <c r="I576" s="21">
        <v>-2.2599999999999731</v>
      </c>
      <c r="J576" s="19" t="s">
        <v>17</v>
      </c>
      <c r="K576" s="19" t="s">
        <v>19</v>
      </c>
      <c r="L576" s="13">
        <v>4.0199999999999996</v>
      </c>
      <c r="M576" s="14" t="s">
        <v>845</v>
      </c>
      <c r="N576" s="14" t="s">
        <v>840</v>
      </c>
      <c r="O576" s="4">
        <v>42867</v>
      </c>
    </row>
    <row r="577" spans="1:15">
      <c r="A577" s="7">
        <v>160206</v>
      </c>
      <c r="B577" s="7">
        <v>4.3899999999999997</v>
      </c>
      <c r="C577" s="18" t="s">
        <v>131</v>
      </c>
      <c r="D577" s="19">
        <v>0</v>
      </c>
      <c r="E577" s="20">
        <v>3.7780821917808218</v>
      </c>
      <c r="F577" s="21">
        <v>4.4044999999999996</v>
      </c>
      <c r="G577" s="21">
        <v>-1.4499999999999957</v>
      </c>
      <c r="H577" s="21">
        <v>4.3906999999999998</v>
      </c>
      <c r="I577" s="21">
        <v>1.3799999999999812</v>
      </c>
      <c r="J577" s="19" t="s">
        <v>17</v>
      </c>
      <c r="K577" s="19" t="s">
        <v>19</v>
      </c>
      <c r="L577" s="13">
        <v>2.96</v>
      </c>
      <c r="M577" s="14" t="s">
        <v>132</v>
      </c>
      <c r="N577" s="14" t="s">
        <v>360</v>
      </c>
      <c r="O577" s="4">
        <v>42867</v>
      </c>
    </row>
    <row r="578" spans="1:15">
      <c r="A578" s="7">
        <v>170210</v>
      </c>
      <c r="B578" s="7">
        <v>4.37</v>
      </c>
      <c r="C578" s="18" t="s">
        <v>832</v>
      </c>
      <c r="D578" s="19">
        <v>0</v>
      </c>
      <c r="E578" s="20">
        <v>9.9205479452054792</v>
      </c>
      <c r="F578" s="21">
        <v>4.3324999999999996</v>
      </c>
      <c r="G578" s="21">
        <v>3.7500000000000533</v>
      </c>
      <c r="H578" s="21">
        <v>4.3849</v>
      </c>
      <c r="I578" s="21">
        <v>-5.2400000000000446</v>
      </c>
      <c r="J578" s="19" t="s">
        <v>17</v>
      </c>
      <c r="K578" s="19" t="s">
        <v>19</v>
      </c>
      <c r="L578" s="13">
        <v>4.04</v>
      </c>
      <c r="M578" s="14" t="s">
        <v>833</v>
      </c>
      <c r="N578" s="14" t="s">
        <v>825</v>
      </c>
      <c r="O578" s="4">
        <v>42867</v>
      </c>
    </row>
    <row r="579" spans="1:15">
      <c r="A579" s="7">
        <v>170210</v>
      </c>
      <c r="B579" s="7">
        <v>4.37</v>
      </c>
      <c r="C579" s="18" t="s">
        <v>832</v>
      </c>
      <c r="D579" s="19">
        <v>0</v>
      </c>
      <c r="E579" s="20">
        <v>9.9205479452054792</v>
      </c>
      <c r="F579" s="21">
        <v>4.3324999999999996</v>
      </c>
      <c r="G579" s="21">
        <v>3.7500000000000533</v>
      </c>
      <c r="H579" s="21">
        <v>4.3849</v>
      </c>
      <c r="I579" s="21">
        <v>-5.2400000000000446</v>
      </c>
      <c r="J579" s="19" t="s">
        <v>17</v>
      </c>
      <c r="K579" s="19" t="s">
        <v>19</v>
      </c>
      <c r="L579" s="13">
        <v>4.04</v>
      </c>
      <c r="M579" s="14" t="s">
        <v>833</v>
      </c>
      <c r="N579" s="14" t="s">
        <v>825</v>
      </c>
      <c r="O579" s="4">
        <v>42867</v>
      </c>
    </row>
    <row r="580" spans="1:15">
      <c r="A580" s="7">
        <v>170210</v>
      </c>
      <c r="B580" s="7">
        <v>4.37</v>
      </c>
      <c r="C580" s="18" t="s">
        <v>832</v>
      </c>
      <c r="D580" s="19">
        <v>0</v>
      </c>
      <c r="E580" s="20">
        <v>9.9205479452054792</v>
      </c>
      <c r="F580" s="21">
        <v>4.3324999999999996</v>
      </c>
      <c r="G580" s="21">
        <v>3.7500000000000533</v>
      </c>
      <c r="H580" s="21">
        <v>4.3849</v>
      </c>
      <c r="I580" s="21">
        <v>-5.2400000000000446</v>
      </c>
      <c r="J580" s="19" t="s">
        <v>17</v>
      </c>
      <c r="K580" s="19" t="s">
        <v>19</v>
      </c>
      <c r="L580" s="13">
        <v>4.04</v>
      </c>
      <c r="M580" s="14" t="s">
        <v>833</v>
      </c>
      <c r="N580" s="14" t="s">
        <v>825</v>
      </c>
      <c r="O580" s="4">
        <v>42867</v>
      </c>
    </row>
    <row r="581" spans="1:15">
      <c r="A581" s="7">
        <v>170210</v>
      </c>
      <c r="B581" s="7">
        <v>4.3650000000000002</v>
      </c>
      <c r="C581" s="18" t="s">
        <v>832</v>
      </c>
      <c r="D581" s="19">
        <v>0</v>
      </c>
      <c r="E581" s="20">
        <v>9.9205479452054792</v>
      </c>
      <c r="F581" s="21">
        <v>4.3324999999999996</v>
      </c>
      <c r="G581" s="21">
        <v>3.2500000000000639</v>
      </c>
      <c r="H581" s="21">
        <v>4.3849</v>
      </c>
      <c r="I581" s="21">
        <v>-5.2400000000000446</v>
      </c>
      <c r="J581" s="19" t="s">
        <v>17</v>
      </c>
      <c r="K581" s="19" t="s">
        <v>19</v>
      </c>
      <c r="L581" s="13">
        <v>4.04</v>
      </c>
      <c r="M581" s="14" t="s">
        <v>833</v>
      </c>
      <c r="N581" s="14" t="s">
        <v>825</v>
      </c>
      <c r="O581" s="4">
        <v>42867</v>
      </c>
    </row>
    <row r="582" spans="1:15">
      <c r="A582" s="7">
        <v>170210</v>
      </c>
      <c r="B582" s="7">
        <v>4.3650000000000002</v>
      </c>
      <c r="C582" s="18" t="s">
        <v>832</v>
      </c>
      <c r="D582" s="19">
        <v>0</v>
      </c>
      <c r="E582" s="20">
        <v>9.9205479452054792</v>
      </c>
      <c r="F582" s="21">
        <v>4.3324999999999996</v>
      </c>
      <c r="G582" s="21">
        <v>3.2500000000000639</v>
      </c>
      <c r="H582" s="21">
        <v>4.3849</v>
      </c>
      <c r="I582" s="21">
        <v>-5.2400000000000446</v>
      </c>
      <c r="J582" s="19" t="s">
        <v>17</v>
      </c>
      <c r="K582" s="19" t="s">
        <v>19</v>
      </c>
      <c r="L582" s="13">
        <v>4.04</v>
      </c>
      <c r="M582" s="14" t="s">
        <v>833</v>
      </c>
      <c r="N582" s="14" t="s">
        <v>825</v>
      </c>
      <c r="O582" s="4">
        <v>42867</v>
      </c>
    </row>
    <row r="583" spans="1:15">
      <c r="A583" s="7">
        <v>170210</v>
      </c>
      <c r="B583" s="7">
        <v>4.3650000000000002</v>
      </c>
      <c r="C583" s="18" t="s">
        <v>832</v>
      </c>
      <c r="D583" s="19">
        <v>0</v>
      </c>
      <c r="E583" s="20">
        <v>9.9205479452054792</v>
      </c>
      <c r="F583" s="21">
        <v>4.3324999999999996</v>
      </c>
      <c r="G583" s="21">
        <v>3.2500000000000639</v>
      </c>
      <c r="H583" s="21">
        <v>4.3849</v>
      </c>
      <c r="I583" s="21">
        <v>-5.2400000000000446</v>
      </c>
      <c r="J583" s="19" t="s">
        <v>17</v>
      </c>
      <c r="K583" s="19" t="s">
        <v>19</v>
      </c>
      <c r="L583" s="13">
        <v>4.04</v>
      </c>
      <c r="M583" s="14" t="s">
        <v>833</v>
      </c>
      <c r="N583" s="14" t="s">
        <v>825</v>
      </c>
      <c r="O583" s="4">
        <v>42867</v>
      </c>
    </row>
    <row r="584" spans="1:15">
      <c r="A584" s="7">
        <v>170210</v>
      </c>
      <c r="B584" s="7">
        <v>4.3650000000000002</v>
      </c>
      <c r="C584" s="18" t="s">
        <v>832</v>
      </c>
      <c r="D584" s="19">
        <v>0</v>
      </c>
      <c r="E584" s="20">
        <v>9.9205479452054792</v>
      </c>
      <c r="F584" s="21">
        <v>4.3324999999999996</v>
      </c>
      <c r="G584" s="21">
        <v>3.2500000000000639</v>
      </c>
      <c r="H584" s="21">
        <v>4.3849</v>
      </c>
      <c r="I584" s="21">
        <v>-5.2400000000000446</v>
      </c>
      <c r="J584" s="19" t="s">
        <v>17</v>
      </c>
      <c r="K584" s="19" t="s">
        <v>19</v>
      </c>
      <c r="L584" s="13">
        <v>4.04</v>
      </c>
      <c r="M584" s="14" t="s">
        <v>833</v>
      </c>
      <c r="N584" s="14" t="s">
        <v>825</v>
      </c>
      <c r="O584" s="4">
        <v>42867</v>
      </c>
    </row>
    <row r="585" spans="1:15">
      <c r="A585" s="7">
        <v>170210</v>
      </c>
      <c r="B585" s="7">
        <v>4.3650000000000002</v>
      </c>
      <c r="C585" s="18" t="s">
        <v>832</v>
      </c>
      <c r="D585" s="19">
        <v>0</v>
      </c>
      <c r="E585" s="20">
        <v>9.9205479452054792</v>
      </c>
      <c r="F585" s="21">
        <v>4.3324999999999996</v>
      </c>
      <c r="G585" s="21">
        <v>3.2500000000000639</v>
      </c>
      <c r="H585" s="21">
        <v>4.3849</v>
      </c>
      <c r="I585" s="21">
        <v>-5.2400000000000446</v>
      </c>
      <c r="J585" s="19" t="s">
        <v>17</v>
      </c>
      <c r="K585" s="19" t="s">
        <v>19</v>
      </c>
      <c r="L585" s="13">
        <v>4.04</v>
      </c>
      <c r="M585" s="14" t="s">
        <v>833</v>
      </c>
      <c r="N585" s="14" t="s">
        <v>825</v>
      </c>
      <c r="O585" s="4">
        <v>42867</v>
      </c>
    </row>
    <row r="586" spans="1:15">
      <c r="A586" s="7">
        <v>170210</v>
      </c>
      <c r="B586" s="7">
        <v>4.3650000000000002</v>
      </c>
      <c r="C586" s="18" t="s">
        <v>832</v>
      </c>
      <c r="D586" s="19">
        <v>0</v>
      </c>
      <c r="E586" s="20">
        <v>9.9205479452054792</v>
      </c>
      <c r="F586" s="21">
        <v>4.3324999999999996</v>
      </c>
      <c r="G586" s="21">
        <v>3.2500000000000639</v>
      </c>
      <c r="H586" s="21">
        <v>4.3849</v>
      </c>
      <c r="I586" s="21">
        <v>-5.2400000000000446</v>
      </c>
      <c r="J586" s="19" t="s">
        <v>17</v>
      </c>
      <c r="K586" s="19" t="s">
        <v>19</v>
      </c>
      <c r="L586" s="13">
        <v>4.04</v>
      </c>
      <c r="M586" s="14" t="s">
        <v>833</v>
      </c>
      <c r="N586" s="14" t="s">
        <v>825</v>
      </c>
      <c r="O586" s="4">
        <v>42867</v>
      </c>
    </row>
    <row r="587" spans="1:15">
      <c r="A587" s="7">
        <v>170210</v>
      </c>
      <c r="B587" s="7">
        <v>4.3650000000000002</v>
      </c>
      <c r="C587" s="18" t="s">
        <v>832</v>
      </c>
      <c r="D587" s="19">
        <v>0</v>
      </c>
      <c r="E587" s="20">
        <v>9.9205479452054792</v>
      </c>
      <c r="F587" s="21">
        <v>4.3324999999999996</v>
      </c>
      <c r="G587" s="21">
        <v>3.2500000000000639</v>
      </c>
      <c r="H587" s="21">
        <v>4.3849</v>
      </c>
      <c r="I587" s="21">
        <v>-5.2400000000000446</v>
      </c>
      <c r="J587" s="19" t="s">
        <v>17</v>
      </c>
      <c r="K587" s="19" t="s">
        <v>19</v>
      </c>
      <c r="L587" s="13">
        <v>4.04</v>
      </c>
      <c r="M587" s="14" t="s">
        <v>833</v>
      </c>
      <c r="N587" s="14" t="s">
        <v>825</v>
      </c>
      <c r="O587" s="4">
        <v>42867</v>
      </c>
    </row>
    <row r="588" spans="1:15">
      <c r="A588" s="7">
        <v>170210</v>
      </c>
      <c r="B588" s="7">
        <v>4.3650000000000002</v>
      </c>
      <c r="C588" s="18" t="s">
        <v>832</v>
      </c>
      <c r="D588" s="19">
        <v>0</v>
      </c>
      <c r="E588" s="20">
        <v>9.9205479452054792</v>
      </c>
      <c r="F588" s="21">
        <v>4.3324999999999996</v>
      </c>
      <c r="G588" s="21">
        <v>3.2500000000000639</v>
      </c>
      <c r="H588" s="21">
        <v>4.3849</v>
      </c>
      <c r="I588" s="21">
        <v>-5.2400000000000446</v>
      </c>
      <c r="J588" s="19" t="s">
        <v>17</v>
      </c>
      <c r="K588" s="19" t="s">
        <v>19</v>
      </c>
      <c r="L588" s="13">
        <v>4.04</v>
      </c>
      <c r="M588" s="14" t="s">
        <v>833</v>
      </c>
      <c r="N588" s="14" t="s">
        <v>825</v>
      </c>
      <c r="O588" s="4">
        <v>42867</v>
      </c>
    </row>
    <row r="589" spans="1:15">
      <c r="A589" s="7">
        <v>170210</v>
      </c>
      <c r="B589" s="7">
        <v>4.3650000000000002</v>
      </c>
      <c r="C589" s="18" t="s">
        <v>832</v>
      </c>
      <c r="D589" s="19">
        <v>0</v>
      </c>
      <c r="E589" s="20">
        <v>9.9205479452054792</v>
      </c>
      <c r="F589" s="21">
        <v>4.3324999999999996</v>
      </c>
      <c r="G589" s="21">
        <v>3.2500000000000639</v>
      </c>
      <c r="H589" s="21">
        <v>4.3849</v>
      </c>
      <c r="I589" s="21">
        <v>-5.2400000000000446</v>
      </c>
      <c r="J589" s="19" t="s">
        <v>17</v>
      </c>
      <c r="K589" s="19" t="s">
        <v>19</v>
      </c>
      <c r="L589" s="13">
        <v>4.04</v>
      </c>
      <c r="M589" s="14" t="s">
        <v>833</v>
      </c>
      <c r="N589" s="14" t="s">
        <v>825</v>
      </c>
      <c r="O589" s="4">
        <v>42867</v>
      </c>
    </row>
    <row r="590" spans="1:15">
      <c r="A590" s="7">
        <v>170210</v>
      </c>
      <c r="B590" s="7">
        <v>4.3650000000000002</v>
      </c>
      <c r="C590" s="18" t="s">
        <v>832</v>
      </c>
      <c r="D590" s="19">
        <v>0</v>
      </c>
      <c r="E590" s="20">
        <v>9.9205479452054792</v>
      </c>
      <c r="F590" s="21">
        <v>4.3324999999999996</v>
      </c>
      <c r="G590" s="21">
        <v>3.2500000000000639</v>
      </c>
      <c r="H590" s="21">
        <v>4.3849</v>
      </c>
      <c r="I590" s="21">
        <v>-5.2400000000000446</v>
      </c>
      <c r="J590" s="19" t="s">
        <v>17</v>
      </c>
      <c r="K590" s="19" t="s">
        <v>19</v>
      </c>
      <c r="L590" s="13">
        <v>4.04</v>
      </c>
      <c r="M590" s="14" t="s">
        <v>833</v>
      </c>
      <c r="N590" s="14" t="s">
        <v>825</v>
      </c>
      <c r="O590" s="4">
        <v>42867</v>
      </c>
    </row>
    <row r="591" spans="1:15">
      <c r="A591" s="7">
        <v>170210</v>
      </c>
      <c r="B591" s="7">
        <v>4.3650000000000002</v>
      </c>
      <c r="C591" s="18" t="s">
        <v>832</v>
      </c>
      <c r="D591" s="19">
        <v>0</v>
      </c>
      <c r="E591" s="20">
        <v>9.9205479452054792</v>
      </c>
      <c r="F591" s="21">
        <v>4.3324999999999996</v>
      </c>
      <c r="G591" s="21">
        <v>3.2500000000000639</v>
      </c>
      <c r="H591" s="21">
        <v>4.3849</v>
      </c>
      <c r="I591" s="21">
        <v>-5.2400000000000446</v>
      </c>
      <c r="J591" s="19" t="s">
        <v>17</v>
      </c>
      <c r="K591" s="19" t="s">
        <v>19</v>
      </c>
      <c r="L591" s="13">
        <v>4.04</v>
      </c>
      <c r="M591" s="14" t="s">
        <v>833</v>
      </c>
      <c r="N591" s="14" t="s">
        <v>825</v>
      </c>
      <c r="O591" s="4">
        <v>42867</v>
      </c>
    </row>
    <row r="592" spans="1:15">
      <c r="A592" s="7">
        <v>170210</v>
      </c>
      <c r="B592" s="7">
        <v>4.3650000000000002</v>
      </c>
      <c r="C592" s="18" t="s">
        <v>832</v>
      </c>
      <c r="D592" s="19">
        <v>0</v>
      </c>
      <c r="E592" s="20">
        <v>9.9205479452054792</v>
      </c>
      <c r="F592" s="21">
        <v>4.3324999999999996</v>
      </c>
      <c r="G592" s="21">
        <v>3.2500000000000639</v>
      </c>
      <c r="H592" s="21">
        <v>4.3849</v>
      </c>
      <c r="I592" s="21">
        <v>-5.2400000000000446</v>
      </c>
      <c r="J592" s="19" t="s">
        <v>17</v>
      </c>
      <c r="K592" s="19" t="s">
        <v>19</v>
      </c>
      <c r="L592" s="13">
        <v>4.04</v>
      </c>
      <c r="M592" s="14" t="s">
        <v>833</v>
      </c>
      <c r="N592" s="14" t="s">
        <v>825</v>
      </c>
      <c r="O592" s="4">
        <v>42867</v>
      </c>
    </row>
    <row r="593" spans="1:15">
      <c r="A593" s="7">
        <v>170210</v>
      </c>
      <c r="B593" s="7">
        <v>4.3650000000000002</v>
      </c>
      <c r="C593" s="18" t="s">
        <v>832</v>
      </c>
      <c r="D593" s="19">
        <v>0</v>
      </c>
      <c r="E593" s="20">
        <v>9.9205479452054792</v>
      </c>
      <c r="F593" s="21">
        <v>4.3324999999999996</v>
      </c>
      <c r="G593" s="21">
        <v>3.2500000000000639</v>
      </c>
      <c r="H593" s="21">
        <v>4.3849</v>
      </c>
      <c r="I593" s="21">
        <v>-5.2400000000000446</v>
      </c>
      <c r="J593" s="19" t="s">
        <v>17</v>
      </c>
      <c r="K593" s="19" t="s">
        <v>19</v>
      </c>
      <c r="L593" s="13">
        <v>4.04</v>
      </c>
      <c r="M593" s="14" t="s">
        <v>833</v>
      </c>
      <c r="N593" s="14" t="s">
        <v>825</v>
      </c>
      <c r="O593" s="4">
        <v>42867</v>
      </c>
    </row>
    <row r="594" spans="1:15">
      <c r="A594" s="7">
        <v>170210</v>
      </c>
      <c r="B594" s="7">
        <v>4.3650000000000002</v>
      </c>
      <c r="C594" s="18" t="s">
        <v>832</v>
      </c>
      <c r="D594" s="19">
        <v>0</v>
      </c>
      <c r="E594" s="20">
        <v>9.9205479452054792</v>
      </c>
      <c r="F594" s="21">
        <v>4.3324999999999996</v>
      </c>
      <c r="G594" s="21">
        <v>3.2500000000000639</v>
      </c>
      <c r="H594" s="21">
        <v>4.3849</v>
      </c>
      <c r="I594" s="21">
        <v>-5.2400000000000446</v>
      </c>
      <c r="J594" s="19" t="s">
        <v>17</v>
      </c>
      <c r="K594" s="19" t="s">
        <v>19</v>
      </c>
      <c r="L594" s="13">
        <v>4.04</v>
      </c>
      <c r="M594" s="14" t="s">
        <v>833</v>
      </c>
      <c r="N594" s="14" t="s">
        <v>825</v>
      </c>
      <c r="O594" s="4">
        <v>42867</v>
      </c>
    </row>
    <row r="595" spans="1:15">
      <c r="A595" s="7">
        <v>170210</v>
      </c>
      <c r="B595" s="7">
        <v>4.3650000000000002</v>
      </c>
      <c r="C595" s="18" t="s">
        <v>832</v>
      </c>
      <c r="D595" s="19">
        <v>0</v>
      </c>
      <c r="E595" s="20">
        <v>9.9205479452054792</v>
      </c>
      <c r="F595" s="21">
        <v>4.3324999999999996</v>
      </c>
      <c r="G595" s="21">
        <v>3.2500000000000639</v>
      </c>
      <c r="H595" s="21">
        <v>4.3849</v>
      </c>
      <c r="I595" s="21">
        <v>-5.2400000000000446</v>
      </c>
      <c r="J595" s="19" t="s">
        <v>17</v>
      </c>
      <c r="K595" s="19" t="s">
        <v>19</v>
      </c>
      <c r="L595" s="13">
        <v>4.04</v>
      </c>
      <c r="M595" s="14" t="s">
        <v>833</v>
      </c>
      <c r="N595" s="14" t="s">
        <v>825</v>
      </c>
      <c r="O595" s="4">
        <v>42867</v>
      </c>
    </row>
    <row r="596" spans="1:15">
      <c r="A596" s="7">
        <v>170210</v>
      </c>
      <c r="B596" s="7">
        <v>4.3650000000000002</v>
      </c>
      <c r="C596" s="18" t="s">
        <v>832</v>
      </c>
      <c r="D596" s="19">
        <v>0</v>
      </c>
      <c r="E596" s="20">
        <v>9.9205479452054792</v>
      </c>
      <c r="F596" s="21">
        <v>4.3324999999999996</v>
      </c>
      <c r="G596" s="21">
        <v>3.2500000000000639</v>
      </c>
      <c r="H596" s="21">
        <v>4.3849</v>
      </c>
      <c r="I596" s="21">
        <v>-5.2400000000000446</v>
      </c>
      <c r="J596" s="19" t="s">
        <v>17</v>
      </c>
      <c r="K596" s="19" t="s">
        <v>19</v>
      </c>
      <c r="L596" s="13">
        <v>4.04</v>
      </c>
      <c r="M596" s="14" t="s">
        <v>833</v>
      </c>
      <c r="N596" s="14" t="s">
        <v>825</v>
      </c>
      <c r="O596" s="4">
        <v>42867</v>
      </c>
    </row>
    <row r="597" spans="1:15">
      <c r="A597" s="7">
        <v>170210</v>
      </c>
      <c r="B597" s="7">
        <v>4.3624999999999998</v>
      </c>
      <c r="C597" s="18" t="s">
        <v>832</v>
      </c>
      <c r="D597" s="19">
        <v>0</v>
      </c>
      <c r="E597" s="20">
        <v>9.9205479452054792</v>
      </c>
      <c r="F597" s="21">
        <v>4.3324999999999996</v>
      </c>
      <c r="G597" s="21">
        <v>3.0000000000000249</v>
      </c>
      <c r="H597" s="21">
        <v>4.3849</v>
      </c>
      <c r="I597" s="21">
        <v>-5.2400000000000446</v>
      </c>
      <c r="J597" s="19" t="s">
        <v>17</v>
      </c>
      <c r="K597" s="19" t="s">
        <v>19</v>
      </c>
      <c r="L597" s="13">
        <v>4.04</v>
      </c>
      <c r="M597" s="14" t="s">
        <v>833</v>
      </c>
      <c r="N597" s="14" t="s">
        <v>825</v>
      </c>
      <c r="O597" s="4">
        <v>42867</v>
      </c>
    </row>
    <row r="598" spans="1:15">
      <c r="A598" s="7">
        <v>170210</v>
      </c>
      <c r="B598" s="7">
        <v>4.3624999999999998</v>
      </c>
      <c r="C598" s="18" t="s">
        <v>832</v>
      </c>
      <c r="D598" s="19">
        <v>0</v>
      </c>
      <c r="E598" s="20">
        <v>9.9205479452054792</v>
      </c>
      <c r="F598" s="21">
        <v>4.3324999999999996</v>
      </c>
      <c r="G598" s="21">
        <v>3.0000000000000249</v>
      </c>
      <c r="H598" s="21">
        <v>4.3849</v>
      </c>
      <c r="I598" s="21">
        <v>-5.2400000000000446</v>
      </c>
      <c r="J598" s="19" t="s">
        <v>17</v>
      </c>
      <c r="K598" s="19" t="s">
        <v>19</v>
      </c>
      <c r="L598" s="13">
        <v>4.04</v>
      </c>
      <c r="M598" s="14" t="s">
        <v>833</v>
      </c>
      <c r="N598" s="14" t="s">
        <v>825</v>
      </c>
      <c r="O598" s="4">
        <v>42867</v>
      </c>
    </row>
    <row r="599" spans="1:15">
      <c r="A599" s="7">
        <v>170210</v>
      </c>
      <c r="B599" s="7">
        <v>4.3624999999999998</v>
      </c>
      <c r="C599" s="18" t="s">
        <v>832</v>
      </c>
      <c r="D599" s="19">
        <v>0</v>
      </c>
      <c r="E599" s="20">
        <v>9.9205479452054792</v>
      </c>
      <c r="F599" s="21">
        <v>4.3324999999999996</v>
      </c>
      <c r="G599" s="21">
        <v>3.0000000000000249</v>
      </c>
      <c r="H599" s="21">
        <v>4.3849</v>
      </c>
      <c r="I599" s="21">
        <v>-5.2400000000000446</v>
      </c>
      <c r="J599" s="19" t="s">
        <v>17</v>
      </c>
      <c r="K599" s="19" t="s">
        <v>19</v>
      </c>
      <c r="L599" s="13">
        <v>4.04</v>
      </c>
      <c r="M599" s="14" t="s">
        <v>833</v>
      </c>
      <c r="N599" s="14" t="s">
        <v>825</v>
      </c>
      <c r="O599" s="4">
        <v>42867</v>
      </c>
    </row>
    <row r="600" spans="1:15">
      <c r="A600" s="7">
        <v>170210</v>
      </c>
      <c r="B600" s="7">
        <v>4.3624999999999998</v>
      </c>
      <c r="C600" s="18" t="s">
        <v>832</v>
      </c>
      <c r="D600" s="19">
        <v>0</v>
      </c>
      <c r="E600" s="20">
        <v>9.9205479452054792</v>
      </c>
      <c r="F600" s="21">
        <v>4.3324999999999996</v>
      </c>
      <c r="G600" s="21">
        <v>3.0000000000000249</v>
      </c>
      <c r="H600" s="21">
        <v>4.3849</v>
      </c>
      <c r="I600" s="21">
        <v>-5.2400000000000446</v>
      </c>
      <c r="J600" s="19" t="s">
        <v>17</v>
      </c>
      <c r="K600" s="19" t="s">
        <v>19</v>
      </c>
      <c r="L600" s="13">
        <v>4.04</v>
      </c>
      <c r="M600" s="14" t="s">
        <v>833</v>
      </c>
      <c r="N600" s="14" t="s">
        <v>825</v>
      </c>
      <c r="O600" s="4">
        <v>42867</v>
      </c>
    </row>
    <row r="601" spans="1:15">
      <c r="A601" s="7">
        <v>170210</v>
      </c>
      <c r="B601" s="7">
        <v>4.3624999999999998</v>
      </c>
      <c r="C601" s="18" t="s">
        <v>832</v>
      </c>
      <c r="D601" s="19">
        <v>0</v>
      </c>
      <c r="E601" s="20">
        <v>9.9205479452054792</v>
      </c>
      <c r="F601" s="21">
        <v>4.3324999999999996</v>
      </c>
      <c r="G601" s="21">
        <v>3.0000000000000249</v>
      </c>
      <c r="H601" s="21">
        <v>4.3849</v>
      </c>
      <c r="I601" s="21">
        <v>-5.2400000000000446</v>
      </c>
      <c r="J601" s="19" t="s">
        <v>17</v>
      </c>
      <c r="K601" s="19" t="s">
        <v>19</v>
      </c>
      <c r="L601" s="13">
        <v>4.04</v>
      </c>
      <c r="M601" s="14" t="s">
        <v>833</v>
      </c>
      <c r="N601" s="14" t="s">
        <v>825</v>
      </c>
      <c r="O601" s="4">
        <v>42867</v>
      </c>
    </row>
    <row r="602" spans="1:15">
      <c r="A602" s="7">
        <v>170210</v>
      </c>
      <c r="B602" s="7">
        <v>4.3624999999999998</v>
      </c>
      <c r="C602" s="18" t="s">
        <v>832</v>
      </c>
      <c r="D602" s="19">
        <v>0</v>
      </c>
      <c r="E602" s="20">
        <v>9.9205479452054792</v>
      </c>
      <c r="F602" s="21">
        <v>4.3324999999999996</v>
      </c>
      <c r="G602" s="21">
        <v>3.0000000000000249</v>
      </c>
      <c r="H602" s="21">
        <v>4.3849</v>
      </c>
      <c r="I602" s="21">
        <v>-5.2400000000000446</v>
      </c>
      <c r="J602" s="19" t="s">
        <v>17</v>
      </c>
      <c r="K602" s="19" t="s">
        <v>19</v>
      </c>
      <c r="L602" s="13">
        <v>4.04</v>
      </c>
      <c r="M602" s="14" t="s">
        <v>833</v>
      </c>
      <c r="N602" s="14" t="s">
        <v>825</v>
      </c>
      <c r="O602" s="4">
        <v>42867</v>
      </c>
    </row>
    <row r="603" spans="1:15">
      <c r="A603" s="7">
        <v>170210</v>
      </c>
      <c r="B603" s="7">
        <v>4.3624999999999998</v>
      </c>
      <c r="C603" s="18" t="s">
        <v>832</v>
      </c>
      <c r="D603" s="19">
        <v>0</v>
      </c>
      <c r="E603" s="20">
        <v>9.9205479452054792</v>
      </c>
      <c r="F603" s="21">
        <v>4.3324999999999996</v>
      </c>
      <c r="G603" s="21">
        <v>3.0000000000000249</v>
      </c>
      <c r="H603" s="21">
        <v>4.3849</v>
      </c>
      <c r="I603" s="21">
        <v>-5.2400000000000446</v>
      </c>
      <c r="J603" s="19" t="s">
        <v>17</v>
      </c>
      <c r="K603" s="19" t="s">
        <v>19</v>
      </c>
      <c r="L603" s="13">
        <v>4.04</v>
      </c>
      <c r="M603" s="14" t="s">
        <v>833</v>
      </c>
      <c r="N603" s="14" t="s">
        <v>825</v>
      </c>
      <c r="O603" s="4">
        <v>42867</v>
      </c>
    </row>
    <row r="604" spans="1:15">
      <c r="A604" s="7">
        <v>170210</v>
      </c>
      <c r="B604" s="7">
        <v>4.3624999999999998</v>
      </c>
      <c r="C604" s="18" t="s">
        <v>832</v>
      </c>
      <c r="D604" s="19">
        <v>0</v>
      </c>
      <c r="E604" s="20">
        <v>9.9205479452054792</v>
      </c>
      <c r="F604" s="21">
        <v>4.3324999999999996</v>
      </c>
      <c r="G604" s="21">
        <v>3.0000000000000249</v>
      </c>
      <c r="H604" s="21">
        <v>4.3849</v>
      </c>
      <c r="I604" s="21">
        <v>-5.2400000000000446</v>
      </c>
      <c r="J604" s="19" t="s">
        <v>17</v>
      </c>
      <c r="K604" s="19" t="s">
        <v>19</v>
      </c>
      <c r="L604" s="13">
        <v>4.04</v>
      </c>
      <c r="M604" s="14" t="s">
        <v>833</v>
      </c>
      <c r="N604" s="14" t="s">
        <v>825</v>
      </c>
      <c r="O604" s="4">
        <v>42867</v>
      </c>
    </row>
    <row r="605" spans="1:15">
      <c r="A605" s="7">
        <v>170210</v>
      </c>
      <c r="B605" s="7">
        <v>4.3624999999999998</v>
      </c>
      <c r="C605" s="18" t="s">
        <v>832</v>
      </c>
      <c r="D605" s="19">
        <v>0</v>
      </c>
      <c r="E605" s="20">
        <v>9.9205479452054792</v>
      </c>
      <c r="F605" s="21">
        <v>4.3324999999999996</v>
      </c>
      <c r="G605" s="21">
        <v>3.0000000000000249</v>
      </c>
      <c r="H605" s="21">
        <v>4.3849</v>
      </c>
      <c r="I605" s="21">
        <v>-5.2400000000000446</v>
      </c>
      <c r="J605" s="19" t="s">
        <v>17</v>
      </c>
      <c r="K605" s="19" t="s">
        <v>19</v>
      </c>
      <c r="L605" s="13">
        <v>4.04</v>
      </c>
      <c r="M605" s="14" t="s">
        <v>833</v>
      </c>
      <c r="N605" s="14" t="s">
        <v>825</v>
      </c>
      <c r="O605" s="4">
        <v>42867</v>
      </c>
    </row>
    <row r="606" spans="1:15">
      <c r="A606" s="7">
        <v>170210</v>
      </c>
      <c r="B606" s="7">
        <v>4.3624999999999998</v>
      </c>
      <c r="C606" s="18" t="s">
        <v>832</v>
      </c>
      <c r="D606" s="19">
        <v>0</v>
      </c>
      <c r="E606" s="20">
        <v>9.9205479452054792</v>
      </c>
      <c r="F606" s="21">
        <v>4.3324999999999996</v>
      </c>
      <c r="G606" s="21">
        <v>3.0000000000000249</v>
      </c>
      <c r="H606" s="21">
        <v>4.3849</v>
      </c>
      <c r="I606" s="21">
        <v>-5.2400000000000446</v>
      </c>
      <c r="J606" s="19" t="s">
        <v>17</v>
      </c>
      <c r="K606" s="19" t="s">
        <v>19</v>
      </c>
      <c r="L606" s="13">
        <v>4.04</v>
      </c>
      <c r="M606" s="14" t="s">
        <v>833</v>
      </c>
      <c r="N606" s="14" t="s">
        <v>825</v>
      </c>
      <c r="O606" s="4">
        <v>42867</v>
      </c>
    </row>
    <row r="607" spans="1:15">
      <c r="A607" s="7">
        <v>170210</v>
      </c>
      <c r="B607" s="7">
        <v>4.3624999999999998</v>
      </c>
      <c r="C607" s="18" t="s">
        <v>832</v>
      </c>
      <c r="D607" s="19">
        <v>0</v>
      </c>
      <c r="E607" s="20">
        <v>9.9205479452054792</v>
      </c>
      <c r="F607" s="21">
        <v>4.3324999999999996</v>
      </c>
      <c r="G607" s="21">
        <v>3.0000000000000249</v>
      </c>
      <c r="H607" s="21">
        <v>4.3849</v>
      </c>
      <c r="I607" s="21">
        <v>-5.2400000000000446</v>
      </c>
      <c r="J607" s="19" t="s">
        <v>17</v>
      </c>
      <c r="K607" s="19" t="s">
        <v>19</v>
      </c>
      <c r="L607" s="13">
        <v>4.04</v>
      </c>
      <c r="M607" s="14" t="s">
        <v>833</v>
      </c>
      <c r="N607" s="14" t="s">
        <v>825</v>
      </c>
      <c r="O607" s="4">
        <v>42867</v>
      </c>
    </row>
    <row r="608" spans="1:15">
      <c r="A608" s="7">
        <v>170210</v>
      </c>
      <c r="B608" s="7">
        <v>4.3624999999999998</v>
      </c>
      <c r="C608" s="18" t="s">
        <v>832</v>
      </c>
      <c r="D608" s="19">
        <v>0</v>
      </c>
      <c r="E608" s="20">
        <v>9.9205479452054792</v>
      </c>
      <c r="F608" s="21">
        <v>4.3324999999999996</v>
      </c>
      <c r="G608" s="21">
        <v>3.0000000000000249</v>
      </c>
      <c r="H608" s="21">
        <v>4.3849</v>
      </c>
      <c r="I608" s="21">
        <v>-5.2400000000000446</v>
      </c>
      <c r="J608" s="19" t="s">
        <v>17</v>
      </c>
      <c r="K608" s="19" t="s">
        <v>19</v>
      </c>
      <c r="L608" s="13">
        <v>4.04</v>
      </c>
      <c r="M608" s="14" t="s">
        <v>833</v>
      </c>
      <c r="N608" s="14" t="s">
        <v>825</v>
      </c>
      <c r="O608" s="4">
        <v>42867</v>
      </c>
    </row>
    <row r="609" spans="1:15">
      <c r="A609" s="7">
        <v>170210</v>
      </c>
      <c r="B609" s="7">
        <v>4.3624999999999998</v>
      </c>
      <c r="C609" s="18" t="s">
        <v>832</v>
      </c>
      <c r="D609" s="19">
        <v>0</v>
      </c>
      <c r="E609" s="20">
        <v>9.9205479452054792</v>
      </c>
      <c r="F609" s="21">
        <v>4.3324999999999996</v>
      </c>
      <c r="G609" s="21">
        <v>3.0000000000000249</v>
      </c>
      <c r="H609" s="21">
        <v>4.3849</v>
      </c>
      <c r="I609" s="21">
        <v>-5.2400000000000446</v>
      </c>
      <c r="J609" s="19" t="s">
        <v>17</v>
      </c>
      <c r="K609" s="19" t="s">
        <v>19</v>
      </c>
      <c r="L609" s="13">
        <v>4.04</v>
      </c>
      <c r="M609" s="14" t="s">
        <v>833</v>
      </c>
      <c r="N609" s="14" t="s">
        <v>825</v>
      </c>
      <c r="O609" s="4">
        <v>42867</v>
      </c>
    </row>
    <row r="610" spans="1:15">
      <c r="A610" s="7">
        <v>170210</v>
      </c>
      <c r="B610" s="7">
        <v>4.3624999999999998</v>
      </c>
      <c r="C610" s="18" t="s">
        <v>832</v>
      </c>
      <c r="D610" s="19">
        <v>0</v>
      </c>
      <c r="E610" s="20">
        <v>9.9205479452054792</v>
      </c>
      <c r="F610" s="21">
        <v>4.3324999999999996</v>
      </c>
      <c r="G610" s="21">
        <v>3.0000000000000249</v>
      </c>
      <c r="H610" s="21">
        <v>4.3849</v>
      </c>
      <c r="I610" s="21">
        <v>-5.2400000000000446</v>
      </c>
      <c r="J610" s="19" t="s">
        <v>17</v>
      </c>
      <c r="K610" s="19" t="s">
        <v>19</v>
      </c>
      <c r="L610" s="13">
        <v>4.04</v>
      </c>
      <c r="M610" s="14" t="s">
        <v>833</v>
      </c>
      <c r="N610" s="14" t="s">
        <v>825</v>
      </c>
      <c r="O610" s="4">
        <v>42867</v>
      </c>
    </row>
    <row r="611" spans="1:15">
      <c r="A611" s="7">
        <v>170210</v>
      </c>
      <c r="B611" s="7">
        <v>4.3624999999999998</v>
      </c>
      <c r="C611" s="18" t="s">
        <v>832</v>
      </c>
      <c r="D611" s="19">
        <v>0</v>
      </c>
      <c r="E611" s="20">
        <v>9.9205479452054792</v>
      </c>
      <c r="F611" s="21">
        <v>4.3324999999999996</v>
      </c>
      <c r="G611" s="21">
        <v>3.0000000000000249</v>
      </c>
      <c r="H611" s="21">
        <v>4.3849</v>
      </c>
      <c r="I611" s="21">
        <v>-5.2400000000000446</v>
      </c>
      <c r="J611" s="19" t="s">
        <v>17</v>
      </c>
      <c r="K611" s="19" t="s">
        <v>19</v>
      </c>
      <c r="L611" s="13">
        <v>4.04</v>
      </c>
      <c r="M611" s="14" t="s">
        <v>833</v>
      </c>
      <c r="N611" s="14" t="s">
        <v>825</v>
      </c>
      <c r="O611" s="4">
        <v>42867</v>
      </c>
    </row>
    <row r="612" spans="1:15">
      <c r="A612" s="7">
        <v>41662024</v>
      </c>
      <c r="B612" s="7">
        <v>4.3600000000000003</v>
      </c>
      <c r="C612" s="18" t="s">
        <v>623</v>
      </c>
      <c r="D612" s="19" t="s">
        <v>25</v>
      </c>
      <c r="E612" s="20">
        <v>0.11232876712328767</v>
      </c>
      <c r="F612" s="21">
        <v>4.4252000000000002</v>
      </c>
      <c r="G612" s="21">
        <v>-6.5199999999999925</v>
      </c>
      <c r="H612" s="21">
        <v>4.3587999999999996</v>
      </c>
      <c r="I612" s="21">
        <v>6.6400000000000681</v>
      </c>
      <c r="J612" s="19" t="s">
        <v>12</v>
      </c>
      <c r="K612" s="19" t="s">
        <v>13</v>
      </c>
      <c r="L612" s="13">
        <v>3.15</v>
      </c>
      <c r="M612" s="14" t="s">
        <v>400</v>
      </c>
      <c r="N612" s="14" t="s">
        <v>396</v>
      </c>
      <c r="O612" s="4">
        <v>42867</v>
      </c>
    </row>
    <row r="613" spans="1:15">
      <c r="A613" s="7">
        <v>170210</v>
      </c>
      <c r="B613" s="7">
        <v>4.3600000000000003</v>
      </c>
      <c r="C613" s="18" t="s">
        <v>832</v>
      </c>
      <c r="D613" s="19">
        <v>0</v>
      </c>
      <c r="E613" s="20">
        <v>9.9205479452054792</v>
      </c>
      <c r="F613" s="21">
        <v>4.3324999999999996</v>
      </c>
      <c r="G613" s="21">
        <v>2.7500000000000746</v>
      </c>
      <c r="H613" s="21">
        <v>4.3849</v>
      </c>
      <c r="I613" s="21">
        <v>-5.2400000000000446</v>
      </c>
      <c r="J613" s="19" t="s">
        <v>17</v>
      </c>
      <c r="K613" s="19" t="s">
        <v>19</v>
      </c>
      <c r="L613" s="13">
        <v>4.04</v>
      </c>
      <c r="M613" s="14" t="s">
        <v>833</v>
      </c>
      <c r="N613" s="14" t="s">
        <v>825</v>
      </c>
      <c r="O613" s="4">
        <v>42867</v>
      </c>
    </row>
    <row r="614" spans="1:15">
      <c r="A614" s="7">
        <v>170210</v>
      </c>
      <c r="B614" s="7">
        <v>4.3600000000000003</v>
      </c>
      <c r="C614" s="18" t="s">
        <v>832</v>
      </c>
      <c r="D614" s="19">
        <v>0</v>
      </c>
      <c r="E614" s="20">
        <v>9.9205479452054792</v>
      </c>
      <c r="F614" s="21">
        <v>4.3324999999999996</v>
      </c>
      <c r="G614" s="21">
        <v>2.7500000000000746</v>
      </c>
      <c r="H614" s="21">
        <v>4.3849</v>
      </c>
      <c r="I614" s="21">
        <v>-5.2400000000000446</v>
      </c>
      <c r="J614" s="19" t="s">
        <v>17</v>
      </c>
      <c r="K614" s="19" t="s">
        <v>19</v>
      </c>
      <c r="L614" s="13">
        <v>4.04</v>
      </c>
      <c r="M614" s="14" t="s">
        <v>833</v>
      </c>
      <c r="N614" s="14" t="s">
        <v>825</v>
      </c>
      <c r="O614" s="4">
        <v>42867</v>
      </c>
    </row>
    <row r="615" spans="1:15">
      <c r="A615" s="7">
        <v>170210</v>
      </c>
      <c r="B615" s="7">
        <v>4.3600000000000003</v>
      </c>
      <c r="C615" s="18" t="s">
        <v>832</v>
      </c>
      <c r="D615" s="19">
        <v>0</v>
      </c>
      <c r="E615" s="20">
        <v>9.9205479452054792</v>
      </c>
      <c r="F615" s="21">
        <v>4.3324999999999996</v>
      </c>
      <c r="G615" s="21">
        <v>2.7500000000000746</v>
      </c>
      <c r="H615" s="21">
        <v>4.3849</v>
      </c>
      <c r="I615" s="21">
        <v>-5.2400000000000446</v>
      </c>
      <c r="J615" s="19" t="s">
        <v>17</v>
      </c>
      <c r="K615" s="19" t="s">
        <v>19</v>
      </c>
      <c r="L615" s="13">
        <v>4.04</v>
      </c>
      <c r="M615" s="14" t="s">
        <v>833</v>
      </c>
      <c r="N615" s="14" t="s">
        <v>825</v>
      </c>
      <c r="O615" s="4">
        <v>42867</v>
      </c>
    </row>
    <row r="616" spans="1:15">
      <c r="A616" s="7">
        <v>170210</v>
      </c>
      <c r="B616" s="7">
        <v>4.3600000000000003</v>
      </c>
      <c r="C616" s="18" t="s">
        <v>832</v>
      </c>
      <c r="D616" s="19">
        <v>0</v>
      </c>
      <c r="E616" s="20">
        <v>9.9205479452054792</v>
      </c>
      <c r="F616" s="21">
        <v>4.3324999999999996</v>
      </c>
      <c r="G616" s="21">
        <v>2.7500000000000746</v>
      </c>
      <c r="H616" s="21">
        <v>4.3849</v>
      </c>
      <c r="I616" s="21">
        <v>-5.2400000000000446</v>
      </c>
      <c r="J616" s="19" t="s">
        <v>17</v>
      </c>
      <c r="K616" s="19" t="s">
        <v>19</v>
      </c>
      <c r="L616" s="13">
        <v>4.04</v>
      </c>
      <c r="M616" s="14" t="s">
        <v>833</v>
      </c>
      <c r="N616" s="14" t="s">
        <v>825</v>
      </c>
      <c r="O616" s="4">
        <v>42867</v>
      </c>
    </row>
    <row r="617" spans="1:15">
      <c r="A617" s="7">
        <v>170210</v>
      </c>
      <c r="B617" s="7">
        <v>4.3600000000000003</v>
      </c>
      <c r="C617" s="18" t="s">
        <v>832</v>
      </c>
      <c r="D617" s="19">
        <v>0</v>
      </c>
      <c r="E617" s="20">
        <v>9.9205479452054792</v>
      </c>
      <c r="F617" s="21">
        <v>4.3324999999999996</v>
      </c>
      <c r="G617" s="21">
        <v>2.7500000000000746</v>
      </c>
      <c r="H617" s="21">
        <v>4.3849</v>
      </c>
      <c r="I617" s="21">
        <v>-5.2400000000000446</v>
      </c>
      <c r="J617" s="19" t="s">
        <v>17</v>
      </c>
      <c r="K617" s="19" t="s">
        <v>19</v>
      </c>
      <c r="L617" s="13">
        <v>4.04</v>
      </c>
      <c r="M617" s="14" t="s">
        <v>833</v>
      </c>
      <c r="N617" s="14" t="s">
        <v>825</v>
      </c>
      <c r="O617" s="4">
        <v>42867</v>
      </c>
    </row>
    <row r="618" spans="1:15">
      <c r="A618" s="7">
        <v>170210</v>
      </c>
      <c r="B618" s="7">
        <v>4.3600000000000003</v>
      </c>
      <c r="C618" s="18" t="s">
        <v>832</v>
      </c>
      <c r="D618" s="19">
        <v>0</v>
      </c>
      <c r="E618" s="20">
        <v>9.9205479452054792</v>
      </c>
      <c r="F618" s="21">
        <v>4.3324999999999996</v>
      </c>
      <c r="G618" s="21">
        <v>2.7500000000000746</v>
      </c>
      <c r="H618" s="21">
        <v>4.3849</v>
      </c>
      <c r="I618" s="21">
        <v>-5.2400000000000446</v>
      </c>
      <c r="J618" s="19" t="s">
        <v>17</v>
      </c>
      <c r="K618" s="19" t="s">
        <v>19</v>
      </c>
      <c r="L618" s="13">
        <v>4.04</v>
      </c>
      <c r="M618" s="14" t="s">
        <v>833</v>
      </c>
      <c r="N618" s="14" t="s">
        <v>825</v>
      </c>
      <c r="O618" s="4">
        <v>42867</v>
      </c>
    </row>
    <row r="619" spans="1:15">
      <c r="A619" s="7">
        <v>170210</v>
      </c>
      <c r="B619" s="7">
        <v>4.3600000000000003</v>
      </c>
      <c r="C619" s="18" t="s">
        <v>832</v>
      </c>
      <c r="D619" s="19">
        <v>0</v>
      </c>
      <c r="E619" s="20">
        <v>9.9205479452054792</v>
      </c>
      <c r="F619" s="21">
        <v>4.3324999999999996</v>
      </c>
      <c r="G619" s="21">
        <v>2.7500000000000746</v>
      </c>
      <c r="H619" s="21">
        <v>4.3849</v>
      </c>
      <c r="I619" s="21">
        <v>-5.2400000000000446</v>
      </c>
      <c r="J619" s="19" t="s">
        <v>17</v>
      </c>
      <c r="K619" s="19" t="s">
        <v>19</v>
      </c>
      <c r="L619" s="13">
        <v>4.04</v>
      </c>
      <c r="M619" s="14" t="s">
        <v>833</v>
      </c>
      <c r="N619" s="14" t="s">
        <v>825</v>
      </c>
      <c r="O619" s="4">
        <v>42867</v>
      </c>
    </row>
    <row r="620" spans="1:15">
      <c r="A620" s="7">
        <v>170210</v>
      </c>
      <c r="B620" s="7">
        <v>4.3600000000000003</v>
      </c>
      <c r="C620" s="18" t="s">
        <v>832</v>
      </c>
      <c r="D620" s="19">
        <v>0</v>
      </c>
      <c r="E620" s="20">
        <v>9.9205479452054792</v>
      </c>
      <c r="F620" s="21">
        <v>4.3324999999999996</v>
      </c>
      <c r="G620" s="21">
        <v>2.7500000000000746</v>
      </c>
      <c r="H620" s="21">
        <v>4.3849</v>
      </c>
      <c r="I620" s="21">
        <v>-5.2400000000000446</v>
      </c>
      <c r="J620" s="19" t="s">
        <v>17</v>
      </c>
      <c r="K620" s="19" t="s">
        <v>19</v>
      </c>
      <c r="L620" s="13">
        <v>4.04</v>
      </c>
      <c r="M620" s="14" t="s">
        <v>833</v>
      </c>
      <c r="N620" s="14" t="s">
        <v>825</v>
      </c>
      <c r="O620" s="4">
        <v>42867</v>
      </c>
    </row>
    <row r="621" spans="1:15">
      <c r="A621" s="7">
        <v>170210</v>
      </c>
      <c r="B621" s="7">
        <v>4.3600000000000003</v>
      </c>
      <c r="C621" s="18" t="s">
        <v>832</v>
      </c>
      <c r="D621" s="19">
        <v>0</v>
      </c>
      <c r="E621" s="20">
        <v>9.9205479452054792</v>
      </c>
      <c r="F621" s="21">
        <v>4.3324999999999996</v>
      </c>
      <c r="G621" s="21">
        <v>2.7500000000000746</v>
      </c>
      <c r="H621" s="21">
        <v>4.3849</v>
      </c>
      <c r="I621" s="21">
        <v>-5.2400000000000446</v>
      </c>
      <c r="J621" s="19" t="s">
        <v>17</v>
      </c>
      <c r="K621" s="19" t="s">
        <v>19</v>
      </c>
      <c r="L621" s="13">
        <v>4.04</v>
      </c>
      <c r="M621" s="14" t="s">
        <v>833</v>
      </c>
      <c r="N621" s="14" t="s">
        <v>825</v>
      </c>
      <c r="O621" s="4">
        <v>42867</v>
      </c>
    </row>
    <row r="622" spans="1:15">
      <c r="A622" s="7">
        <v>170210</v>
      </c>
      <c r="B622" s="7">
        <v>4.3600000000000003</v>
      </c>
      <c r="C622" s="18" t="s">
        <v>832</v>
      </c>
      <c r="D622" s="19">
        <v>0</v>
      </c>
      <c r="E622" s="20">
        <v>9.9205479452054792</v>
      </c>
      <c r="F622" s="21">
        <v>4.3324999999999996</v>
      </c>
      <c r="G622" s="21">
        <v>2.7500000000000746</v>
      </c>
      <c r="H622" s="21">
        <v>4.3849</v>
      </c>
      <c r="I622" s="21">
        <v>-5.2400000000000446</v>
      </c>
      <c r="J622" s="19" t="s">
        <v>17</v>
      </c>
      <c r="K622" s="19" t="s">
        <v>19</v>
      </c>
      <c r="L622" s="13">
        <v>4.04</v>
      </c>
      <c r="M622" s="14" t="s">
        <v>833</v>
      </c>
      <c r="N622" s="14" t="s">
        <v>825</v>
      </c>
      <c r="O622" s="4">
        <v>42867</v>
      </c>
    </row>
    <row r="623" spans="1:15">
      <c r="A623" s="7">
        <v>170210</v>
      </c>
      <c r="B623" s="7">
        <v>4.3600000000000003</v>
      </c>
      <c r="C623" s="18" t="s">
        <v>832</v>
      </c>
      <c r="D623" s="19">
        <v>0</v>
      </c>
      <c r="E623" s="20">
        <v>9.9205479452054792</v>
      </c>
      <c r="F623" s="21">
        <v>4.3324999999999996</v>
      </c>
      <c r="G623" s="21">
        <v>2.7500000000000746</v>
      </c>
      <c r="H623" s="21">
        <v>4.3849</v>
      </c>
      <c r="I623" s="21">
        <v>-5.2400000000000446</v>
      </c>
      <c r="J623" s="19" t="s">
        <v>17</v>
      </c>
      <c r="K623" s="19" t="s">
        <v>19</v>
      </c>
      <c r="L623" s="13">
        <v>4.04</v>
      </c>
      <c r="M623" s="14" t="s">
        <v>833</v>
      </c>
      <c r="N623" s="14" t="s">
        <v>825</v>
      </c>
      <c r="O623" s="4">
        <v>42867</v>
      </c>
    </row>
    <row r="624" spans="1:15">
      <c r="A624" s="7">
        <v>170210</v>
      </c>
      <c r="B624" s="7">
        <v>4.3600000000000003</v>
      </c>
      <c r="C624" s="18" t="s">
        <v>832</v>
      </c>
      <c r="D624" s="19">
        <v>0</v>
      </c>
      <c r="E624" s="20">
        <v>9.9205479452054792</v>
      </c>
      <c r="F624" s="21">
        <v>4.3324999999999996</v>
      </c>
      <c r="G624" s="21">
        <v>2.7500000000000746</v>
      </c>
      <c r="H624" s="21">
        <v>4.3849</v>
      </c>
      <c r="I624" s="21">
        <v>-5.2400000000000446</v>
      </c>
      <c r="J624" s="19" t="s">
        <v>17</v>
      </c>
      <c r="K624" s="19" t="s">
        <v>19</v>
      </c>
      <c r="L624" s="13">
        <v>4.04</v>
      </c>
      <c r="M624" s="14" t="s">
        <v>833</v>
      </c>
      <c r="N624" s="14" t="s">
        <v>825</v>
      </c>
      <c r="O624" s="4">
        <v>42867</v>
      </c>
    </row>
    <row r="625" spans="1:15">
      <c r="A625" s="7">
        <v>170210</v>
      </c>
      <c r="B625" s="7">
        <v>4.3600000000000003</v>
      </c>
      <c r="C625" s="18" t="s">
        <v>832</v>
      </c>
      <c r="D625" s="19">
        <v>0</v>
      </c>
      <c r="E625" s="20">
        <v>9.9205479452054792</v>
      </c>
      <c r="F625" s="21">
        <v>4.3324999999999996</v>
      </c>
      <c r="G625" s="21">
        <v>2.7500000000000746</v>
      </c>
      <c r="H625" s="21">
        <v>4.3849</v>
      </c>
      <c r="I625" s="21">
        <v>-5.2400000000000446</v>
      </c>
      <c r="J625" s="19" t="s">
        <v>17</v>
      </c>
      <c r="K625" s="19" t="s">
        <v>19</v>
      </c>
      <c r="L625" s="13">
        <v>4.04</v>
      </c>
      <c r="M625" s="14" t="s">
        <v>833</v>
      </c>
      <c r="N625" s="14" t="s">
        <v>825</v>
      </c>
      <c r="O625" s="4">
        <v>42867</v>
      </c>
    </row>
    <row r="626" spans="1:15">
      <c r="A626" s="7">
        <v>170210</v>
      </c>
      <c r="B626" s="7">
        <v>4.3600000000000003</v>
      </c>
      <c r="C626" s="18" t="s">
        <v>832</v>
      </c>
      <c r="D626" s="19">
        <v>0</v>
      </c>
      <c r="E626" s="20">
        <v>9.9205479452054792</v>
      </c>
      <c r="F626" s="21">
        <v>4.3324999999999996</v>
      </c>
      <c r="G626" s="21">
        <v>2.7500000000000746</v>
      </c>
      <c r="H626" s="21">
        <v>4.3849</v>
      </c>
      <c r="I626" s="21">
        <v>-5.2400000000000446</v>
      </c>
      <c r="J626" s="19" t="s">
        <v>17</v>
      </c>
      <c r="K626" s="19" t="s">
        <v>19</v>
      </c>
      <c r="L626" s="13">
        <v>4.04</v>
      </c>
      <c r="M626" s="14" t="s">
        <v>833</v>
      </c>
      <c r="N626" s="14" t="s">
        <v>825</v>
      </c>
      <c r="O626" s="4">
        <v>42867</v>
      </c>
    </row>
    <row r="627" spans="1:15">
      <c r="A627" s="7">
        <v>170210</v>
      </c>
      <c r="B627" s="7">
        <v>4.3600000000000003</v>
      </c>
      <c r="C627" s="18" t="s">
        <v>832</v>
      </c>
      <c r="D627" s="19">
        <v>0</v>
      </c>
      <c r="E627" s="20">
        <v>9.9205479452054792</v>
      </c>
      <c r="F627" s="21">
        <v>4.3324999999999996</v>
      </c>
      <c r="G627" s="21">
        <v>2.7500000000000746</v>
      </c>
      <c r="H627" s="21">
        <v>4.3849</v>
      </c>
      <c r="I627" s="21">
        <v>-5.2400000000000446</v>
      </c>
      <c r="J627" s="19" t="s">
        <v>17</v>
      </c>
      <c r="K627" s="19" t="s">
        <v>19</v>
      </c>
      <c r="L627" s="13">
        <v>4.04</v>
      </c>
      <c r="M627" s="14" t="s">
        <v>833</v>
      </c>
      <c r="N627" s="14" t="s">
        <v>825</v>
      </c>
      <c r="O627" s="4">
        <v>42867</v>
      </c>
    </row>
    <row r="628" spans="1:15">
      <c r="A628" s="7">
        <v>170210</v>
      </c>
      <c r="B628" s="7">
        <v>4.3600000000000003</v>
      </c>
      <c r="C628" s="18" t="s">
        <v>832</v>
      </c>
      <c r="D628" s="19">
        <v>0</v>
      </c>
      <c r="E628" s="20">
        <v>9.9205479452054792</v>
      </c>
      <c r="F628" s="21">
        <v>4.3324999999999996</v>
      </c>
      <c r="G628" s="21">
        <v>2.7500000000000746</v>
      </c>
      <c r="H628" s="21">
        <v>4.3849</v>
      </c>
      <c r="I628" s="21">
        <v>-5.2400000000000446</v>
      </c>
      <c r="J628" s="19" t="s">
        <v>17</v>
      </c>
      <c r="K628" s="19" t="s">
        <v>19</v>
      </c>
      <c r="L628" s="13">
        <v>4.04</v>
      </c>
      <c r="M628" s="14" t="s">
        <v>833</v>
      </c>
      <c r="N628" s="14" t="s">
        <v>825</v>
      </c>
      <c r="O628" s="4">
        <v>42867</v>
      </c>
    </row>
    <row r="629" spans="1:15">
      <c r="A629" s="7">
        <v>170210</v>
      </c>
      <c r="B629" s="7">
        <v>4.3600000000000003</v>
      </c>
      <c r="C629" s="18" t="s">
        <v>832</v>
      </c>
      <c r="D629" s="19">
        <v>0</v>
      </c>
      <c r="E629" s="20">
        <v>9.9205479452054792</v>
      </c>
      <c r="F629" s="21">
        <v>4.3324999999999996</v>
      </c>
      <c r="G629" s="21">
        <v>2.7500000000000746</v>
      </c>
      <c r="H629" s="21">
        <v>4.3849</v>
      </c>
      <c r="I629" s="21">
        <v>-5.2400000000000446</v>
      </c>
      <c r="J629" s="19" t="s">
        <v>17</v>
      </c>
      <c r="K629" s="19" t="s">
        <v>19</v>
      </c>
      <c r="L629" s="13">
        <v>4.04</v>
      </c>
      <c r="M629" s="14" t="s">
        <v>833</v>
      </c>
      <c r="N629" s="14" t="s">
        <v>825</v>
      </c>
      <c r="O629" s="4">
        <v>42867</v>
      </c>
    </row>
    <row r="630" spans="1:15">
      <c r="A630" s="7">
        <v>170210</v>
      </c>
      <c r="B630" s="7">
        <v>4.3600000000000003</v>
      </c>
      <c r="C630" s="18" t="s">
        <v>832</v>
      </c>
      <c r="D630" s="19">
        <v>0</v>
      </c>
      <c r="E630" s="20">
        <v>9.9205479452054792</v>
      </c>
      <c r="F630" s="21">
        <v>4.3324999999999996</v>
      </c>
      <c r="G630" s="21">
        <v>2.7500000000000746</v>
      </c>
      <c r="H630" s="21">
        <v>4.3849</v>
      </c>
      <c r="I630" s="21">
        <v>-5.2400000000000446</v>
      </c>
      <c r="J630" s="19" t="s">
        <v>17</v>
      </c>
      <c r="K630" s="19" t="s">
        <v>19</v>
      </c>
      <c r="L630" s="13">
        <v>4.04</v>
      </c>
      <c r="M630" s="14" t="s">
        <v>833</v>
      </c>
      <c r="N630" s="14" t="s">
        <v>825</v>
      </c>
      <c r="O630" s="4">
        <v>42867</v>
      </c>
    </row>
    <row r="631" spans="1:15">
      <c r="A631" s="7">
        <v>170210</v>
      </c>
      <c r="B631" s="7">
        <v>4.3600000000000003</v>
      </c>
      <c r="C631" s="18" t="s">
        <v>832</v>
      </c>
      <c r="D631" s="19">
        <v>0</v>
      </c>
      <c r="E631" s="20">
        <v>9.9205479452054792</v>
      </c>
      <c r="F631" s="21">
        <v>4.3324999999999996</v>
      </c>
      <c r="G631" s="21">
        <v>2.7500000000000746</v>
      </c>
      <c r="H631" s="21">
        <v>4.3849</v>
      </c>
      <c r="I631" s="21">
        <v>-5.2400000000000446</v>
      </c>
      <c r="J631" s="19" t="s">
        <v>17</v>
      </c>
      <c r="K631" s="19" t="s">
        <v>19</v>
      </c>
      <c r="L631" s="13">
        <v>4.04</v>
      </c>
      <c r="M631" s="14" t="s">
        <v>833</v>
      </c>
      <c r="N631" s="14" t="s">
        <v>825</v>
      </c>
      <c r="O631" s="4">
        <v>42867</v>
      </c>
    </row>
    <row r="632" spans="1:15">
      <c r="A632" s="7">
        <v>170210</v>
      </c>
      <c r="B632" s="7">
        <v>4.3600000000000003</v>
      </c>
      <c r="C632" s="18" t="s">
        <v>832</v>
      </c>
      <c r="D632" s="19">
        <v>0</v>
      </c>
      <c r="E632" s="20">
        <v>9.9205479452054792</v>
      </c>
      <c r="F632" s="21">
        <v>4.3324999999999996</v>
      </c>
      <c r="G632" s="21">
        <v>2.7500000000000746</v>
      </c>
      <c r="H632" s="21">
        <v>4.3849</v>
      </c>
      <c r="I632" s="21">
        <v>-5.2400000000000446</v>
      </c>
      <c r="J632" s="19" t="s">
        <v>17</v>
      </c>
      <c r="K632" s="19" t="s">
        <v>19</v>
      </c>
      <c r="L632" s="13">
        <v>4.04</v>
      </c>
      <c r="M632" s="14" t="s">
        <v>833</v>
      </c>
      <c r="N632" s="14" t="s">
        <v>825</v>
      </c>
      <c r="O632" s="4">
        <v>42867</v>
      </c>
    </row>
    <row r="633" spans="1:15">
      <c r="A633" s="7">
        <v>170210</v>
      </c>
      <c r="B633" s="7">
        <v>4.3600000000000003</v>
      </c>
      <c r="C633" s="18" t="s">
        <v>832</v>
      </c>
      <c r="D633" s="19">
        <v>0</v>
      </c>
      <c r="E633" s="20">
        <v>9.9205479452054792</v>
      </c>
      <c r="F633" s="21">
        <v>4.3324999999999996</v>
      </c>
      <c r="G633" s="21">
        <v>2.7500000000000746</v>
      </c>
      <c r="H633" s="21">
        <v>4.3849</v>
      </c>
      <c r="I633" s="21">
        <v>-5.2400000000000446</v>
      </c>
      <c r="J633" s="19" t="s">
        <v>17</v>
      </c>
      <c r="K633" s="19" t="s">
        <v>19</v>
      </c>
      <c r="L633" s="13">
        <v>4.04</v>
      </c>
      <c r="M633" s="14" t="s">
        <v>833</v>
      </c>
      <c r="N633" s="14" t="s">
        <v>825</v>
      </c>
      <c r="O633" s="4">
        <v>42867</v>
      </c>
    </row>
    <row r="634" spans="1:15">
      <c r="A634" s="7">
        <v>170210</v>
      </c>
      <c r="B634" s="7">
        <v>4.3600000000000003</v>
      </c>
      <c r="C634" s="18" t="s">
        <v>832</v>
      </c>
      <c r="D634" s="19">
        <v>0</v>
      </c>
      <c r="E634" s="20">
        <v>9.9205479452054792</v>
      </c>
      <c r="F634" s="21">
        <v>4.3324999999999996</v>
      </c>
      <c r="G634" s="21">
        <v>2.7500000000000746</v>
      </c>
      <c r="H634" s="21">
        <v>4.3849</v>
      </c>
      <c r="I634" s="21">
        <v>-5.2400000000000446</v>
      </c>
      <c r="J634" s="19" t="s">
        <v>17</v>
      </c>
      <c r="K634" s="19" t="s">
        <v>19</v>
      </c>
      <c r="L634" s="13">
        <v>4.04</v>
      </c>
      <c r="M634" s="14" t="s">
        <v>833</v>
      </c>
      <c r="N634" s="14" t="s">
        <v>825</v>
      </c>
      <c r="O634" s="4">
        <v>42867</v>
      </c>
    </row>
    <row r="635" spans="1:15">
      <c r="A635" s="7">
        <v>170210</v>
      </c>
      <c r="B635" s="7">
        <v>4.3600000000000003</v>
      </c>
      <c r="C635" s="18" t="s">
        <v>832</v>
      </c>
      <c r="D635" s="19">
        <v>0</v>
      </c>
      <c r="E635" s="20">
        <v>9.9205479452054792</v>
      </c>
      <c r="F635" s="21">
        <v>4.3324999999999996</v>
      </c>
      <c r="G635" s="21">
        <v>2.7500000000000746</v>
      </c>
      <c r="H635" s="21">
        <v>4.3849</v>
      </c>
      <c r="I635" s="21">
        <v>-5.2400000000000446</v>
      </c>
      <c r="J635" s="19" t="s">
        <v>17</v>
      </c>
      <c r="K635" s="19" t="s">
        <v>19</v>
      </c>
      <c r="L635" s="13">
        <v>4.04</v>
      </c>
      <c r="M635" s="14" t="s">
        <v>833</v>
      </c>
      <c r="N635" s="14" t="s">
        <v>825</v>
      </c>
      <c r="O635" s="4">
        <v>42867</v>
      </c>
    </row>
    <row r="636" spans="1:15">
      <c r="A636" s="7">
        <v>170210</v>
      </c>
      <c r="B636" s="7">
        <v>4.3600000000000003</v>
      </c>
      <c r="C636" s="18" t="s">
        <v>832</v>
      </c>
      <c r="D636" s="19">
        <v>0</v>
      </c>
      <c r="E636" s="20">
        <v>9.9205479452054792</v>
      </c>
      <c r="F636" s="21">
        <v>4.3324999999999996</v>
      </c>
      <c r="G636" s="21">
        <v>2.7500000000000746</v>
      </c>
      <c r="H636" s="21">
        <v>4.3849</v>
      </c>
      <c r="I636" s="21">
        <v>-5.2400000000000446</v>
      </c>
      <c r="J636" s="19" t="s">
        <v>17</v>
      </c>
      <c r="K636" s="19" t="s">
        <v>19</v>
      </c>
      <c r="L636" s="13">
        <v>4.04</v>
      </c>
      <c r="M636" s="14" t="s">
        <v>833</v>
      </c>
      <c r="N636" s="14" t="s">
        <v>825</v>
      </c>
      <c r="O636" s="4">
        <v>42867</v>
      </c>
    </row>
    <row r="637" spans="1:15">
      <c r="A637" s="7">
        <v>170210</v>
      </c>
      <c r="B637" s="7">
        <v>4.3600000000000003</v>
      </c>
      <c r="C637" s="18" t="s">
        <v>832</v>
      </c>
      <c r="D637" s="19">
        <v>0</v>
      </c>
      <c r="E637" s="20">
        <v>9.9205479452054792</v>
      </c>
      <c r="F637" s="21">
        <v>4.3324999999999996</v>
      </c>
      <c r="G637" s="21">
        <v>2.7500000000000746</v>
      </c>
      <c r="H637" s="21">
        <v>4.3849</v>
      </c>
      <c r="I637" s="21">
        <v>-5.2400000000000446</v>
      </c>
      <c r="J637" s="19" t="s">
        <v>17</v>
      </c>
      <c r="K637" s="19" t="s">
        <v>19</v>
      </c>
      <c r="L637" s="13">
        <v>4.04</v>
      </c>
      <c r="M637" s="14" t="s">
        <v>833</v>
      </c>
      <c r="N637" s="14" t="s">
        <v>825</v>
      </c>
      <c r="O637" s="4">
        <v>42867</v>
      </c>
    </row>
    <row r="638" spans="1:15">
      <c r="A638" s="7">
        <v>170210</v>
      </c>
      <c r="B638" s="7">
        <v>4.3600000000000003</v>
      </c>
      <c r="C638" s="18" t="s">
        <v>832</v>
      </c>
      <c r="D638" s="19">
        <v>0</v>
      </c>
      <c r="E638" s="20">
        <v>9.9205479452054792</v>
      </c>
      <c r="F638" s="21">
        <v>4.3324999999999996</v>
      </c>
      <c r="G638" s="21">
        <v>2.7500000000000746</v>
      </c>
      <c r="H638" s="21">
        <v>4.3849</v>
      </c>
      <c r="I638" s="21">
        <v>-5.2400000000000446</v>
      </c>
      <c r="J638" s="19" t="s">
        <v>17</v>
      </c>
      <c r="K638" s="19" t="s">
        <v>19</v>
      </c>
      <c r="L638" s="13">
        <v>4.04</v>
      </c>
      <c r="M638" s="14" t="s">
        <v>833</v>
      </c>
      <c r="N638" s="14" t="s">
        <v>825</v>
      </c>
      <c r="O638" s="4">
        <v>42867</v>
      </c>
    </row>
    <row r="639" spans="1:15">
      <c r="A639" s="7">
        <v>170210</v>
      </c>
      <c r="B639" s="7">
        <v>4.3600000000000003</v>
      </c>
      <c r="C639" s="18" t="s">
        <v>832</v>
      </c>
      <c r="D639" s="19">
        <v>0</v>
      </c>
      <c r="E639" s="20">
        <v>9.9205479452054792</v>
      </c>
      <c r="F639" s="21">
        <v>4.3324999999999996</v>
      </c>
      <c r="G639" s="21">
        <v>2.7500000000000746</v>
      </c>
      <c r="H639" s="21">
        <v>4.3849</v>
      </c>
      <c r="I639" s="21">
        <v>-5.2400000000000446</v>
      </c>
      <c r="J639" s="19" t="s">
        <v>17</v>
      </c>
      <c r="K639" s="19" t="s">
        <v>19</v>
      </c>
      <c r="L639" s="13">
        <v>4.04</v>
      </c>
      <c r="M639" s="14" t="s">
        <v>833</v>
      </c>
      <c r="N639" s="14" t="s">
        <v>825</v>
      </c>
      <c r="O639" s="4">
        <v>42867</v>
      </c>
    </row>
    <row r="640" spans="1:15">
      <c r="A640" s="7">
        <v>170210</v>
      </c>
      <c r="B640" s="7">
        <v>4.3600000000000003</v>
      </c>
      <c r="C640" s="18" t="s">
        <v>832</v>
      </c>
      <c r="D640" s="19">
        <v>0</v>
      </c>
      <c r="E640" s="20">
        <v>9.9205479452054792</v>
      </c>
      <c r="F640" s="21">
        <v>4.3324999999999996</v>
      </c>
      <c r="G640" s="21">
        <v>2.7500000000000746</v>
      </c>
      <c r="H640" s="21">
        <v>4.3849</v>
      </c>
      <c r="I640" s="21">
        <v>-5.2400000000000446</v>
      </c>
      <c r="J640" s="19" t="s">
        <v>17</v>
      </c>
      <c r="K640" s="19" t="s">
        <v>19</v>
      </c>
      <c r="L640" s="13">
        <v>4.04</v>
      </c>
      <c r="M640" s="14" t="s">
        <v>833</v>
      </c>
      <c r="N640" s="14" t="s">
        <v>825</v>
      </c>
      <c r="O640" s="4">
        <v>42867</v>
      </c>
    </row>
    <row r="641" spans="1:15">
      <c r="A641" s="7">
        <v>170210</v>
      </c>
      <c r="B641" s="7">
        <v>4.3574999999999999</v>
      </c>
      <c r="C641" s="18" t="s">
        <v>832</v>
      </c>
      <c r="D641" s="19">
        <v>0</v>
      </c>
      <c r="E641" s="20">
        <v>9.9205479452054792</v>
      </c>
      <c r="F641" s="21">
        <v>4.3324999999999996</v>
      </c>
      <c r="G641" s="21">
        <v>2.5000000000000355</v>
      </c>
      <c r="H641" s="21">
        <v>4.3849</v>
      </c>
      <c r="I641" s="21">
        <v>-5.2400000000000446</v>
      </c>
      <c r="J641" s="19" t="s">
        <v>17</v>
      </c>
      <c r="K641" s="19" t="s">
        <v>19</v>
      </c>
      <c r="L641" s="13">
        <v>4.04</v>
      </c>
      <c r="M641" s="14" t="s">
        <v>833</v>
      </c>
      <c r="N641" s="14" t="s">
        <v>825</v>
      </c>
      <c r="O641" s="4">
        <v>42867</v>
      </c>
    </row>
    <row r="642" spans="1:15">
      <c r="A642" s="7">
        <v>170210</v>
      </c>
      <c r="B642" s="7">
        <v>4.3574999999999999</v>
      </c>
      <c r="C642" s="18" t="s">
        <v>832</v>
      </c>
      <c r="D642" s="19">
        <v>0</v>
      </c>
      <c r="E642" s="20">
        <v>9.9205479452054792</v>
      </c>
      <c r="F642" s="21">
        <v>4.3324999999999996</v>
      </c>
      <c r="G642" s="21">
        <v>2.5000000000000355</v>
      </c>
      <c r="H642" s="21">
        <v>4.3849</v>
      </c>
      <c r="I642" s="21">
        <v>-5.2400000000000446</v>
      </c>
      <c r="J642" s="19" t="s">
        <v>17</v>
      </c>
      <c r="K642" s="19" t="s">
        <v>19</v>
      </c>
      <c r="L642" s="13">
        <v>4.04</v>
      </c>
      <c r="M642" s="14" t="s">
        <v>833</v>
      </c>
      <c r="N642" s="14" t="s">
        <v>825</v>
      </c>
      <c r="O642" s="4">
        <v>42867</v>
      </c>
    </row>
    <row r="643" spans="1:15">
      <c r="A643" s="7">
        <v>170210</v>
      </c>
      <c r="B643" s="7">
        <v>4.3550000000000004</v>
      </c>
      <c r="C643" s="18" t="s">
        <v>832</v>
      </c>
      <c r="D643" s="19">
        <v>0</v>
      </c>
      <c r="E643" s="20">
        <v>9.9205479452054792</v>
      </c>
      <c r="F643" s="21">
        <v>4.3324999999999996</v>
      </c>
      <c r="G643" s="21">
        <v>2.2500000000000853</v>
      </c>
      <c r="H643" s="21">
        <v>4.3849</v>
      </c>
      <c r="I643" s="21">
        <v>-5.2400000000000446</v>
      </c>
      <c r="J643" s="19" t="s">
        <v>17</v>
      </c>
      <c r="K643" s="19" t="s">
        <v>19</v>
      </c>
      <c r="L643" s="13">
        <v>4.04</v>
      </c>
      <c r="M643" s="14" t="s">
        <v>833</v>
      </c>
      <c r="N643" s="14" t="s">
        <v>825</v>
      </c>
      <c r="O643" s="4">
        <v>42867</v>
      </c>
    </row>
    <row r="644" spans="1:15">
      <c r="A644" s="7">
        <v>170210</v>
      </c>
      <c r="B644" s="7">
        <v>4.3550000000000004</v>
      </c>
      <c r="C644" s="18" t="s">
        <v>832</v>
      </c>
      <c r="D644" s="19">
        <v>0</v>
      </c>
      <c r="E644" s="20">
        <v>9.9205479452054792</v>
      </c>
      <c r="F644" s="21">
        <v>4.3324999999999996</v>
      </c>
      <c r="G644" s="21">
        <v>2.2500000000000853</v>
      </c>
      <c r="H644" s="21">
        <v>4.3849</v>
      </c>
      <c r="I644" s="21">
        <v>-5.2400000000000446</v>
      </c>
      <c r="J644" s="19" t="s">
        <v>17</v>
      </c>
      <c r="K644" s="19" t="s">
        <v>19</v>
      </c>
      <c r="L644" s="13">
        <v>4.04</v>
      </c>
      <c r="M644" s="14" t="s">
        <v>833</v>
      </c>
      <c r="N644" s="14" t="s">
        <v>825</v>
      </c>
      <c r="O644" s="4">
        <v>42867</v>
      </c>
    </row>
    <row r="645" spans="1:15">
      <c r="A645" s="7">
        <v>170210</v>
      </c>
      <c r="B645" s="7">
        <v>4.3550000000000004</v>
      </c>
      <c r="C645" s="18" t="s">
        <v>832</v>
      </c>
      <c r="D645" s="19">
        <v>0</v>
      </c>
      <c r="E645" s="20">
        <v>9.9205479452054792</v>
      </c>
      <c r="F645" s="21">
        <v>4.3324999999999996</v>
      </c>
      <c r="G645" s="21">
        <v>2.2500000000000853</v>
      </c>
      <c r="H645" s="21">
        <v>4.3849</v>
      </c>
      <c r="I645" s="21">
        <v>-5.2400000000000446</v>
      </c>
      <c r="J645" s="19" t="s">
        <v>17</v>
      </c>
      <c r="K645" s="19" t="s">
        <v>19</v>
      </c>
      <c r="L645" s="13">
        <v>4.04</v>
      </c>
      <c r="M645" s="14" t="s">
        <v>833</v>
      </c>
      <c r="N645" s="14" t="s">
        <v>825</v>
      </c>
      <c r="O645" s="4">
        <v>42867</v>
      </c>
    </row>
    <row r="646" spans="1:15">
      <c r="A646" s="7">
        <v>170210</v>
      </c>
      <c r="B646" s="7">
        <v>4.3550000000000004</v>
      </c>
      <c r="C646" s="18" t="s">
        <v>832</v>
      </c>
      <c r="D646" s="19">
        <v>0</v>
      </c>
      <c r="E646" s="20">
        <v>9.9205479452054792</v>
      </c>
      <c r="F646" s="21">
        <v>4.3324999999999996</v>
      </c>
      <c r="G646" s="21">
        <v>2.2500000000000853</v>
      </c>
      <c r="H646" s="21">
        <v>4.3849</v>
      </c>
      <c r="I646" s="21">
        <v>-5.2400000000000446</v>
      </c>
      <c r="J646" s="19" t="s">
        <v>17</v>
      </c>
      <c r="K646" s="19" t="s">
        <v>19</v>
      </c>
      <c r="L646" s="13">
        <v>4.04</v>
      </c>
      <c r="M646" s="14" t="s">
        <v>833</v>
      </c>
      <c r="N646" s="14" t="s">
        <v>825</v>
      </c>
      <c r="O646" s="4">
        <v>42867</v>
      </c>
    </row>
    <row r="647" spans="1:15">
      <c r="A647" s="7">
        <v>170210</v>
      </c>
      <c r="B647" s="7">
        <v>4.3550000000000004</v>
      </c>
      <c r="C647" s="18" t="s">
        <v>832</v>
      </c>
      <c r="D647" s="19">
        <v>0</v>
      </c>
      <c r="E647" s="20">
        <v>9.9205479452054792</v>
      </c>
      <c r="F647" s="21">
        <v>4.3324999999999996</v>
      </c>
      <c r="G647" s="21">
        <v>2.2500000000000853</v>
      </c>
      <c r="H647" s="21">
        <v>4.3849</v>
      </c>
      <c r="I647" s="21">
        <v>-5.2400000000000446</v>
      </c>
      <c r="J647" s="19" t="s">
        <v>17</v>
      </c>
      <c r="K647" s="19" t="s">
        <v>19</v>
      </c>
      <c r="L647" s="13">
        <v>4.04</v>
      </c>
      <c r="M647" s="14" t="s">
        <v>833</v>
      </c>
      <c r="N647" s="14" t="s">
        <v>825</v>
      </c>
      <c r="O647" s="4">
        <v>42867</v>
      </c>
    </row>
    <row r="648" spans="1:15">
      <c r="A648" s="7">
        <v>170210</v>
      </c>
      <c r="B648" s="7">
        <v>4.3550000000000004</v>
      </c>
      <c r="C648" s="18" t="s">
        <v>832</v>
      </c>
      <c r="D648" s="19">
        <v>0</v>
      </c>
      <c r="E648" s="20">
        <v>9.9205479452054792</v>
      </c>
      <c r="F648" s="21">
        <v>4.3324999999999996</v>
      </c>
      <c r="G648" s="21">
        <v>2.2500000000000853</v>
      </c>
      <c r="H648" s="21">
        <v>4.3849</v>
      </c>
      <c r="I648" s="21">
        <v>-5.2400000000000446</v>
      </c>
      <c r="J648" s="19" t="s">
        <v>17</v>
      </c>
      <c r="K648" s="19" t="s">
        <v>19</v>
      </c>
      <c r="L648" s="13">
        <v>4.04</v>
      </c>
      <c r="M648" s="14" t="s">
        <v>833</v>
      </c>
      <c r="N648" s="14" t="s">
        <v>825</v>
      </c>
      <c r="O648" s="4">
        <v>42867</v>
      </c>
    </row>
    <row r="649" spans="1:15">
      <c r="A649" s="7">
        <v>170210</v>
      </c>
      <c r="B649" s="7">
        <v>4.3550000000000004</v>
      </c>
      <c r="C649" s="18" t="s">
        <v>832</v>
      </c>
      <c r="D649" s="19">
        <v>0</v>
      </c>
      <c r="E649" s="20">
        <v>9.9205479452054792</v>
      </c>
      <c r="F649" s="21">
        <v>4.3324999999999996</v>
      </c>
      <c r="G649" s="21">
        <v>2.2500000000000853</v>
      </c>
      <c r="H649" s="21">
        <v>4.3849</v>
      </c>
      <c r="I649" s="21">
        <v>-5.2400000000000446</v>
      </c>
      <c r="J649" s="19" t="s">
        <v>17</v>
      </c>
      <c r="K649" s="19" t="s">
        <v>19</v>
      </c>
      <c r="L649" s="13">
        <v>4.04</v>
      </c>
      <c r="M649" s="14" t="s">
        <v>833</v>
      </c>
      <c r="N649" s="14" t="s">
        <v>825</v>
      </c>
      <c r="O649" s="4">
        <v>42867</v>
      </c>
    </row>
    <row r="650" spans="1:15">
      <c r="A650" s="7">
        <v>170210</v>
      </c>
      <c r="B650" s="7">
        <v>4.3550000000000004</v>
      </c>
      <c r="C650" s="18" t="s">
        <v>832</v>
      </c>
      <c r="D650" s="19">
        <v>0</v>
      </c>
      <c r="E650" s="20">
        <v>9.9205479452054792</v>
      </c>
      <c r="F650" s="21">
        <v>4.3324999999999996</v>
      </c>
      <c r="G650" s="21">
        <v>2.2500000000000853</v>
      </c>
      <c r="H650" s="21">
        <v>4.3849</v>
      </c>
      <c r="I650" s="21">
        <v>-5.2400000000000446</v>
      </c>
      <c r="J650" s="19" t="s">
        <v>17</v>
      </c>
      <c r="K650" s="19" t="s">
        <v>19</v>
      </c>
      <c r="L650" s="13">
        <v>4.04</v>
      </c>
      <c r="M650" s="14" t="s">
        <v>833</v>
      </c>
      <c r="N650" s="14" t="s">
        <v>825</v>
      </c>
      <c r="O650" s="4">
        <v>42867</v>
      </c>
    </row>
    <row r="651" spans="1:15">
      <c r="A651" s="7">
        <v>170210</v>
      </c>
      <c r="B651" s="7">
        <v>4.3550000000000004</v>
      </c>
      <c r="C651" s="18" t="s">
        <v>832</v>
      </c>
      <c r="D651" s="19">
        <v>0</v>
      </c>
      <c r="E651" s="20">
        <v>9.9205479452054792</v>
      </c>
      <c r="F651" s="21">
        <v>4.3324999999999996</v>
      </c>
      <c r="G651" s="21">
        <v>2.2500000000000853</v>
      </c>
      <c r="H651" s="21">
        <v>4.3849</v>
      </c>
      <c r="I651" s="21">
        <v>-5.2400000000000446</v>
      </c>
      <c r="J651" s="19" t="s">
        <v>17</v>
      </c>
      <c r="K651" s="19" t="s">
        <v>19</v>
      </c>
      <c r="L651" s="13">
        <v>4.04</v>
      </c>
      <c r="M651" s="14" t="s">
        <v>833</v>
      </c>
      <c r="N651" s="14" t="s">
        <v>825</v>
      </c>
      <c r="O651" s="4">
        <v>42867</v>
      </c>
    </row>
    <row r="652" spans="1:15">
      <c r="A652" s="7">
        <v>170210</v>
      </c>
      <c r="B652" s="7">
        <v>4.3550000000000004</v>
      </c>
      <c r="C652" s="18" t="s">
        <v>832</v>
      </c>
      <c r="D652" s="19">
        <v>0</v>
      </c>
      <c r="E652" s="20">
        <v>9.9205479452054792</v>
      </c>
      <c r="F652" s="21">
        <v>4.3324999999999996</v>
      </c>
      <c r="G652" s="21">
        <v>2.2500000000000853</v>
      </c>
      <c r="H652" s="21">
        <v>4.3849</v>
      </c>
      <c r="I652" s="21">
        <v>-5.2400000000000446</v>
      </c>
      <c r="J652" s="19" t="s">
        <v>17</v>
      </c>
      <c r="K652" s="19" t="s">
        <v>19</v>
      </c>
      <c r="L652" s="13">
        <v>4.04</v>
      </c>
      <c r="M652" s="14" t="s">
        <v>833</v>
      </c>
      <c r="N652" s="14" t="s">
        <v>825</v>
      </c>
      <c r="O652" s="4">
        <v>42867</v>
      </c>
    </row>
    <row r="653" spans="1:15">
      <c r="A653" s="7">
        <v>170210</v>
      </c>
      <c r="B653" s="7">
        <v>4.3550000000000004</v>
      </c>
      <c r="C653" s="18" t="s">
        <v>832</v>
      </c>
      <c r="D653" s="19">
        <v>0</v>
      </c>
      <c r="E653" s="20">
        <v>9.9205479452054792</v>
      </c>
      <c r="F653" s="21">
        <v>4.3324999999999996</v>
      </c>
      <c r="G653" s="21">
        <v>2.2500000000000853</v>
      </c>
      <c r="H653" s="21">
        <v>4.3849</v>
      </c>
      <c r="I653" s="21">
        <v>-5.2400000000000446</v>
      </c>
      <c r="J653" s="19" t="s">
        <v>17</v>
      </c>
      <c r="K653" s="19" t="s">
        <v>19</v>
      </c>
      <c r="L653" s="13">
        <v>4.04</v>
      </c>
      <c r="M653" s="14" t="s">
        <v>833</v>
      </c>
      <c r="N653" s="14" t="s">
        <v>825</v>
      </c>
      <c r="O653" s="4">
        <v>42867</v>
      </c>
    </row>
    <row r="654" spans="1:15">
      <c r="A654" s="7">
        <v>170210</v>
      </c>
      <c r="B654" s="7">
        <v>4.3550000000000004</v>
      </c>
      <c r="C654" s="18" t="s">
        <v>832</v>
      </c>
      <c r="D654" s="19">
        <v>0</v>
      </c>
      <c r="E654" s="20">
        <v>9.9205479452054792</v>
      </c>
      <c r="F654" s="21">
        <v>4.3324999999999996</v>
      </c>
      <c r="G654" s="21">
        <v>2.2500000000000853</v>
      </c>
      <c r="H654" s="21">
        <v>4.3849</v>
      </c>
      <c r="I654" s="21">
        <v>-5.2400000000000446</v>
      </c>
      <c r="J654" s="19" t="s">
        <v>17</v>
      </c>
      <c r="K654" s="19" t="s">
        <v>19</v>
      </c>
      <c r="L654" s="13">
        <v>4.04</v>
      </c>
      <c r="M654" s="14" t="s">
        <v>833</v>
      </c>
      <c r="N654" s="14" t="s">
        <v>825</v>
      </c>
      <c r="O654" s="4">
        <v>42867</v>
      </c>
    </row>
    <row r="655" spans="1:15">
      <c r="A655" s="7">
        <v>170210</v>
      </c>
      <c r="B655" s="7">
        <v>4.3550000000000004</v>
      </c>
      <c r="C655" s="18" t="s">
        <v>832</v>
      </c>
      <c r="D655" s="19">
        <v>0</v>
      </c>
      <c r="E655" s="20">
        <v>9.9205479452054792</v>
      </c>
      <c r="F655" s="21">
        <v>4.3324999999999996</v>
      </c>
      <c r="G655" s="21">
        <v>2.2500000000000853</v>
      </c>
      <c r="H655" s="21">
        <v>4.3849</v>
      </c>
      <c r="I655" s="21">
        <v>-5.2400000000000446</v>
      </c>
      <c r="J655" s="19" t="s">
        <v>17</v>
      </c>
      <c r="K655" s="19" t="s">
        <v>19</v>
      </c>
      <c r="L655" s="13">
        <v>4.04</v>
      </c>
      <c r="M655" s="14" t="s">
        <v>833</v>
      </c>
      <c r="N655" s="14" t="s">
        <v>825</v>
      </c>
      <c r="O655" s="4">
        <v>42867</v>
      </c>
    </row>
    <row r="656" spans="1:15">
      <c r="A656" s="7">
        <v>170210</v>
      </c>
      <c r="B656" s="7">
        <v>4.3550000000000004</v>
      </c>
      <c r="C656" s="18" t="s">
        <v>832</v>
      </c>
      <c r="D656" s="19">
        <v>0</v>
      </c>
      <c r="E656" s="20">
        <v>9.9205479452054792</v>
      </c>
      <c r="F656" s="21">
        <v>4.3324999999999996</v>
      </c>
      <c r="G656" s="21">
        <v>2.2500000000000853</v>
      </c>
      <c r="H656" s="21">
        <v>4.3849</v>
      </c>
      <c r="I656" s="21">
        <v>-5.2400000000000446</v>
      </c>
      <c r="J656" s="19" t="s">
        <v>17</v>
      </c>
      <c r="K656" s="19" t="s">
        <v>19</v>
      </c>
      <c r="L656" s="13">
        <v>4.04</v>
      </c>
      <c r="M656" s="14" t="s">
        <v>833</v>
      </c>
      <c r="N656" s="14" t="s">
        <v>825</v>
      </c>
      <c r="O656" s="4">
        <v>42867</v>
      </c>
    </row>
    <row r="657" spans="1:15">
      <c r="A657" s="7">
        <v>170210</v>
      </c>
      <c r="B657" s="7">
        <v>4.3550000000000004</v>
      </c>
      <c r="C657" s="18" t="s">
        <v>832</v>
      </c>
      <c r="D657" s="19">
        <v>0</v>
      </c>
      <c r="E657" s="20">
        <v>9.9205479452054792</v>
      </c>
      <c r="F657" s="21">
        <v>4.3324999999999996</v>
      </c>
      <c r="G657" s="21">
        <v>2.2500000000000853</v>
      </c>
      <c r="H657" s="21">
        <v>4.3849</v>
      </c>
      <c r="I657" s="21">
        <v>-5.2400000000000446</v>
      </c>
      <c r="J657" s="19" t="s">
        <v>17</v>
      </c>
      <c r="K657" s="19" t="s">
        <v>19</v>
      </c>
      <c r="L657" s="13">
        <v>4.04</v>
      </c>
      <c r="M657" s="14" t="s">
        <v>833</v>
      </c>
      <c r="N657" s="14" t="s">
        <v>825</v>
      </c>
      <c r="O657" s="4">
        <v>42867</v>
      </c>
    </row>
    <row r="658" spans="1:15">
      <c r="A658" s="7">
        <v>170210</v>
      </c>
      <c r="B658" s="7">
        <v>4.3550000000000004</v>
      </c>
      <c r="C658" s="18" t="s">
        <v>832</v>
      </c>
      <c r="D658" s="19">
        <v>0</v>
      </c>
      <c r="E658" s="20">
        <v>9.9205479452054792</v>
      </c>
      <c r="F658" s="21">
        <v>4.3324999999999996</v>
      </c>
      <c r="G658" s="21">
        <v>2.2500000000000853</v>
      </c>
      <c r="H658" s="21">
        <v>4.3849</v>
      </c>
      <c r="I658" s="21">
        <v>-5.2400000000000446</v>
      </c>
      <c r="J658" s="19" t="s">
        <v>17</v>
      </c>
      <c r="K658" s="19" t="s">
        <v>19</v>
      </c>
      <c r="L658" s="13">
        <v>4.04</v>
      </c>
      <c r="M658" s="14" t="s">
        <v>833</v>
      </c>
      <c r="N658" s="14" t="s">
        <v>825</v>
      </c>
      <c r="O658" s="4">
        <v>42867</v>
      </c>
    </row>
    <row r="659" spans="1:15">
      <c r="A659" s="7">
        <v>170210</v>
      </c>
      <c r="B659" s="7">
        <v>4.3550000000000004</v>
      </c>
      <c r="C659" s="18" t="s">
        <v>832</v>
      </c>
      <c r="D659" s="19">
        <v>0</v>
      </c>
      <c r="E659" s="20">
        <v>9.9205479452054792</v>
      </c>
      <c r="F659" s="21">
        <v>4.3324999999999996</v>
      </c>
      <c r="G659" s="21">
        <v>2.2500000000000853</v>
      </c>
      <c r="H659" s="21">
        <v>4.3849</v>
      </c>
      <c r="I659" s="21">
        <v>-5.2400000000000446</v>
      </c>
      <c r="J659" s="19" t="s">
        <v>17</v>
      </c>
      <c r="K659" s="19" t="s">
        <v>19</v>
      </c>
      <c r="L659" s="13">
        <v>4.04</v>
      </c>
      <c r="M659" s="14" t="s">
        <v>833</v>
      </c>
      <c r="N659" s="14" t="s">
        <v>825</v>
      </c>
      <c r="O659" s="4">
        <v>42867</v>
      </c>
    </row>
    <row r="660" spans="1:15">
      <c r="A660" s="7">
        <v>170210</v>
      </c>
      <c r="B660" s="7">
        <v>4.3550000000000004</v>
      </c>
      <c r="C660" s="18" t="s">
        <v>832</v>
      </c>
      <c r="D660" s="19">
        <v>0</v>
      </c>
      <c r="E660" s="20">
        <v>9.9205479452054792</v>
      </c>
      <c r="F660" s="21">
        <v>4.3324999999999996</v>
      </c>
      <c r="G660" s="21">
        <v>2.2500000000000853</v>
      </c>
      <c r="H660" s="21">
        <v>4.3849</v>
      </c>
      <c r="I660" s="21">
        <v>-5.2400000000000446</v>
      </c>
      <c r="J660" s="19" t="s">
        <v>17</v>
      </c>
      <c r="K660" s="19" t="s">
        <v>19</v>
      </c>
      <c r="L660" s="13">
        <v>4.04</v>
      </c>
      <c r="M660" s="14" t="s">
        <v>833</v>
      </c>
      <c r="N660" s="14" t="s">
        <v>825</v>
      </c>
      <c r="O660" s="4">
        <v>42867</v>
      </c>
    </row>
    <row r="661" spans="1:15">
      <c r="A661" s="7">
        <v>170210</v>
      </c>
      <c r="B661" s="7">
        <v>4.3550000000000004</v>
      </c>
      <c r="C661" s="18" t="s">
        <v>832</v>
      </c>
      <c r="D661" s="19">
        <v>0</v>
      </c>
      <c r="E661" s="20">
        <v>9.9205479452054792</v>
      </c>
      <c r="F661" s="21">
        <v>4.3324999999999996</v>
      </c>
      <c r="G661" s="21">
        <v>2.2500000000000853</v>
      </c>
      <c r="H661" s="21">
        <v>4.3849</v>
      </c>
      <c r="I661" s="21">
        <v>-5.2400000000000446</v>
      </c>
      <c r="J661" s="19" t="s">
        <v>17</v>
      </c>
      <c r="K661" s="19" t="s">
        <v>19</v>
      </c>
      <c r="L661" s="13">
        <v>4.04</v>
      </c>
      <c r="M661" s="14" t="s">
        <v>833</v>
      </c>
      <c r="N661" s="14" t="s">
        <v>825</v>
      </c>
      <c r="O661" s="4">
        <v>42867</v>
      </c>
    </row>
    <row r="662" spans="1:15">
      <c r="A662" s="7">
        <v>170210</v>
      </c>
      <c r="B662" s="7">
        <v>4.3550000000000004</v>
      </c>
      <c r="C662" s="18" t="s">
        <v>832</v>
      </c>
      <c r="D662" s="19">
        <v>0</v>
      </c>
      <c r="E662" s="20">
        <v>9.9205479452054792</v>
      </c>
      <c r="F662" s="21">
        <v>4.3324999999999996</v>
      </c>
      <c r="G662" s="21">
        <v>2.2500000000000853</v>
      </c>
      <c r="H662" s="21">
        <v>4.3849</v>
      </c>
      <c r="I662" s="21">
        <v>-5.2400000000000446</v>
      </c>
      <c r="J662" s="19" t="s">
        <v>17</v>
      </c>
      <c r="K662" s="19" t="s">
        <v>19</v>
      </c>
      <c r="L662" s="13">
        <v>4.04</v>
      </c>
      <c r="M662" s="14" t="s">
        <v>833</v>
      </c>
      <c r="N662" s="14" t="s">
        <v>825</v>
      </c>
      <c r="O662" s="4">
        <v>42867</v>
      </c>
    </row>
    <row r="663" spans="1:15">
      <c r="A663" s="7">
        <v>170210</v>
      </c>
      <c r="B663" s="7">
        <v>4.3550000000000004</v>
      </c>
      <c r="C663" s="18" t="s">
        <v>832</v>
      </c>
      <c r="D663" s="19">
        <v>0</v>
      </c>
      <c r="E663" s="20">
        <v>9.9205479452054792</v>
      </c>
      <c r="F663" s="21">
        <v>4.3324999999999996</v>
      </c>
      <c r="G663" s="21">
        <v>2.2500000000000853</v>
      </c>
      <c r="H663" s="21">
        <v>4.3849</v>
      </c>
      <c r="I663" s="21">
        <v>-5.2400000000000446</v>
      </c>
      <c r="J663" s="19" t="s">
        <v>17</v>
      </c>
      <c r="K663" s="19" t="s">
        <v>19</v>
      </c>
      <c r="L663" s="13">
        <v>4.04</v>
      </c>
      <c r="M663" s="14" t="s">
        <v>833</v>
      </c>
      <c r="N663" s="14" t="s">
        <v>825</v>
      </c>
      <c r="O663" s="4">
        <v>42867</v>
      </c>
    </row>
    <row r="664" spans="1:15">
      <c r="A664" s="7">
        <v>170210</v>
      </c>
      <c r="B664" s="7">
        <v>4.3550000000000004</v>
      </c>
      <c r="C664" s="18" t="s">
        <v>832</v>
      </c>
      <c r="D664" s="19">
        <v>0</v>
      </c>
      <c r="E664" s="20">
        <v>9.9205479452054792</v>
      </c>
      <c r="F664" s="21">
        <v>4.3324999999999996</v>
      </c>
      <c r="G664" s="21">
        <v>2.2500000000000853</v>
      </c>
      <c r="H664" s="21">
        <v>4.3849</v>
      </c>
      <c r="I664" s="21">
        <v>-5.2400000000000446</v>
      </c>
      <c r="J664" s="19" t="s">
        <v>17</v>
      </c>
      <c r="K664" s="19" t="s">
        <v>19</v>
      </c>
      <c r="L664" s="13">
        <v>4.04</v>
      </c>
      <c r="M664" s="14" t="s">
        <v>833</v>
      </c>
      <c r="N664" s="14" t="s">
        <v>825</v>
      </c>
      <c r="O664" s="4">
        <v>42867</v>
      </c>
    </row>
    <row r="665" spans="1:15">
      <c r="A665" s="7">
        <v>170210</v>
      </c>
      <c r="B665" s="7">
        <v>4.3550000000000004</v>
      </c>
      <c r="C665" s="18" t="s">
        <v>832</v>
      </c>
      <c r="D665" s="19">
        <v>0</v>
      </c>
      <c r="E665" s="20">
        <v>9.9205479452054792</v>
      </c>
      <c r="F665" s="21">
        <v>4.3324999999999996</v>
      </c>
      <c r="G665" s="21">
        <v>2.2500000000000853</v>
      </c>
      <c r="H665" s="21">
        <v>4.3849</v>
      </c>
      <c r="I665" s="21">
        <v>-5.2400000000000446</v>
      </c>
      <c r="J665" s="19" t="s">
        <v>17</v>
      </c>
      <c r="K665" s="19" t="s">
        <v>19</v>
      </c>
      <c r="L665" s="13">
        <v>4.04</v>
      </c>
      <c r="M665" s="14" t="s">
        <v>833</v>
      </c>
      <c r="N665" s="14" t="s">
        <v>825</v>
      </c>
      <c r="O665" s="4">
        <v>42867</v>
      </c>
    </row>
    <row r="666" spans="1:15">
      <c r="A666" s="7">
        <v>170210</v>
      </c>
      <c r="B666" s="7">
        <v>4.3550000000000004</v>
      </c>
      <c r="C666" s="18" t="s">
        <v>832</v>
      </c>
      <c r="D666" s="19">
        <v>0</v>
      </c>
      <c r="E666" s="20">
        <v>9.9205479452054792</v>
      </c>
      <c r="F666" s="21">
        <v>4.3324999999999996</v>
      </c>
      <c r="G666" s="21">
        <v>2.2500000000000853</v>
      </c>
      <c r="H666" s="21">
        <v>4.3849</v>
      </c>
      <c r="I666" s="21">
        <v>-5.2400000000000446</v>
      </c>
      <c r="J666" s="19" t="s">
        <v>17</v>
      </c>
      <c r="K666" s="19" t="s">
        <v>19</v>
      </c>
      <c r="L666" s="13">
        <v>4.04</v>
      </c>
      <c r="M666" s="14" t="s">
        <v>833</v>
      </c>
      <c r="N666" s="14" t="s">
        <v>825</v>
      </c>
      <c r="O666" s="4">
        <v>42867</v>
      </c>
    </row>
    <row r="667" spans="1:15">
      <c r="A667" s="7">
        <v>170210</v>
      </c>
      <c r="B667" s="7">
        <v>4.3550000000000004</v>
      </c>
      <c r="C667" s="18" t="s">
        <v>832</v>
      </c>
      <c r="D667" s="19">
        <v>0</v>
      </c>
      <c r="E667" s="20">
        <v>9.9205479452054792</v>
      </c>
      <c r="F667" s="21">
        <v>4.3324999999999996</v>
      </c>
      <c r="G667" s="21">
        <v>2.2500000000000853</v>
      </c>
      <c r="H667" s="21">
        <v>4.3849</v>
      </c>
      <c r="I667" s="21">
        <v>-5.2400000000000446</v>
      </c>
      <c r="J667" s="19" t="s">
        <v>17</v>
      </c>
      <c r="K667" s="19" t="s">
        <v>19</v>
      </c>
      <c r="L667" s="13">
        <v>4.04</v>
      </c>
      <c r="M667" s="14" t="s">
        <v>833</v>
      </c>
      <c r="N667" s="14" t="s">
        <v>825</v>
      </c>
      <c r="O667" s="4">
        <v>42867</v>
      </c>
    </row>
    <row r="668" spans="1:15">
      <c r="A668" s="7">
        <v>170210</v>
      </c>
      <c r="B668" s="7">
        <v>4.3544999999999998</v>
      </c>
      <c r="C668" s="18" t="s">
        <v>832</v>
      </c>
      <c r="D668" s="19">
        <v>0</v>
      </c>
      <c r="E668" s="20">
        <v>9.9205479452054792</v>
      </c>
      <c r="F668" s="21">
        <v>4.3324999999999996</v>
      </c>
      <c r="G668" s="21">
        <v>2.2000000000000242</v>
      </c>
      <c r="H668" s="21">
        <v>4.3849</v>
      </c>
      <c r="I668" s="21">
        <v>-5.2400000000000446</v>
      </c>
      <c r="J668" s="19" t="s">
        <v>17</v>
      </c>
      <c r="K668" s="19" t="s">
        <v>19</v>
      </c>
      <c r="L668" s="13">
        <v>4.04</v>
      </c>
      <c r="M668" s="14" t="s">
        <v>833</v>
      </c>
      <c r="N668" s="14" t="s">
        <v>825</v>
      </c>
      <c r="O668" s="4">
        <v>42867</v>
      </c>
    </row>
    <row r="669" spans="1:15">
      <c r="A669" s="7">
        <v>170210</v>
      </c>
      <c r="B669" s="7">
        <v>4.3525</v>
      </c>
      <c r="C669" s="18" t="s">
        <v>832</v>
      </c>
      <c r="D669" s="19">
        <v>0</v>
      </c>
      <c r="E669" s="20">
        <v>9.9205479452054792</v>
      </c>
      <c r="F669" s="21">
        <v>4.3324999999999996</v>
      </c>
      <c r="G669" s="21">
        <v>2.0000000000000462</v>
      </c>
      <c r="H669" s="21">
        <v>4.3849</v>
      </c>
      <c r="I669" s="21">
        <v>-5.2400000000000446</v>
      </c>
      <c r="J669" s="19" t="s">
        <v>17</v>
      </c>
      <c r="K669" s="19" t="s">
        <v>19</v>
      </c>
      <c r="L669" s="13">
        <v>4.04</v>
      </c>
      <c r="M669" s="14" t="s">
        <v>833</v>
      </c>
      <c r="N669" s="14" t="s">
        <v>825</v>
      </c>
      <c r="O669" s="4">
        <v>42867</v>
      </c>
    </row>
    <row r="670" spans="1:15">
      <c r="A670" s="7">
        <v>170210</v>
      </c>
      <c r="B670" s="7">
        <v>4.3525</v>
      </c>
      <c r="C670" s="18" t="s">
        <v>832</v>
      </c>
      <c r="D670" s="19">
        <v>0</v>
      </c>
      <c r="E670" s="20">
        <v>9.9205479452054792</v>
      </c>
      <c r="F670" s="21">
        <v>4.3324999999999996</v>
      </c>
      <c r="G670" s="21">
        <v>2.0000000000000462</v>
      </c>
      <c r="H670" s="21">
        <v>4.3849</v>
      </c>
      <c r="I670" s="21">
        <v>-5.2400000000000446</v>
      </c>
      <c r="J670" s="19" t="s">
        <v>17</v>
      </c>
      <c r="K670" s="19" t="s">
        <v>19</v>
      </c>
      <c r="L670" s="13">
        <v>4.04</v>
      </c>
      <c r="M670" s="14" t="s">
        <v>833</v>
      </c>
      <c r="N670" s="14" t="s">
        <v>825</v>
      </c>
      <c r="O670" s="4">
        <v>42867</v>
      </c>
    </row>
    <row r="671" spans="1:15">
      <c r="A671" s="7">
        <v>170210</v>
      </c>
      <c r="B671" s="7">
        <v>4.3525</v>
      </c>
      <c r="C671" s="18" t="s">
        <v>832</v>
      </c>
      <c r="D671" s="19">
        <v>0</v>
      </c>
      <c r="E671" s="20">
        <v>9.9205479452054792</v>
      </c>
      <c r="F671" s="21">
        <v>4.3324999999999996</v>
      </c>
      <c r="G671" s="21">
        <v>2.0000000000000462</v>
      </c>
      <c r="H671" s="21">
        <v>4.3849</v>
      </c>
      <c r="I671" s="21">
        <v>-5.2400000000000446</v>
      </c>
      <c r="J671" s="19" t="s">
        <v>17</v>
      </c>
      <c r="K671" s="19" t="s">
        <v>19</v>
      </c>
      <c r="L671" s="13">
        <v>4.04</v>
      </c>
      <c r="M671" s="14" t="s">
        <v>833</v>
      </c>
      <c r="N671" s="14" t="s">
        <v>825</v>
      </c>
      <c r="O671" s="4">
        <v>42867</v>
      </c>
    </row>
    <row r="672" spans="1:15">
      <c r="A672" s="7">
        <v>170210</v>
      </c>
      <c r="B672" s="7">
        <v>4.3525</v>
      </c>
      <c r="C672" s="18" t="s">
        <v>832</v>
      </c>
      <c r="D672" s="19">
        <v>0</v>
      </c>
      <c r="E672" s="20">
        <v>9.9205479452054792</v>
      </c>
      <c r="F672" s="21">
        <v>4.3324999999999996</v>
      </c>
      <c r="G672" s="21">
        <v>2.0000000000000462</v>
      </c>
      <c r="H672" s="21">
        <v>4.3849</v>
      </c>
      <c r="I672" s="21">
        <v>-5.2400000000000446</v>
      </c>
      <c r="J672" s="19" t="s">
        <v>17</v>
      </c>
      <c r="K672" s="19" t="s">
        <v>19</v>
      </c>
      <c r="L672" s="13">
        <v>4.04</v>
      </c>
      <c r="M672" s="14" t="s">
        <v>833</v>
      </c>
      <c r="N672" s="14" t="s">
        <v>825</v>
      </c>
      <c r="O672" s="4">
        <v>42867</v>
      </c>
    </row>
    <row r="673" spans="1:15">
      <c r="A673" s="7">
        <v>170210</v>
      </c>
      <c r="B673" s="7">
        <v>4.3525</v>
      </c>
      <c r="C673" s="18" t="s">
        <v>832</v>
      </c>
      <c r="D673" s="19">
        <v>0</v>
      </c>
      <c r="E673" s="20">
        <v>9.9205479452054792</v>
      </c>
      <c r="F673" s="21">
        <v>4.3324999999999996</v>
      </c>
      <c r="G673" s="21">
        <v>2.0000000000000462</v>
      </c>
      <c r="H673" s="21">
        <v>4.3849</v>
      </c>
      <c r="I673" s="21">
        <v>-5.2400000000000446</v>
      </c>
      <c r="J673" s="19" t="s">
        <v>17</v>
      </c>
      <c r="K673" s="19" t="s">
        <v>19</v>
      </c>
      <c r="L673" s="13">
        <v>4.04</v>
      </c>
      <c r="M673" s="14" t="s">
        <v>833</v>
      </c>
      <c r="N673" s="14" t="s">
        <v>825</v>
      </c>
      <c r="O673" s="4">
        <v>42867</v>
      </c>
    </row>
    <row r="674" spans="1:15">
      <c r="A674" s="7">
        <v>170210</v>
      </c>
      <c r="B674" s="7">
        <v>4.3525</v>
      </c>
      <c r="C674" s="18" t="s">
        <v>832</v>
      </c>
      <c r="D674" s="19">
        <v>0</v>
      </c>
      <c r="E674" s="20">
        <v>9.9205479452054792</v>
      </c>
      <c r="F674" s="21">
        <v>4.3324999999999996</v>
      </c>
      <c r="G674" s="21">
        <v>2.0000000000000462</v>
      </c>
      <c r="H674" s="21">
        <v>4.3849</v>
      </c>
      <c r="I674" s="21">
        <v>-5.2400000000000446</v>
      </c>
      <c r="J674" s="19" t="s">
        <v>17</v>
      </c>
      <c r="K674" s="19" t="s">
        <v>19</v>
      </c>
      <c r="L674" s="13">
        <v>4.04</v>
      </c>
      <c r="M674" s="14" t="s">
        <v>833</v>
      </c>
      <c r="N674" s="14" t="s">
        <v>825</v>
      </c>
      <c r="O674" s="4">
        <v>42867</v>
      </c>
    </row>
    <row r="675" spans="1:15">
      <c r="A675" s="7">
        <v>170210</v>
      </c>
      <c r="B675" s="7">
        <v>4.3525</v>
      </c>
      <c r="C675" s="18" t="s">
        <v>832</v>
      </c>
      <c r="D675" s="19">
        <v>0</v>
      </c>
      <c r="E675" s="20">
        <v>9.9205479452054792</v>
      </c>
      <c r="F675" s="21">
        <v>4.3324999999999996</v>
      </c>
      <c r="G675" s="21">
        <v>2.0000000000000462</v>
      </c>
      <c r="H675" s="21">
        <v>4.3849</v>
      </c>
      <c r="I675" s="21">
        <v>-5.2400000000000446</v>
      </c>
      <c r="J675" s="19" t="s">
        <v>17</v>
      </c>
      <c r="K675" s="19" t="s">
        <v>19</v>
      </c>
      <c r="L675" s="13">
        <v>4.04</v>
      </c>
      <c r="M675" s="14" t="s">
        <v>833</v>
      </c>
      <c r="N675" s="14" t="s">
        <v>825</v>
      </c>
      <c r="O675" s="4">
        <v>42867</v>
      </c>
    </row>
    <row r="676" spans="1:15">
      <c r="A676" s="7">
        <v>170210</v>
      </c>
      <c r="B676" s="7">
        <v>4.3525</v>
      </c>
      <c r="C676" s="18" t="s">
        <v>832</v>
      </c>
      <c r="D676" s="19">
        <v>0</v>
      </c>
      <c r="E676" s="20">
        <v>9.9205479452054792</v>
      </c>
      <c r="F676" s="21">
        <v>4.3324999999999996</v>
      </c>
      <c r="G676" s="21">
        <v>2.0000000000000462</v>
      </c>
      <c r="H676" s="21">
        <v>4.3849</v>
      </c>
      <c r="I676" s="21">
        <v>-5.2400000000000446</v>
      </c>
      <c r="J676" s="19" t="s">
        <v>17</v>
      </c>
      <c r="K676" s="19" t="s">
        <v>19</v>
      </c>
      <c r="L676" s="13">
        <v>4.04</v>
      </c>
      <c r="M676" s="14" t="s">
        <v>833</v>
      </c>
      <c r="N676" s="14" t="s">
        <v>825</v>
      </c>
      <c r="O676" s="4">
        <v>42867</v>
      </c>
    </row>
    <row r="677" spans="1:15">
      <c r="A677" s="7">
        <v>170210</v>
      </c>
      <c r="B677" s="7">
        <v>4.3525</v>
      </c>
      <c r="C677" s="18" t="s">
        <v>832</v>
      </c>
      <c r="D677" s="19">
        <v>0</v>
      </c>
      <c r="E677" s="20">
        <v>9.9205479452054792</v>
      </c>
      <c r="F677" s="21">
        <v>4.3324999999999996</v>
      </c>
      <c r="G677" s="21">
        <v>2.0000000000000462</v>
      </c>
      <c r="H677" s="21">
        <v>4.3849</v>
      </c>
      <c r="I677" s="21">
        <v>-5.2400000000000446</v>
      </c>
      <c r="J677" s="19" t="s">
        <v>17</v>
      </c>
      <c r="K677" s="19" t="s">
        <v>19</v>
      </c>
      <c r="L677" s="13">
        <v>4.04</v>
      </c>
      <c r="M677" s="14" t="s">
        <v>833</v>
      </c>
      <c r="N677" s="14" t="s">
        <v>825</v>
      </c>
      <c r="O677" s="4">
        <v>42867</v>
      </c>
    </row>
    <row r="678" spans="1:15">
      <c r="A678" s="7">
        <v>170210</v>
      </c>
      <c r="B678" s="7">
        <v>4.3525</v>
      </c>
      <c r="C678" s="18" t="s">
        <v>832</v>
      </c>
      <c r="D678" s="19">
        <v>0</v>
      </c>
      <c r="E678" s="20">
        <v>9.9205479452054792</v>
      </c>
      <c r="F678" s="21">
        <v>4.3324999999999996</v>
      </c>
      <c r="G678" s="21">
        <v>2.0000000000000462</v>
      </c>
      <c r="H678" s="21">
        <v>4.3849</v>
      </c>
      <c r="I678" s="21">
        <v>-5.2400000000000446</v>
      </c>
      <c r="J678" s="19" t="s">
        <v>17</v>
      </c>
      <c r="K678" s="19" t="s">
        <v>19</v>
      </c>
      <c r="L678" s="13">
        <v>4.04</v>
      </c>
      <c r="M678" s="14" t="s">
        <v>833</v>
      </c>
      <c r="N678" s="14" t="s">
        <v>825</v>
      </c>
      <c r="O678" s="4">
        <v>42867</v>
      </c>
    </row>
    <row r="679" spans="1:15">
      <c r="A679" s="7">
        <v>170210</v>
      </c>
      <c r="B679" s="7">
        <v>4.3525</v>
      </c>
      <c r="C679" s="18" t="s">
        <v>832</v>
      </c>
      <c r="D679" s="19">
        <v>0</v>
      </c>
      <c r="E679" s="20">
        <v>9.9205479452054792</v>
      </c>
      <c r="F679" s="21">
        <v>4.3324999999999996</v>
      </c>
      <c r="G679" s="21">
        <v>2.0000000000000462</v>
      </c>
      <c r="H679" s="21">
        <v>4.3849</v>
      </c>
      <c r="I679" s="21">
        <v>-5.2400000000000446</v>
      </c>
      <c r="J679" s="19" t="s">
        <v>17</v>
      </c>
      <c r="K679" s="19" t="s">
        <v>19</v>
      </c>
      <c r="L679" s="13">
        <v>4.04</v>
      </c>
      <c r="M679" s="14" t="s">
        <v>833</v>
      </c>
      <c r="N679" s="14" t="s">
        <v>825</v>
      </c>
      <c r="O679" s="4">
        <v>42867</v>
      </c>
    </row>
    <row r="680" spans="1:15">
      <c r="A680" s="7">
        <v>170210</v>
      </c>
      <c r="B680" s="7">
        <v>4.3525</v>
      </c>
      <c r="C680" s="18" t="s">
        <v>832</v>
      </c>
      <c r="D680" s="19">
        <v>0</v>
      </c>
      <c r="E680" s="20">
        <v>9.9205479452054792</v>
      </c>
      <c r="F680" s="21">
        <v>4.3324999999999996</v>
      </c>
      <c r="G680" s="21">
        <v>2.0000000000000462</v>
      </c>
      <c r="H680" s="21">
        <v>4.3849</v>
      </c>
      <c r="I680" s="21">
        <v>-5.2400000000000446</v>
      </c>
      <c r="J680" s="19" t="s">
        <v>17</v>
      </c>
      <c r="K680" s="19" t="s">
        <v>19</v>
      </c>
      <c r="L680" s="13">
        <v>4.04</v>
      </c>
      <c r="M680" s="14" t="s">
        <v>833</v>
      </c>
      <c r="N680" s="14" t="s">
        <v>825</v>
      </c>
      <c r="O680" s="4">
        <v>42867</v>
      </c>
    </row>
    <row r="681" spans="1:15">
      <c r="A681" s="7">
        <v>41652017</v>
      </c>
      <c r="B681" s="7">
        <v>4.3499999999999996</v>
      </c>
      <c r="C681" s="18" t="s">
        <v>428</v>
      </c>
      <c r="D681" s="19" t="s">
        <v>11</v>
      </c>
      <c r="E681" s="20">
        <v>0.10136986301369863</v>
      </c>
      <c r="F681" s="21">
        <v>4.2363999999999997</v>
      </c>
      <c r="G681" s="21">
        <v>11.359999999999992</v>
      </c>
      <c r="H681" s="21">
        <v>4.1528999999999998</v>
      </c>
      <c r="I681" s="21">
        <v>8.3499999999999908</v>
      </c>
      <c r="J681" s="19" t="s">
        <v>17</v>
      </c>
      <c r="K681" s="19" t="s">
        <v>13</v>
      </c>
      <c r="L681" s="13">
        <v>3.09</v>
      </c>
      <c r="M681" s="14" t="s">
        <v>396</v>
      </c>
      <c r="N681" s="14" t="s">
        <v>397</v>
      </c>
      <c r="O681" s="4">
        <v>42867</v>
      </c>
    </row>
    <row r="682" spans="1:15">
      <c r="A682" s="7">
        <v>41652017</v>
      </c>
      <c r="B682" s="7">
        <v>4.3499999999999996</v>
      </c>
      <c r="C682" s="18" t="s">
        <v>428</v>
      </c>
      <c r="D682" s="19" t="s">
        <v>11</v>
      </c>
      <c r="E682" s="20">
        <v>0.10136986301369863</v>
      </c>
      <c r="F682" s="21">
        <v>4.2363999999999997</v>
      </c>
      <c r="G682" s="21">
        <v>11.359999999999992</v>
      </c>
      <c r="H682" s="21">
        <v>4.1528999999999998</v>
      </c>
      <c r="I682" s="21">
        <v>8.3499999999999908</v>
      </c>
      <c r="J682" s="19" t="s">
        <v>17</v>
      </c>
      <c r="K682" s="19" t="s">
        <v>13</v>
      </c>
      <c r="L682" s="13">
        <v>3.09</v>
      </c>
      <c r="M682" s="14" t="s">
        <v>396</v>
      </c>
      <c r="N682" s="14" t="s">
        <v>397</v>
      </c>
      <c r="O682" s="4">
        <v>42867</v>
      </c>
    </row>
    <row r="683" spans="1:15">
      <c r="A683" s="7">
        <v>1605134</v>
      </c>
      <c r="B683" s="7">
        <v>4.3499999999999996</v>
      </c>
      <c r="C683" s="18" t="s">
        <v>999</v>
      </c>
      <c r="D683" s="19">
        <v>0</v>
      </c>
      <c r="E683" s="20">
        <v>5.9452054794520546</v>
      </c>
      <c r="F683" s="21">
        <v>4.2233999999999998</v>
      </c>
      <c r="G683" s="21">
        <v>12.659999999999982</v>
      </c>
      <c r="H683" s="21">
        <v>4.2576999999999998</v>
      </c>
      <c r="I683" s="21">
        <v>-3.4299999999999997</v>
      </c>
      <c r="J683" s="19">
        <v>0</v>
      </c>
      <c r="K683" s="19" t="s">
        <v>68</v>
      </c>
      <c r="L683" s="13">
        <v>2.98</v>
      </c>
      <c r="M683" s="14" t="s">
        <v>205</v>
      </c>
      <c r="N683" s="14" t="s">
        <v>231</v>
      </c>
      <c r="O683" s="4">
        <v>42867</v>
      </c>
    </row>
    <row r="684" spans="1:15">
      <c r="A684" s="7">
        <v>1605134</v>
      </c>
      <c r="B684" s="7">
        <v>4.3499999999999996</v>
      </c>
      <c r="C684" s="18" t="s">
        <v>999</v>
      </c>
      <c r="D684" s="19">
        <v>0</v>
      </c>
      <c r="E684" s="20">
        <v>5.9452054794520546</v>
      </c>
      <c r="F684" s="21">
        <v>4.2233999999999998</v>
      </c>
      <c r="G684" s="21">
        <v>12.659999999999982</v>
      </c>
      <c r="H684" s="21">
        <v>4.2576999999999998</v>
      </c>
      <c r="I684" s="21">
        <v>-3.4299999999999997</v>
      </c>
      <c r="J684" s="19">
        <v>0</v>
      </c>
      <c r="K684" s="19" t="s">
        <v>68</v>
      </c>
      <c r="L684" s="13">
        <v>2.98</v>
      </c>
      <c r="M684" s="14" t="s">
        <v>205</v>
      </c>
      <c r="N684" s="14" t="s">
        <v>231</v>
      </c>
      <c r="O684" s="4">
        <v>42867</v>
      </c>
    </row>
    <row r="685" spans="1:15">
      <c r="A685" s="7">
        <v>1605134</v>
      </c>
      <c r="B685" s="7">
        <v>4.3499999999999996</v>
      </c>
      <c r="C685" s="18" t="s">
        <v>999</v>
      </c>
      <c r="D685" s="19">
        <v>0</v>
      </c>
      <c r="E685" s="20">
        <v>5.9452054794520546</v>
      </c>
      <c r="F685" s="21">
        <v>4.2233999999999998</v>
      </c>
      <c r="G685" s="21">
        <v>12.659999999999982</v>
      </c>
      <c r="H685" s="21">
        <v>4.2576999999999998</v>
      </c>
      <c r="I685" s="21">
        <v>-3.4299999999999997</v>
      </c>
      <c r="J685" s="19">
        <v>0</v>
      </c>
      <c r="K685" s="19" t="s">
        <v>68</v>
      </c>
      <c r="L685" s="13">
        <v>2.98</v>
      </c>
      <c r="M685" s="14" t="s">
        <v>205</v>
      </c>
      <c r="N685" s="14" t="s">
        <v>231</v>
      </c>
      <c r="O685" s="4">
        <v>42867</v>
      </c>
    </row>
    <row r="686" spans="1:15">
      <c r="A686" s="7">
        <v>170210</v>
      </c>
      <c r="B686" s="7">
        <v>4.3499999999999996</v>
      </c>
      <c r="C686" s="18" t="s">
        <v>832</v>
      </c>
      <c r="D686" s="19">
        <v>0</v>
      </c>
      <c r="E686" s="20">
        <v>9.9205479452054792</v>
      </c>
      <c r="F686" s="21">
        <v>4.3324999999999996</v>
      </c>
      <c r="G686" s="21">
        <v>1.7500000000000071</v>
      </c>
      <c r="H686" s="21">
        <v>4.3849</v>
      </c>
      <c r="I686" s="21">
        <v>-5.2400000000000446</v>
      </c>
      <c r="J686" s="19" t="s">
        <v>17</v>
      </c>
      <c r="K686" s="19" t="s">
        <v>19</v>
      </c>
      <c r="L686" s="13">
        <v>4.04</v>
      </c>
      <c r="M686" s="14" t="s">
        <v>833</v>
      </c>
      <c r="N686" s="14" t="s">
        <v>825</v>
      </c>
      <c r="O686" s="4">
        <v>42867</v>
      </c>
    </row>
    <row r="687" spans="1:15">
      <c r="A687" s="7">
        <v>170210</v>
      </c>
      <c r="B687" s="7">
        <v>4.3499999999999996</v>
      </c>
      <c r="C687" s="18" t="s">
        <v>832</v>
      </c>
      <c r="D687" s="19">
        <v>0</v>
      </c>
      <c r="E687" s="20">
        <v>9.9205479452054792</v>
      </c>
      <c r="F687" s="21">
        <v>4.3324999999999996</v>
      </c>
      <c r="G687" s="21">
        <v>1.7500000000000071</v>
      </c>
      <c r="H687" s="21">
        <v>4.3849</v>
      </c>
      <c r="I687" s="21">
        <v>-5.2400000000000446</v>
      </c>
      <c r="J687" s="19" t="s">
        <v>17</v>
      </c>
      <c r="K687" s="19" t="s">
        <v>19</v>
      </c>
      <c r="L687" s="13">
        <v>4.04</v>
      </c>
      <c r="M687" s="14" t="s">
        <v>833</v>
      </c>
      <c r="N687" s="14" t="s">
        <v>825</v>
      </c>
      <c r="O687" s="4">
        <v>42867</v>
      </c>
    </row>
    <row r="688" spans="1:15">
      <c r="A688" s="7">
        <v>170210</v>
      </c>
      <c r="B688" s="7">
        <v>4.3499999999999996</v>
      </c>
      <c r="C688" s="18" t="s">
        <v>832</v>
      </c>
      <c r="D688" s="19">
        <v>0</v>
      </c>
      <c r="E688" s="20">
        <v>9.9205479452054792</v>
      </c>
      <c r="F688" s="21">
        <v>4.3324999999999996</v>
      </c>
      <c r="G688" s="21">
        <v>1.7500000000000071</v>
      </c>
      <c r="H688" s="21">
        <v>4.3849</v>
      </c>
      <c r="I688" s="21">
        <v>-5.2400000000000446</v>
      </c>
      <c r="J688" s="19" t="s">
        <v>17</v>
      </c>
      <c r="K688" s="19" t="s">
        <v>19</v>
      </c>
      <c r="L688" s="13">
        <v>4.04</v>
      </c>
      <c r="M688" s="14" t="s">
        <v>833</v>
      </c>
      <c r="N688" s="14" t="s">
        <v>825</v>
      </c>
      <c r="O688" s="4">
        <v>42867</v>
      </c>
    </row>
    <row r="689" spans="1:15">
      <c r="A689" s="7">
        <v>170210</v>
      </c>
      <c r="B689" s="7">
        <v>4.3499999999999996</v>
      </c>
      <c r="C689" s="18" t="s">
        <v>832</v>
      </c>
      <c r="D689" s="19">
        <v>0</v>
      </c>
      <c r="E689" s="20">
        <v>9.9205479452054792</v>
      </c>
      <c r="F689" s="21">
        <v>4.3324999999999996</v>
      </c>
      <c r="G689" s="21">
        <v>1.7500000000000071</v>
      </c>
      <c r="H689" s="21">
        <v>4.3849</v>
      </c>
      <c r="I689" s="21">
        <v>-5.2400000000000446</v>
      </c>
      <c r="J689" s="19" t="s">
        <v>17</v>
      </c>
      <c r="K689" s="19" t="s">
        <v>19</v>
      </c>
      <c r="L689" s="13">
        <v>4.04</v>
      </c>
      <c r="M689" s="14" t="s">
        <v>833</v>
      </c>
      <c r="N689" s="14" t="s">
        <v>825</v>
      </c>
      <c r="O689" s="4">
        <v>42867</v>
      </c>
    </row>
    <row r="690" spans="1:15">
      <c r="A690" s="7">
        <v>170210</v>
      </c>
      <c r="B690" s="7">
        <v>4.3499999999999996</v>
      </c>
      <c r="C690" s="18" t="s">
        <v>832</v>
      </c>
      <c r="D690" s="19">
        <v>0</v>
      </c>
      <c r="E690" s="20">
        <v>9.9205479452054792</v>
      </c>
      <c r="F690" s="21">
        <v>4.3324999999999996</v>
      </c>
      <c r="G690" s="21">
        <v>1.7500000000000071</v>
      </c>
      <c r="H690" s="21">
        <v>4.3849</v>
      </c>
      <c r="I690" s="21">
        <v>-5.2400000000000446</v>
      </c>
      <c r="J690" s="19" t="s">
        <v>17</v>
      </c>
      <c r="K690" s="19" t="s">
        <v>19</v>
      </c>
      <c r="L690" s="13">
        <v>4.04</v>
      </c>
      <c r="M690" s="14" t="s">
        <v>833</v>
      </c>
      <c r="N690" s="14" t="s">
        <v>825</v>
      </c>
      <c r="O690" s="4">
        <v>42867</v>
      </c>
    </row>
    <row r="691" spans="1:15">
      <c r="A691" s="7">
        <v>170210</v>
      </c>
      <c r="B691" s="7">
        <v>4.3499999999999996</v>
      </c>
      <c r="C691" s="18" t="s">
        <v>832</v>
      </c>
      <c r="D691" s="19">
        <v>0</v>
      </c>
      <c r="E691" s="20">
        <v>9.9205479452054792</v>
      </c>
      <c r="F691" s="21">
        <v>4.3324999999999996</v>
      </c>
      <c r="G691" s="21">
        <v>1.7500000000000071</v>
      </c>
      <c r="H691" s="21">
        <v>4.3849</v>
      </c>
      <c r="I691" s="21">
        <v>-5.2400000000000446</v>
      </c>
      <c r="J691" s="19" t="s">
        <v>17</v>
      </c>
      <c r="K691" s="19" t="s">
        <v>19</v>
      </c>
      <c r="L691" s="13">
        <v>4.04</v>
      </c>
      <c r="M691" s="14" t="s">
        <v>833</v>
      </c>
      <c r="N691" s="14" t="s">
        <v>825</v>
      </c>
      <c r="O691" s="4">
        <v>42867</v>
      </c>
    </row>
    <row r="692" spans="1:15">
      <c r="A692" s="7">
        <v>170210</v>
      </c>
      <c r="B692" s="7">
        <v>4.3499999999999996</v>
      </c>
      <c r="C692" s="18" t="s">
        <v>832</v>
      </c>
      <c r="D692" s="19">
        <v>0</v>
      </c>
      <c r="E692" s="20">
        <v>9.9205479452054792</v>
      </c>
      <c r="F692" s="21">
        <v>4.3324999999999996</v>
      </c>
      <c r="G692" s="21">
        <v>1.7500000000000071</v>
      </c>
      <c r="H692" s="21">
        <v>4.3849</v>
      </c>
      <c r="I692" s="21">
        <v>-5.2400000000000446</v>
      </c>
      <c r="J692" s="19" t="s">
        <v>17</v>
      </c>
      <c r="K692" s="19" t="s">
        <v>19</v>
      </c>
      <c r="L692" s="13">
        <v>4.04</v>
      </c>
      <c r="M692" s="14" t="s">
        <v>833</v>
      </c>
      <c r="N692" s="14" t="s">
        <v>825</v>
      </c>
      <c r="O692" s="4">
        <v>42867</v>
      </c>
    </row>
    <row r="693" spans="1:15">
      <c r="A693" s="7">
        <v>170210</v>
      </c>
      <c r="B693" s="7">
        <v>4.3499999999999996</v>
      </c>
      <c r="C693" s="18" t="s">
        <v>832</v>
      </c>
      <c r="D693" s="19">
        <v>0</v>
      </c>
      <c r="E693" s="20">
        <v>9.9205479452054792</v>
      </c>
      <c r="F693" s="21">
        <v>4.3324999999999996</v>
      </c>
      <c r="G693" s="21">
        <v>1.7500000000000071</v>
      </c>
      <c r="H693" s="21">
        <v>4.3849</v>
      </c>
      <c r="I693" s="21">
        <v>-5.2400000000000446</v>
      </c>
      <c r="J693" s="19" t="s">
        <v>17</v>
      </c>
      <c r="K693" s="19" t="s">
        <v>19</v>
      </c>
      <c r="L693" s="13">
        <v>4.04</v>
      </c>
      <c r="M693" s="14" t="s">
        <v>833</v>
      </c>
      <c r="N693" s="14" t="s">
        <v>825</v>
      </c>
      <c r="O693" s="4">
        <v>42867</v>
      </c>
    </row>
    <row r="694" spans="1:15">
      <c r="A694" s="7">
        <v>170210</v>
      </c>
      <c r="B694" s="7">
        <v>4.3499999999999996</v>
      </c>
      <c r="C694" s="18" t="s">
        <v>832</v>
      </c>
      <c r="D694" s="19">
        <v>0</v>
      </c>
      <c r="E694" s="20">
        <v>9.9205479452054792</v>
      </c>
      <c r="F694" s="21">
        <v>4.3324999999999996</v>
      </c>
      <c r="G694" s="21">
        <v>1.7500000000000071</v>
      </c>
      <c r="H694" s="21">
        <v>4.3849</v>
      </c>
      <c r="I694" s="21">
        <v>-5.2400000000000446</v>
      </c>
      <c r="J694" s="19" t="s">
        <v>17</v>
      </c>
      <c r="K694" s="19" t="s">
        <v>19</v>
      </c>
      <c r="L694" s="13">
        <v>4.04</v>
      </c>
      <c r="M694" s="14" t="s">
        <v>833</v>
      </c>
      <c r="N694" s="14" t="s">
        <v>825</v>
      </c>
      <c r="O694" s="4">
        <v>42867</v>
      </c>
    </row>
    <row r="695" spans="1:15">
      <c r="A695" s="7">
        <v>170210</v>
      </c>
      <c r="B695" s="7">
        <v>4.3499999999999996</v>
      </c>
      <c r="C695" s="18" t="s">
        <v>832</v>
      </c>
      <c r="D695" s="19">
        <v>0</v>
      </c>
      <c r="E695" s="20">
        <v>9.9205479452054792</v>
      </c>
      <c r="F695" s="21">
        <v>4.3324999999999996</v>
      </c>
      <c r="G695" s="21">
        <v>1.7500000000000071</v>
      </c>
      <c r="H695" s="21">
        <v>4.3849</v>
      </c>
      <c r="I695" s="21">
        <v>-5.2400000000000446</v>
      </c>
      <c r="J695" s="19" t="s">
        <v>17</v>
      </c>
      <c r="K695" s="19" t="s">
        <v>19</v>
      </c>
      <c r="L695" s="13">
        <v>4.04</v>
      </c>
      <c r="M695" s="14" t="s">
        <v>833</v>
      </c>
      <c r="N695" s="14" t="s">
        <v>825</v>
      </c>
      <c r="O695" s="4">
        <v>42867</v>
      </c>
    </row>
    <row r="696" spans="1:15">
      <c r="A696" s="7">
        <v>170210</v>
      </c>
      <c r="B696" s="7">
        <v>4.3499999999999996</v>
      </c>
      <c r="C696" s="18" t="s">
        <v>832</v>
      </c>
      <c r="D696" s="19">
        <v>0</v>
      </c>
      <c r="E696" s="20">
        <v>9.9205479452054792</v>
      </c>
      <c r="F696" s="21">
        <v>4.3324999999999996</v>
      </c>
      <c r="G696" s="21">
        <v>1.7500000000000071</v>
      </c>
      <c r="H696" s="21">
        <v>4.3849</v>
      </c>
      <c r="I696" s="21">
        <v>-5.2400000000000446</v>
      </c>
      <c r="J696" s="19" t="s">
        <v>17</v>
      </c>
      <c r="K696" s="19" t="s">
        <v>19</v>
      </c>
      <c r="L696" s="13">
        <v>4.04</v>
      </c>
      <c r="M696" s="14" t="s">
        <v>833</v>
      </c>
      <c r="N696" s="14" t="s">
        <v>825</v>
      </c>
      <c r="O696" s="4">
        <v>42867</v>
      </c>
    </row>
    <row r="697" spans="1:15">
      <c r="A697" s="7">
        <v>170210</v>
      </c>
      <c r="B697" s="7">
        <v>4.3499999999999996</v>
      </c>
      <c r="C697" s="18" t="s">
        <v>832</v>
      </c>
      <c r="D697" s="19">
        <v>0</v>
      </c>
      <c r="E697" s="20">
        <v>9.9205479452054792</v>
      </c>
      <c r="F697" s="21">
        <v>4.3324999999999996</v>
      </c>
      <c r="G697" s="21">
        <v>1.7500000000000071</v>
      </c>
      <c r="H697" s="21">
        <v>4.3849</v>
      </c>
      <c r="I697" s="21">
        <v>-5.2400000000000446</v>
      </c>
      <c r="J697" s="19" t="s">
        <v>17</v>
      </c>
      <c r="K697" s="19" t="s">
        <v>19</v>
      </c>
      <c r="L697" s="13">
        <v>4.04</v>
      </c>
      <c r="M697" s="14" t="s">
        <v>833</v>
      </c>
      <c r="N697" s="14" t="s">
        <v>825</v>
      </c>
      <c r="O697" s="4">
        <v>42867</v>
      </c>
    </row>
    <row r="698" spans="1:15">
      <c r="A698" s="7">
        <v>170210</v>
      </c>
      <c r="B698" s="7">
        <v>4.3499999999999996</v>
      </c>
      <c r="C698" s="18" t="s">
        <v>832</v>
      </c>
      <c r="D698" s="19">
        <v>0</v>
      </c>
      <c r="E698" s="20">
        <v>9.9205479452054792</v>
      </c>
      <c r="F698" s="21">
        <v>4.3324999999999996</v>
      </c>
      <c r="G698" s="21">
        <v>1.7500000000000071</v>
      </c>
      <c r="H698" s="21">
        <v>4.3849</v>
      </c>
      <c r="I698" s="21">
        <v>-5.2400000000000446</v>
      </c>
      <c r="J698" s="19" t="s">
        <v>17</v>
      </c>
      <c r="K698" s="19" t="s">
        <v>19</v>
      </c>
      <c r="L698" s="13">
        <v>4.04</v>
      </c>
      <c r="M698" s="14" t="s">
        <v>833</v>
      </c>
      <c r="N698" s="14" t="s">
        <v>825</v>
      </c>
      <c r="O698" s="4">
        <v>42867</v>
      </c>
    </row>
    <row r="699" spans="1:15">
      <c r="A699" s="7">
        <v>170210</v>
      </c>
      <c r="B699" s="7">
        <v>4.3499999999999996</v>
      </c>
      <c r="C699" s="18" t="s">
        <v>832</v>
      </c>
      <c r="D699" s="19">
        <v>0</v>
      </c>
      <c r="E699" s="20">
        <v>9.9205479452054792</v>
      </c>
      <c r="F699" s="21">
        <v>4.3324999999999996</v>
      </c>
      <c r="G699" s="21">
        <v>1.7500000000000071</v>
      </c>
      <c r="H699" s="21">
        <v>4.3849</v>
      </c>
      <c r="I699" s="21">
        <v>-5.2400000000000446</v>
      </c>
      <c r="J699" s="19" t="s">
        <v>17</v>
      </c>
      <c r="K699" s="19" t="s">
        <v>19</v>
      </c>
      <c r="L699" s="13">
        <v>4.04</v>
      </c>
      <c r="M699" s="14" t="s">
        <v>833</v>
      </c>
      <c r="N699" s="14" t="s">
        <v>825</v>
      </c>
      <c r="O699" s="4">
        <v>42867</v>
      </c>
    </row>
    <row r="700" spans="1:15">
      <c r="A700" s="7">
        <v>170210</v>
      </c>
      <c r="B700" s="7">
        <v>4.3499999999999996</v>
      </c>
      <c r="C700" s="18" t="s">
        <v>832</v>
      </c>
      <c r="D700" s="19">
        <v>0</v>
      </c>
      <c r="E700" s="20">
        <v>9.9205479452054792</v>
      </c>
      <c r="F700" s="21">
        <v>4.3324999999999996</v>
      </c>
      <c r="G700" s="21">
        <v>1.7500000000000071</v>
      </c>
      <c r="H700" s="21">
        <v>4.3849</v>
      </c>
      <c r="I700" s="21">
        <v>-5.2400000000000446</v>
      </c>
      <c r="J700" s="19" t="s">
        <v>17</v>
      </c>
      <c r="K700" s="19" t="s">
        <v>19</v>
      </c>
      <c r="L700" s="13">
        <v>4.04</v>
      </c>
      <c r="M700" s="14" t="s">
        <v>833</v>
      </c>
      <c r="N700" s="14" t="s">
        <v>825</v>
      </c>
      <c r="O700" s="4">
        <v>42867</v>
      </c>
    </row>
    <row r="701" spans="1:15">
      <c r="A701" s="7">
        <v>170210</v>
      </c>
      <c r="B701" s="7">
        <v>4.3499999999999996</v>
      </c>
      <c r="C701" s="18" t="s">
        <v>832</v>
      </c>
      <c r="D701" s="19">
        <v>0</v>
      </c>
      <c r="E701" s="20">
        <v>9.9205479452054792</v>
      </c>
      <c r="F701" s="21">
        <v>4.3324999999999996</v>
      </c>
      <c r="G701" s="21">
        <v>1.7500000000000071</v>
      </c>
      <c r="H701" s="21">
        <v>4.3849</v>
      </c>
      <c r="I701" s="21">
        <v>-5.2400000000000446</v>
      </c>
      <c r="J701" s="19" t="s">
        <v>17</v>
      </c>
      <c r="K701" s="19" t="s">
        <v>19</v>
      </c>
      <c r="L701" s="13">
        <v>4.04</v>
      </c>
      <c r="M701" s="14" t="s">
        <v>833</v>
      </c>
      <c r="N701" s="14" t="s">
        <v>825</v>
      </c>
      <c r="O701" s="4">
        <v>42867</v>
      </c>
    </row>
    <row r="702" spans="1:15">
      <c r="A702" s="7">
        <v>170210</v>
      </c>
      <c r="B702" s="7">
        <v>4.3499999999999996</v>
      </c>
      <c r="C702" s="18" t="s">
        <v>832</v>
      </c>
      <c r="D702" s="19">
        <v>0</v>
      </c>
      <c r="E702" s="20">
        <v>9.9205479452054792</v>
      </c>
      <c r="F702" s="21">
        <v>4.3324999999999996</v>
      </c>
      <c r="G702" s="21">
        <v>1.7500000000000071</v>
      </c>
      <c r="H702" s="21">
        <v>4.3849</v>
      </c>
      <c r="I702" s="21">
        <v>-5.2400000000000446</v>
      </c>
      <c r="J702" s="19" t="s">
        <v>17</v>
      </c>
      <c r="K702" s="19" t="s">
        <v>19</v>
      </c>
      <c r="L702" s="13">
        <v>4.04</v>
      </c>
      <c r="M702" s="14" t="s">
        <v>833</v>
      </c>
      <c r="N702" s="14" t="s">
        <v>825</v>
      </c>
      <c r="O702" s="4">
        <v>42867</v>
      </c>
    </row>
    <row r="703" spans="1:15">
      <c r="A703" s="7">
        <v>170210</v>
      </c>
      <c r="B703" s="7">
        <v>4.3499999999999996</v>
      </c>
      <c r="C703" s="18" t="s">
        <v>832</v>
      </c>
      <c r="D703" s="19">
        <v>0</v>
      </c>
      <c r="E703" s="20">
        <v>9.9205479452054792</v>
      </c>
      <c r="F703" s="21">
        <v>4.3324999999999996</v>
      </c>
      <c r="G703" s="21">
        <v>1.7500000000000071</v>
      </c>
      <c r="H703" s="21">
        <v>4.3849</v>
      </c>
      <c r="I703" s="21">
        <v>-5.2400000000000446</v>
      </c>
      <c r="J703" s="19" t="s">
        <v>17</v>
      </c>
      <c r="K703" s="19" t="s">
        <v>19</v>
      </c>
      <c r="L703" s="13">
        <v>4.04</v>
      </c>
      <c r="M703" s="14" t="s">
        <v>833</v>
      </c>
      <c r="N703" s="14" t="s">
        <v>825</v>
      </c>
      <c r="O703" s="4">
        <v>42867</v>
      </c>
    </row>
    <row r="704" spans="1:15">
      <c r="A704" s="7">
        <v>170210</v>
      </c>
      <c r="B704" s="7">
        <v>4.3499999999999996</v>
      </c>
      <c r="C704" s="18" t="s">
        <v>832</v>
      </c>
      <c r="D704" s="19">
        <v>0</v>
      </c>
      <c r="E704" s="20">
        <v>9.9205479452054792</v>
      </c>
      <c r="F704" s="21">
        <v>4.3324999999999996</v>
      </c>
      <c r="G704" s="21">
        <v>1.7500000000000071</v>
      </c>
      <c r="H704" s="21">
        <v>4.3849</v>
      </c>
      <c r="I704" s="21">
        <v>-5.2400000000000446</v>
      </c>
      <c r="J704" s="19" t="s">
        <v>17</v>
      </c>
      <c r="K704" s="19" t="s">
        <v>19</v>
      </c>
      <c r="L704" s="13">
        <v>4.04</v>
      </c>
      <c r="M704" s="14" t="s">
        <v>833</v>
      </c>
      <c r="N704" s="14" t="s">
        <v>825</v>
      </c>
      <c r="O704" s="4">
        <v>42867</v>
      </c>
    </row>
    <row r="705" spans="1:15">
      <c r="A705" s="7">
        <v>170210</v>
      </c>
      <c r="B705" s="7">
        <v>4.3499999999999996</v>
      </c>
      <c r="C705" s="18" t="s">
        <v>832</v>
      </c>
      <c r="D705" s="19">
        <v>0</v>
      </c>
      <c r="E705" s="20">
        <v>9.9205479452054792</v>
      </c>
      <c r="F705" s="21">
        <v>4.3324999999999996</v>
      </c>
      <c r="G705" s="21">
        <v>1.7500000000000071</v>
      </c>
      <c r="H705" s="21">
        <v>4.3849</v>
      </c>
      <c r="I705" s="21">
        <v>-5.2400000000000446</v>
      </c>
      <c r="J705" s="19" t="s">
        <v>17</v>
      </c>
      <c r="K705" s="19" t="s">
        <v>19</v>
      </c>
      <c r="L705" s="13">
        <v>4.04</v>
      </c>
      <c r="M705" s="14" t="s">
        <v>833</v>
      </c>
      <c r="N705" s="14" t="s">
        <v>825</v>
      </c>
      <c r="O705" s="4">
        <v>42867</v>
      </c>
    </row>
    <row r="706" spans="1:15">
      <c r="A706" s="7">
        <v>170210</v>
      </c>
      <c r="B706" s="7">
        <v>4.3499999999999996</v>
      </c>
      <c r="C706" s="18" t="s">
        <v>832</v>
      </c>
      <c r="D706" s="19">
        <v>0</v>
      </c>
      <c r="E706" s="20">
        <v>9.9205479452054792</v>
      </c>
      <c r="F706" s="21">
        <v>4.3324999999999996</v>
      </c>
      <c r="G706" s="21">
        <v>1.7500000000000071</v>
      </c>
      <c r="H706" s="21">
        <v>4.3849</v>
      </c>
      <c r="I706" s="21">
        <v>-5.2400000000000446</v>
      </c>
      <c r="J706" s="19" t="s">
        <v>17</v>
      </c>
      <c r="K706" s="19" t="s">
        <v>19</v>
      </c>
      <c r="L706" s="13">
        <v>4.04</v>
      </c>
      <c r="M706" s="14" t="s">
        <v>833</v>
      </c>
      <c r="N706" s="14" t="s">
        <v>825</v>
      </c>
      <c r="O706" s="4">
        <v>42867</v>
      </c>
    </row>
    <row r="707" spans="1:15">
      <c r="A707" s="7">
        <v>170210</v>
      </c>
      <c r="B707" s="7">
        <v>4.3499999999999996</v>
      </c>
      <c r="C707" s="18" t="s">
        <v>832</v>
      </c>
      <c r="D707" s="19">
        <v>0</v>
      </c>
      <c r="E707" s="20">
        <v>9.9205479452054792</v>
      </c>
      <c r="F707" s="21">
        <v>4.3324999999999996</v>
      </c>
      <c r="G707" s="21">
        <v>1.7500000000000071</v>
      </c>
      <c r="H707" s="21">
        <v>4.3849</v>
      </c>
      <c r="I707" s="21">
        <v>-5.2400000000000446</v>
      </c>
      <c r="J707" s="19" t="s">
        <v>17</v>
      </c>
      <c r="K707" s="19" t="s">
        <v>19</v>
      </c>
      <c r="L707" s="13">
        <v>4.04</v>
      </c>
      <c r="M707" s="14" t="s">
        <v>833</v>
      </c>
      <c r="N707" s="14" t="s">
        <v>825</v>
      </c>
      <c r="O707" s="4">
        <v>42867</v>
      </c>
    </row>
    <row r="708" spans="1:15">
      <c r="A708" s="7">
        <v>170210</v>
      </c>
      <c r="B708" s="7">
        <v>4.3499999999999996</v>
      </c>
      <c r="C708" s="18" t="s">
        <v>832</v>
      </c>
      <c r="D708" s="19">
        <v>0</v>
      </c>
      <c r="E708" s="20">
        <v>9.9205479452054792</v>
      </c>
      <c r="F708" s="21">
        <v>4.3324999999999996</v>
      </c>
      <c r="G708" s="21">
        <v>1.7500000000000071</v>
      </c>
      <c r="H708" s="21">
        <v>4.3849</v>
      </c>
      <c r="I708" s="21">
        <v>-5.2400000000000446</v>
      </c>
      <c r="J708" s="19" t="s">
        <v>17</v>
      </c>
      <c r="K708" s="19" t="s">
        <v>19</v>
      </c>
      <c r="L708" s="13">
        <v>4.04</v>
      </c>
      <c r="M708" s="14" t="s">
        <v>833</v>
      </c>
      <c r="N708" s="14" t="s">
        <v>825</v>
      </c>
      <c r="O708" s="4">
        <v>42867</v>
      </c>
    </row>
    <row r="709" spans="1:15">
      <c r="A709" s="7">
        <v>170210</v>
      </c>
      <c r="B709" s="7">
        <v>4.3499999999999996</v>
      </c>
      <c r="C709" s="18" t="s">
        <v>832</v>
      </c>
      <c r="D709" s="19">
        <v>0</v>
      </c>
      <c r="E709" s="20">
        <v>9.9205479452054792</v>
      </c>
      <c r="F709" s="21">
        <v>4.3324999999999996</v>
      </c>
      <c r="G709" s="21">
        <v>1.7500000000000071</v>
      </c>
      <c r="H709" s="21">
        <v>4.3849</v>
      </c>
      <c r="I709" s="21">
        <v>-5.2400000000000446</v>
      </c>
      <c r="J709" s="19" t="s">
        <v>17</v>
      </c>
      <c r="K709" s="19" t="s">
        <v>19</v>
      </c>
      <c r="L709" s="13">
        <v>4.04</v>
      </c>
      <c r="M709" s="14" t="s">
        <v>833</v>
      </c>
      <c r="N709" s="14" t="s">
        <v>825</v>
      </c>
      <c r="O709" s="4">
        <v>42867</v>
      </c>
    </row>
    <row r="710" spans="1:15">
      <c r="A710" s="7">
        <v>170210</v>
      </c>
      <c r="B710" s="7">
        <v>4.3499999999999996</v>
      </c>
      <c r="C710" s="18" t="s">
        <v>832</v>
      </c>
      <c r="D710" s="19">
        <v>0</v>
      </c>
      <c r="E710" s="20">
        <v>9.9205479452054792</v>
      </c>
      <c r="F710" s="21">
        <v>4.3324999999999996</v>
      </c>
      <c r="G710" s="21">
        <v>1.7500000000000071</v>
      </c>
      <c r="H710" s="21">
        <v>4.3849</v>
      </c>
      <c r="I710" s="21">
        <v>-5.2400000000000446</v>
      </c>
      <c r="J710" s="19" t="s">
        <v>17</v>
      </c>
      <c r="K710" s="19" t="s">
        <v>19</v>
      </c>
      <c r="L710" s="13">
        <v>4.04</v>
      </c>
      <c r="M710" s="14" t="s">
        <v>833</v>
      </c>
      <c r="N710" s="14" t="s">
        <v>825</v>
      </c>
      <c r="O710" s="4">
        <v>42867</v>
      </c>
    </row>
    <row r="711" spans="1:15">
      <c r="A711" s="7">
        <v>170210</v>
      </c>
      <c r="B711" s="7">
        <v>4.3499999999999996</v>
      </c>
      <c r="C711" s="18" t="s">
        <v>832</v>
      </c>
      <c r="D711" s="19">
        <v>0</v>
      </c>
      <c r="E711" s="20">
        <v>9.9205479452054792</v>
      </c>
      <c r="F711" s="21">
        <v>4.3324999999999996</v>
      </c>
      <c r="G711" s="21">
        <v>1.7500000000000071</v>
      </c>
      <c r="H711" s="21">
        <v>4.3849</v>
      </c>
      <c r="I711" s="21">
        <v>-5.2400000000000446</v>
      </c>
      <c r="J711" s="19" t="s">
        <v>17</v>
      </c>
      <c r="K711" s="19" t="s">
        <v>19</v>
      </c>
      <c r="L711" s="13">
        <v>4.04</v>
      </c>
      <c r="M711" s="14" t="s">
        <v>833</v>
      </c>
      <c r="N711" s="14" t="s">
        <v>825</v>
      </c>
      <c r="O711" s="4">
        <v>42867</v>
      </c>
    </row>
    <row r="712" spans="1:15">
      <c r="A712" s="7">
        <v>170210</v>
      </c>
      <c r="B712" s="7">
        <v>4.3499999999999996</v>
      </c>
      <c r="C712" s="18" t="s">
        <v>832</v>
      </c>
      <c r="D712" s="19">
        <v>0</v>
      </c>
      <c r="E712" s="20">
        <v>9.9205479452054792</v>
      </c>
      <c r="F712" s="21">
        <v>4.3324999999999996</v>
      </c>
      <c r="G712" s="21">
        <v>1.7500000000000071</v>
      </c>
      <c r="H712" s="21">
        <v>4.3849</v>
      </c>
      <c r="I712" s="21">
        <v>-5.2400000000000446</v>
      </c>
      <c r="J712" s="19" t="s">
        <v>17</v>
      </c>
      <c r="K712" s="19" t="s">
        <v>19</v>
      </c>
      <c r="L712" s="13">
        <v>4.04</v>
      </c>
      <c r="M712" s="14" t="s">
        <v>833</v>
      </c>
      <c r="N712" s="14" t="s">
        <v>825</v>
      </c>
      <c r="O712" s="4">
        <v>42867</v>
      </c>
    </row>
    <row r="713" spans="1:15">
      <c r="A713" s="7">
        <v>170210</v>
      </c>
      <c r="B713" s="7">
        <v>4.3499999999999996</v>
      </c>
      <c r="C713" s="18" t="s">
        <v>832</v>
      </c>
      <c r="D713" s="19">
        <v>0</v>
      </c>
      <c r="E713" s="20">
        <v>9.9205479452054792</v>
      </c>
      <c r="F713" s="21">
        <v>4.3324999999999996</v>
      </c>
      <c r="G713" s="21">
        <v>1.7500000000000071</v>
      </c>
      <c r="H713" s="21">
        <v>4.3849</v>
      </c>
      <c r="I713" s="21">
        <v>-5.2400000000000446</v>
      </c>
      <c r="J713" s="19" t="s">
        <v>17</v>
      </c>
      <c r="K713" s="19" t="s">
        <v>19</v>
      </c>
      <c r="L713" s="13">
        <v>4.04</v>
      </c>
      <c r="M713" s="14" t="s">
        <v>833</v>
      </c>
      <c r="N713" s="14" t="s">
        <v>825</v>
      </c>
      <c r="O713" s="4">
        <v>42867</v>
      </c>
    </row>
    <row r="714" spans="1:15">
      <c r="A714" s="7">
        <v>170210</v>
      </c>
      <c r="B714" s="7">
        <v>4.3499999999999996</v>
      </c>
      <c r="C714" s="18" t="s">
        <v>832</v>
      </c>
      <c r="D714" s="19">
        <v>0</v>
      </c>
      <c r="E714" s="20">
        <v>9.9205479452054792</v>
      </c>
      <c r="F714" s="21">
        <v>4.3324999999999996</v>
      </c>
      <c r="G714" s="21">
        <v>1.7500000000000071</v>
      </c>
      <c r="H714" s="21">
        <v>4.3849</v>
      </c>
      <c r="I714" s="21">
        <v>-5.2400000000000446</v>
      </c>
      <c r="J714" s="19" t="s">
        <v>17</v>
      </c>
      <c r="K714" s="19" t="s">
        <v>19</v>
      </c>
      <c r="L714" s="13">
        <v>4.04</v>
      </c>
      <c r="M714" s="14" t="s">
        <v>833</v>
      </c>
      <c r="N714" s="14" t="s">
        <v>825</v>
      </c>
      <c r="O714" s="4">
        <v>42867</v>
      </c>
    </row>
    <row r="715" spans="1:15">
      <c r="A715" s="7">
        <v>170210</v>
      </c>
      <c r="B715" s="7">
        <v>4.3499999999999996</v>
      </c>
      <c r="C715" s="18" t="s">
        <v>832</v>
      </c>
      <c r="D715" s="19">
        <v>0</v>
      </c>
      <c r="E715" s="20">
        <v>9.9205479452054792</v>
      </c>
      <c r="F715" s="21">
        <v>4.3324999999999996</v>
      </c>
      <c r="G715" s="21">
        <v>1.7500000000000071</v>
      </c>
      <c r="H715" s="21">
        <v>4.3849</v>
      </c>
      <c r="I715" s="21">
        <v>-5.2400000000000446</v>
      </c>
      <c r="J715" s="19" t="s">
        <v>17</v>
      </c>
      <c r="K715" s="19" t="s">
        <v>19</v>
      </c>
      <c r="L715" s="13">
        <v>4.04</v>
      </c>
      <c r="M715" s="14" t="s">
        <v>833</v>
      </c>
      <c r="N715" s="14" t="s">
        <v>825</v>
      </c>
      <c r="O715" s="4">
        <v>42867</v>
      </c>
    </row>
    <row r="716" spans="1:15">
      <c r="A716" s="7">
        <v>170210</v>
      </c>
      <c r="B716" s="7">
        <v>4.3499999999999996</v>
      </c>
      <c r="C716" s="18" t="s">
        <v>832</v>
      </c>
      <c r="D716" s="19">
        <v>0</v>
      </c>
      <c r="E716" s="20">
        <v>9.9205479452054792</v>
      </c>
      <c r="F716" s="21">
        <v>4.3324999999999996</v>
      </c>
      <c r="G716" s="21">
        <v>1.7500000000000071</v>
      </c>
      <c r="H716" s="21">
        <v>4.3849</v>
      </c>
      <c r="I716" s="21">
        <v>-5.2400000000000446</v>
      </c>
      <c r="J716" s="19" t="s">
        <v>17</v>
      </c>
      <c r="K716" s="19" t="s">
        <v>19</v>
      </c>
      <c r="L716" s="13">
        <v>4.04</v>
      </c>
      <c r="M716" s="14" t="s">
        <v>833</v>
      </c>
      <c r="N716" s="14" t="s">
        <v>825</v>
      </c>
      <c r="O716" s="4">
        <v>42867</v>
      </c>
    </row>
    <row r="717" spans="1:15">
      <c r="A717" s="7">
        <v>170210</v>
      </c>
      <c r="B717" s="7">
        <v>4.3499999999999996</v>
      </c>
      <c r="C717" s="18" t="s">
        <v>832</v>
      </c>
      <c r="D717" s="19">
        <v>0</v>
      </c>
      <c r="E717" s="20">
        <v>9.9205479452054792</v>
      </c>
      <c r="F717" s="21">
        <v>4.3324999999999996</v>
      </c>
      <c r="G717" s="21">
        <v>1.7500000000000071</v>
      </c>
      <c r="H717" s="21">
        <v>4.3849</v>
      </c>
      <c r="I717" s="21">
        <v>-5.2400000000000446</v>
      </c>
      <c r="J717" s="19" t="s">
        <v>17</v>
      </c>
      <c r="K717" s="19" t="s">
        <v>19</v>
      </c>
      <c r="L717" s="13">
        <v>4.04</v>
      </c>
      <c r="M717" s="14" t="s">
        <v>833</v>
      </c>
      <c r="N717" s="14" t="s">
        <v>825</v>
      </c>
      <c r="O717" s="4">
        <v>42867</v>
      </c>
    </row>
    <row r="718" spans="1:15">
      <c r="A718" s="7">
        <v>170210</v>
      </c>
      <c r="B718" s="7">
        <v>4.3499999999999996</v>
      </c>
      <c r="C718" s="18" t="s">
        <v>832</v>
      </c>
      <c r="D718" s="19">
        <v>0</v>
      </c>
      <c r="E718" s="20">
        <v>9.9205479452054792</v>
      </c>
      <c r="F718" s="21">
        <v>4.3324999999999996</v>
      </c>
      <c r="G718" s="21">
        <v>1.7500000000000071</v>
      </c>
      <c r="H718" s="21">
        <v>4.3849</v>
      </c>
      <c r="I718" s="21">
        <v>-5.2400000000000446</v>
      </c>
      <c r="J718" s="19" t="s">
        <v>17</v>
      </c>
      <c r="K718" s="19" t="s">
        <v>19</v>
      </c>
      <c r="L718" s="13">
        <v>4.04</v>
      </c>
      <c r="M718" s="14" t="s">
        <v>833</v>
      </c>
      <c r="N718" s="14" t="s">
        <v>825</v>
      </c>
      <c r="O718" s="4">
        <v>42867</v>
      </c>
    </row>
    <row r="719" spans="1:15">
      <c r="A719" s="7">
        <v>170210</v>
      </c>
      <c r="B719" s="7">
        <v>4.3499999999999996</v>
      </c>
      <c r="C719" s="18" t="s">
        <v>832</v>
      </c>
      <c r="D719" s="19">
        <v>0</v>
      </c>
      <c r="E719" s="20">
        <v>9.9205479452054792</v>
      </c>
      <c r="F719" s="21">
        <v>4.3324999999999996</v>
      </c>
      <c r="G719" s="21">
        <v>1.7500000000000071</v>
      </c>
      <c r="H719" s="21">
        <v>4.3849</v>
      </c>
      <c r="I719" s="21">
        <v>-5.2400000000000446</v>
      </c>
      <c r="J719" s="19" t="s">
        <v>17</v>
      </c>
      <c r="K719" s="19" t="s">
        <v>19</v>
      </c>
      <c r="L719" s="13">
        <v>4.04</v>
      </c>
      <c r="M719" s="14" t="s">
        <v>833</v>
      </c>
      <c r="N719" s="14" t="s">
        <v>825</v>
      </c>
      <c r="O719" s="4">
        <v>42867</v>
      </c>
    </row>
    <row r="720" spans="1:15">
      <c r="A720" s="7">
        <v>170210</v>
      </c>
      <c r="B720" s="7">
        <v>4.3499999999999996</v>
      </c>
      <c r="C720" s="18" t="s">
        <v>832</v>
      </c>
      <c r="D720" s="19">
        <v>0</v>
      </c>
      <c r="E720" s="20">
        <v>9.9205479452054792</v>
      </c>
      <c r="F720" s="21">
        <v>4.3324999999999996</v>
      </c>
      <c r="G720" s="21">
        <v>1.7500000000000071</v>
      </c>
      <c r="H720" s="21">
        <v>4.3849</v>
      </c>
      <c r="I720" s="21">
        <v>-5.2400000000000446</v>
      </c>
      <c r="J720" s="19" t="s">
        <v>17</v>
      </c>
      <c r="K720" s="19" t="s">
        <v>19</v>
      </c>
      <c r="L720" s="13">
        <v>4.04</v>
      </c>
      <c r="M720" s="14" t="s">
        <v>833</v>
      </c>
      <c r="N720" s="14" t="s">
        <v>825</v>
      </c>
      <c r="O720" s="4">
        <v>42867</v>
      </c>
    </row>
    <row r="721" spans="1:15">
      <c r="A721" s="7">
        <v>170210</v>
      </c>
      <c r="B721" s="7">
        <v>4.3499999999999996</v>
      </c>
      <c r="C721" s="18" t="s">
        <v>832</v>
      </c>
      <c r="D721" s="19">
        <v>0</v>
      </c>
      <c r="E721" s="20">
        <v>9.9205479452054792</v>
      </c>
      <c r="F721" s="21">
        <v>4.3324999999999996</v>
      </c>
      <c r="G721" s="21">
        <v>1.7500000000000071</v>
      </c>
      <c r="H721" s="21">
        <v>4.3849</v>
      </c>
      <c r="I721" s="21">
        <v>-5.2400000000000446</v>
      </c>
      <c r="J721" s="19" t="s">
        <v>17</v>
      </c>
      <c r="K721" s="19" t="s">
        <v>19</v>
      </c>
      <c r="L721" s="13">
        <v>4.04</v>
      </c>
      <c r="M721" s="14" t="s">
        <v>833</v>
      </c>
      <c r="N721" s="14" t="s">
        <v>825</v>
      </c>
      <c r="O721" s="4">
        <v>42867</v>
      </c>
    </row>
    <row r="722" spans="1:15">
      <c r="A722" s="7">
        <v>170210</v>
      </c>
      <c r="B722" s="7">
        <v>4.3499999999999996</v>
      </c>
      <c r="C722" s="18" t="s">
        <v>832</v>
      </c>
      <c r="D722" s="19">
        <v>0</v>
      </c>
      <c r="E722" s="20">
        <v>9.9205479452054792</v>
      </c>
      <c r="F722" s="21">
        <v>4.3324999999999996</v>
      </c>
      <c r="G722" s="21">
        <v>1.7500000000000071</v>
      </c>
      <c r="H722" s="21">
        <v>4.3849</v>
      </c>
      <c r="I722" s="21">
        <v>-5.2400000000000446</v>
      </c>
      <c r="J722" s="19" t="s">
        <v>17</v>
      </c>
      <c r="K722" s="19" t="s">
        <v>19</v>
      </c>
      <c r="L722" s="13">
        <v>4.04</v>
      </c>
      <c r="M722" s="14" t="s">
        <v>833</v>
      </c>
      <c r="N722" s="14" t="s">
        <v>825</v>
      </c>
      <c r="O722" s="4">
        <v>42867</v>
      </c>
    </row>
    <row r="723" spans="1:15">
      <c r="A723" s="7">
        <v>170210</v>
      </c>
      <c r="B723" s="7">
        <v>4.3499999999999996</v>
      </c>
      <c r="C723" s="18" t="s">
        <v>832</v>
      </c>
      <c r="D723" s="19">
        <v>0</v>
      </c>
      <c r="E723" s="20">
        <v>9.9205479452054792</v>
      </c>
      <c r="F723" s="21">
        <v>4.3324999999999996</v>
      </c>
      <c r="G723" s="21">
        <v>1.7500000000000071</v>
      </c>
      <c r="H723" s="21">
        <v>4.3849</v>
      </c>
      <c r="I723" s="21">
        <v>-5.2400000000000446</v>
      </c>
      <c r="J723" s="19" t="s">
        <v>17</v>
      </c>
      <c r="K723" s="19" t="s">
        <v>19</v>
      </c>
      <c r="L723" s="13">
        <v>4.04</v>
      </c>
      <c r="M723" s="14" t="s">
        <v>833</v>
      </c>
      <c r="N723" s="14" t="s">
        <v>825</v>
      </c>
      <c r="O723" s="4">
        <v>42867</v>
      </c>
    </row>
    <row r="724" spans="1:15">
      <c r="A724" s="7">
        <v>170210</v>
      </c>
      <c r="B724" s="7">
        <v>4.3499999999999996</v>
      </c>
      <c r="C724" s="18" t="s">
        <v>832</v>
      </c>
      <c r="D724" s="19">
        <v>0</v>
      </c>
      <c r="E724" s="20">
        <v>9.9205479452054792</v>
      </c>
      <c r="F724" s="21">
        <v>4.3324999999999996</v>
      </c>
      <c r="G724" s="21">
        <v>1.7500000000000071</v>
      </c>
      <c r="H724" s="21">
        <v>4.3849</v>
      </c>
      <c r="I724" s="21">
        <v>-5.2400000000000446</v>
      </c>
      <c r="J724" s="19" t="s">
        <v>17</v>
      </c>
      <c r="K724" s="19" t="s">
        <v>19</v>
      </c>
      <c r="L724" s="13">
        <v>4.04</v>
      </c>
      <c r="M724" s="14" t="s">
        <v>833</v>
      </c>
      <c r="N724" s="14" t="s">
        <v>825</v>
      </c>
      <c r="O724" s="4">
        <v>42867</v>
      </c>
    </row>
    <row r="725" spans="1:15">
      <c r="A725" s="7">
        <v>170210</v>
      </c>
      <c r="B725" s="7">
        <v>4.3499999999999996</v>
      </c>
      <c r="C725" s="18" t="s">
        <v>832</v>
      </c>
      <c r="D725" s="19">
        <v>0</v>
      </c>
      <c r="E725" s="20">
        <v>9.9205479452054792</v>
      </c>
      <c r="F725" s="21">
        <v>4.3324999999999996</v>
      </c>
      <c r="G725" s="21">
        <v>1.7500000000000071</v>
      </c>
      <c r="H725" s="21">
        <v>4.3849</v>
      </c>
      <c r="I725" s="21">
        <v>-5.2400000000000446</v>
      </c>
      <c r="J725" s="19" t="s">
        <v>17</v>
      </c>
      <c r="K725" s="19" t="s">
        <v>19</v>
      </c>
      <c r="L725" s="13">
        <v>4.04</v>
      </c>
      <c r="M725" s="14" t="s">
        <v>833</v>
      </c>
      <c r="N725" s="14" t="s">
        <v>825</v>
      </c>
      <c r="O725" s="4">
        <v>42867</v>
      </c>
    </row>
    <row r="726" spans="1:15">
      <c r="A726" s="7">
        <v>170210</v>
      </c>
      <c r="B726" s="7">
        <v>4.3499999999999996</v>
      </c>
      <c r="C726" s="18" t="s">
        <v>832</v>
      </c>
      <c r="D726" s="19">
        <v>0</v>
      </c>
      <c r="E726" s="20">
        <v>9.9205479452054792</v>
      </c>
      <c r="F726" s="21">
        <v>4.3324999999999996</v>
      </c>
      <c r="G726" s="21">
        <v>1.7500000000000071</v>
      </c>
      <c r="H726" s="21">
        <v>4.3849</v>
      </c>
      <c r="I726" s="21">
        <v>-5.2400000000000446</v>
      </c>
      <c r="J726" s="19" t="s">
        <v>17</v>
      </c>
      <c r="K726" s="19" t="s">
        <v>19</v>
      </c>
      <c r="L726" s="13">
        <v>4.04</v>
      </c>
      <c r="M726" s="14" t="s">
        <v>833</v>
      </c>
      <c r="N726" s="14" t="s">
        <v>825</v>
      </c>
      <c r="O726" s="4">
        <v>42867</v>
      </c>
    </row>
    <row r="727" spans="1:15">
      <c r="A727" s="7">
        <v>170210</v>
      </c>
      <c r="B727" s="7">
        <v>4.3499999999999996</v>
      </c>
      <c r="C727" s="18" t="s">
        <v>832</v>
      </c>
      <c r="D727" s="19">
        <v>0</v>
      </c>
      <c r="E727" s="20">
        <v>9.9205479452054792</v>
      </c>
      <c r="F727" s="21">
        <v>4.3324999999999996</v>
      </c>
      <c r="G727" s="21">
        <v>1.7500000000000071</v>
      </c>
      <c r="H727" s="21">
        <v>4.3849</v>
      </c>
      <c r="I727" s="21">
        <v>-5.2400000000000446</v>
      </c>
      <c r="J727" s="19" t="s">
        <v>17</v>
      </c>
      <c r="K727" s="19" t="s">
        <v>19</v>
      </c>
      <c r="L727" s="13">
        <v>4.04</v>
      </c>
      <c r="M727" s="14" t="s">
        <v>833</v>
      </c>
      <c r="N727" s="14" t="s">
        <v>825</v>
      </c>
      <c r="O727" s="4">
        <v>42867</v>
      </c>
    </row>
    <row r="728" spans="1:15">
      <c r="A728" s="7">
        <v>170210</v>
      </c>
      <c r="B728" s="7">
        <v>4.3499999999999996</v>
      </c>
      <c r="C728" s="18" t="s">
        <v>832</v>
      </c>
      <c r="D728" s="19">
        <v>0</v>
      </c>
      <c r="E728" s="20">
        <v>9.9205479452054792</v>
      </c>
      <c r="F728" s="21">
        <v>4.3324999999999996</v>
      </c>
      <c r="G728" s="21">
        <v>1.7500000000000071</v>
      </c>
      <c r="H728" s="21">
        <v>4.3849</v>
      </c>
      <c r="I728" s="21">
        <v>-5.2400000000000446</v>
      </c>
      <c r="J728" s="19" t="s">
        <v>17</v>
      </c>
      <c r="K728" s="19" t="s">
        <v>19</v>
      </c>
      <c r="L728" s="13">
        <v>4.04</v>
      </c>
      <c r="M728" s="14" t="s">
        <v>833</v>
      </c>
      <c r="N728" s="14" t="s">
        <v>825</v>
      </c>
      <c r="O728" s="4">
        <v>42867</v>
      </c>
    </row>
    <row r="729" spans="1:15">
      <c r="A729" s="7">
        <v>110237</v>
      </c>
      <c r="B729" s="7">
        <v>4.3499999999999996</v>
      </c>
      <c r="C729" s="18" t="s">
        <v>1000</v>
      </c>
      <c r="D729" s="19">
        <v>0</v>
      </c>
      <c r="E729" s="20">
        <v>1.0794520547945206</v>
      </c>
      <c r="F729" s="21">
        <v>4.3337000000000003</v>
      </c>
      <c r="G729" s="21">
        <v>1.6299999999999315</v>
      </c>
      <c r="H729" s="21">
        <v>4.2050999999999998</v>
      </c>
      <c r="I729" s="21">
        <v>12.860000000000049</v>
      </c>
      <c r="J729" s="19" t="s">
        <v>17</v>
      </c>
      <c r="K729" s="19" t="s">
        <v>19</v>
      </c>
      <c r="L729" s="13">
        <v>4.05</v>
      </c>
      <c r="M729" s="14" t="s">
        <v>719</v>
      </c>
      <c r="N729" s="14" t="s">
        <v>725</v>
      </c>
      <c r="O729" s="4">
        <v>42867</v>
      </c>
    </row>
    <row r="730" spans="1:15">
      <c r="A730" s="7">
        <v>170210</v>
      </c>
      <c r="B730" s="7">
        <v>4.3494999999999999</v>
      </c>
      <c r="C730" s="18" t="s">
        <v>832</v>
      </c>
      <c r="D730" s="19">
        <v>0</v>
      </c>
      <c r="E730" s="20">
        <v>9.9205479452054792</v>
      </c>
      <c r="F730" s="21">
        <v>4.3324999999999996</v>
      </c>
      <c r="G730" s="21">
        <v>1.7000000000000348</v>
      </c>
      <c r="H730" s="21">
        <v>4.3849</v>
      </c>
      <c r="I730" s="21">
        <v>-5.2400000000000446</v>
      </c>
      <c r="J730" s="19" t="s">
        <v>17</v>
      </c>
      <c r="K730" s="19" t="s">
        <v>19</v>
      </c>
      <c r="L730" s="13">
        <v>4.04</v>
      </c>
      <c r="M730" s="14" t="s">
        <v>833</v>
      </c>
      <c r="N730" s="14" t="s">
        <v>825</v>
      </c>
      <c r="O730" s="4">
        <v>42867</v>
      </c>
    </row>
    <row r="731" spans="1:15">
      <c r="A731" s="7">
        <v>170210</v>
      </c>
      <c r="B731" s="7">
        <v>4.3494999999999999</v>
      </c>
      <c r="C731" s="18" t="s">
        <v>832</v>
      </c>
      <c r="D731" s="19">
        <v>0</v>
      </c>
      <c r="E731" s="20">
        <v>9.9205479452054792</v>
      </c>
      <c r="F731" s="21">
        <v>4.3324999999999996</v>
      </c>
      <c r="G731" s="21">
        <v>1.7000000000000348</v>
      </c>
      <c r="H731" s="21">
        <v>4.3849</v>
      </c>
      <c r="I731" s="21">
        <v>-5.2400000000000446</v>
      </c>
      <c r="J731" s="19" t="s">
        <v>17</v>
      </c>
      <c r="K731" s="19" t="s">
        <v>19</v>
      </c>
      <c r="L731" s="13">
        <v>4.04</v>
      </c>
      <c r="M731" s="14" t="s">
        <v>833</v>
      </c>
      <c r="N731" s="14" t="s">
        <v>825</v>
      </c>
      <c r="O731" s="4">
        <v>42867</v>
      </c>
    </row>
    <row r="732" spans="1:15">
      <c r="A732" s="7">
        <v>170210</v>
      </c>
      <c r="B732" s="7">
        <v>4.3490000000000002</v>
      </c>
      <c r="C732" s="18" t="s">
        <v>832</v>
      </c>
      <c r="D732" s="19">
        <v>0</v>
      </c>
      <c r="E732" s="20">
        <v>9.9205479452054792</v>
      </c>
      <c r="F732" s="21">
        <v>4.3324999999999996</v>
      </c>
      <c r="G732" s="21">
        <v>1.6500000000000625</v>
      </c>
      <c r="H732" s="21">
        <v>4.3849</v>
      </c>
      <c r="I732" s="21">
        <v>-5.2400000000000446</v>
      </c>
      <c r="J732" s="19" t="s">
        <v>17</v>
      </c>
      <c r="K732" s="19" t="s">
        <v>19</v>
      </c>
      <c r="L732" s="13">
        <v>4.04</v>
      </c>
      <c r="M732" s="14" t="s">
        <v>833</v>
      </c>
      <c r="N732" s="14" t="s">
        <v>825</v>
      </c>
      <c r="O732" s="4">
        <v>42867</v>
      </c>
    </row>
    <row r="733" spans="1:15">
      <c r="A733" s="7">
        <v>170210</v>
      </c>
      <c r="B733" s="7">
        <v>4.3490000000000002</v>
      </c>
      <c r="C733" s="18" t="s">
        <v>832</v>
      </c>
      <c r="D733" s="19">
        <v>0</v>
      </c>
      <c r="E733" s="20">
        <v>9.9205479452054792</v>
      </c>
      <c r="F733" s="21">
        <v>4.3324999999999996</v>
      </c>
      <c r="G733" s="21">
        <v>1.6500000000000625</v>
      </c>
      <c r="H733" s="21">
        <v>4.3849</v>
      </c>
      <c r="I733" s="21">
        <v>-5.2400000000000446</v>
      </c>
      <c r="J733" s="19" t="s">
        <v>17</v>
      </c>
      <c r="K733" s="19" t="s">
        <v>19</v>
      </c>
      <c r="L733" s="13">
        <v>4.04</v>
      </c>
      <c r="M733" s="14" t="s">
        <v>833</v>
      </c>
      <c r="N733" s="14" t="s">
        <v>825</v>
      </c>
      <c r="O733" s="4">
        <v>42867</v>
      </c>
    </row>
    <row r="734" spans="1:15">
      <c r="A734" s="7">
        <v>170210</v>
      </c>
      <c r="B734" s="7">
        <v>4.3475000000000001</v>
      </c>
      <c r="C734" s="18" t="s">
        <v>832</v>
      </c>
      <c r="D734" s="19">
        <v>0</v>
      </c>
      <c r="E734" s="20">
        <v>9.9205479452054792</v>
      </c>
      <c r="F734" s="21">
        <v>4.3324999999999996</v>
      </c>
      <c r="G734" s="21">
        <v>1.5000000000000568</v>
      </c>
      <c r="H734" s="21">
        <v>4.3849</v>
      </c>
      <c r="I734" s="21">
        <v>-5.2400000000000446</v>
      </c>
      <c r="J734" s="19" t="s">
        <v>17</v>
      </c>
      <c r="K734" s="19" t="s">
        <v>19</v>
      </c>
      <c r="L734" s="13">
        <v>4.04</v>
      </c>
      <c r="M734" s="14" t="s">
        <v>833</v>
      </c>
      <c r="N734" s="14" t="s">
        <v>825</v>
      </c>
      <c r="O734" s="4">
        <v>42867</v>
      </c>
    </row>
    <row r="735" spans="1:15">
      <c r="A735" s="7">
        <v>170210</v>
      </c>
      <c r="B735" s="7">
        <v>4.3475000000000001</v>
      </c>
      <c r="C735" s="18" t="s">
        <v>832</v>
      </c>
      <c r="D735" s="19">
        <v>0</v>
      </c>
      <c r="E735" s="20">
        <v>9.9205479452054792</v>
      </c>
      <c r="F735" s="21">
        <v>4.3324999999999996</v>
      </c>
      <c r="G735" s="21">
        <v>1.5000000000000568</v>
      </c>
      <c r="H735" s="21">
        <v>4.3849</v>
      </c>
      <c r="I735" s="21">
        <v>-5.2400000000000446</v>
      </c>
      <c r="J735" s="19" t="s">
        <v>17</v>
      </c>
      <c r="K735" s="19" t="s">
        <v>19</v>
      </c>
      <c r="L735" s="13">
        <v>4.04</v>
      </c>
      <c r="M735" s="14" t="s">
        <v>833</v>
      </c>
      <c r="N735" s="14" t="s">
        <v>825</v>
      </c>
      <c r="O735" s="4">
        <v>42867</v>
      </c>
    </row>
    <row r="736" spans="1:15">
      <c r="A736" s="7">
        <v>170210</v>
      </c>
      <c r="B736" s="7">
        <v>4.3475000000000001</v>
      </c>
      <c r="C736" s="18" t="s">
        <v>832</v>
      </c>
      <c r="D736" s="19">
        <v>0</v>
      </c>
      <c r="E736" s="20">
        <v>9.9205479452054792</v>
      </c>
      <c r="F736" s="21">
        <v>4.3324999999999996</v>
      </c>
      <c r="G736" s="21">
        <v>1.5000000000000568</v>
      </c>
      <c r="H736" s="21">
        <v>4.3849</v>
      </c>
      <c r="I736" s="21">
        <v>-5.2400000000000446</v>
      </c>
      <c r="J736" s="19" t="s">
        <v>17</v>
      </c>
      <c r="K736" s="19" t="s">
        <v>19</v>
      </c>
      <c r="L736" s="13">
        <v>4.04</v>
      </c>
      <c r="M736" s="14" t="s">
        <v>833</v>
      </c>
      <c r="N736" s="14" t="s">
        <v>825</v>
      </c>
      <c r="O736" s="4">
        <v>42867</v>
      </c>
    </row>
    <row r="737" spans="1:15">
      <c r="A737" s="7">
        <v>170210</v>
      </c>
      <c r="B737" s="7">
        <v>4.3475000000000001</v>
      </c>
      <c r="C737" s="18" t="s">
        <v>832</v>
      </c>
      <c r="D737" s="19">
        <v>0</v>
      </c>
      <c r="E737" s="20">
        <v>9.9205479452054792</v>
      </c>
      <c r="F737" s="21">
        <v>4.3324999999999996</v>
      </c>
      <c r="G737" s="21">
        <v>1.5000000000000568</v>
      </c>
      <c r="H737" s="21">
        <v>4.3849</v>
      </c>
      <c r="I737" s="21">
        <v>-5.2400000000000446</v>
      </c>
      <c r="J737" s="19" t="s">
        <v>17</v>
      </c>
      <c r="K737" s="19" t="s">
        <v>19</v>
      </c>
      <c r="L737" s="13">
        <v>4.04</v>
      </c>
      <c r="M737" s="14" t="s">
        <v>833</v>
      </c>
      <c r="N737" s="14" t="s">
        <v>825</v>
      </c>
      <c r="O737" s="4">
        <v>42867</v>
      </c>
    </row>
    <row r="738" spans="1:15">
      <c r="A738" s="7">
        <v>170210</v>
      </c>
      <c r="B738" s="7">
        <v>4.3475000000000001</v>
      </c>
      <c r="C738" s="18" t="s">
        <v>832</v>
      </c>
      <c r="D738" s="19">
        <v>0</v>
      </c>
      <c r="E738" s="20">
        <v>9.9205479452054792</v>
      </c>
      <c r="F738" s="21">
        <v>4.3324999999999996</v>
      </c>
      <c r="G738" s="21">
        <v>1.5000000000000568</v>
      </c>
      <c r="H738" s="21">
        <v>4.3849</v>
      </c>
      <c r="I738" s="21">
        <v>-5.2400000000000446</v>
      </c>
      <c r="J738" s="19" t="s">
        <v>17</v>
      </c>
      <c r="K738" s="19" t="s">
        <v>19</v>
      </c>
      <c r="L738" s="13">
        <v>4.04</v>
      </c>
      <c r="M738" s="14" t="s">
        <v>833</v>
      </c>
      <c r="N738" s="14" t="s">
        <v>825</v>
      </c>
      <c r="O738" s="4">
        <v>42867</v>
      </c>
    </row>
    <row r="739" spans="1:15">
      <c r="A739" s="7">
        <v>170210</v>
      </c>
      <c r="B739" s="7">
        <v>4.3475000000000001</v>
      </c>
      <c r="C739" s="18" t="s">
        <v>832</v>
      </c>
      <c r="D739" s="19">
        <v>0</v>
      </c>
      <c r="E739" s="20">
        <v>9.9205479452054792</v>
      </c>
      <c r="F739" s="21">
        <v>4.3324999999999996</v>
      </c>
      <c r="G739" s="21">
        <v>1.5000000000000568</v>
      </c>
      <c r="H739" s="21">
        <v>4.3849</v>
      </c>
      <c r="I739" s="21">
        <v>-5.2400000000000446</v>
      </c>
      <c r="J739" s="19" t="s">
        <v>17</v>
      </c>
      <c r="K739" s="19" t="s">
        <v>19</v>
      </c>
      <c r="L739" s="13">
        <v>4.04</v>
      </c>
      <c r="M739" s="14" t="s">
        <v>833</v>
      </c>
      <c r="N739" s="14" t="s">
        <v>825</v>
      </c>
      <c r="O739" s="4">
        <v>42867</v>
      </c>
    </row>
    <row r="740" spans="1:15">
      <c r="A740" s="7">
        <v>170210</v>
      </c>
      <c r="B740" s="7">
        <v>4.3475000000000001</v>
      </c>
      <c r="C740" s="18" t="s">
        <v>832</v>
      </c>
      <c r="D740" s="19">
        <v>0</v>
      </c>
      <c r="E740" s="20">
        <v>9.9205479452054792</v>
      </c>
      <c r="F740" s="21">
        <v>4.3324999999999996</v>
      </c>
      <c r="G740" s="21">
        <v>1.5000000000000568</v>
      </c>
      <c r="H740" s="21">
        <v>4.3849</v>
      </c>
      <c r="I740" s="21">
        <v>-5.2400000000000446</v>
      </c>
      <c r="J740" s="19" t="s">
        <v>17</v>
      </c>
      <c r="K740" s="19" t="s">
        <v>19</v>
      </c>
      <c r="L740" s="13">
        <v>4.04</v>
      </c>
      <c r="M740" s="14" t="s">
        <v>833</v>
      </c>
      <c r="N740" s="14" t="s">
        <v>825</v>
      </c>
      <c r="O740" s="4">
        <v>42867</v>
      </c>
    </row>
    <row r="741" spans="1:15">
      <c r="A741" s="7">
        <v>170210</v>
      </c>
      <c r="B741" s="7">
        <v>4.3475000000000001</v>
      </c>
      <c r="C741" s="18" t="s">
        <v>832</v>
      </c>
      <c r="D741" s="19">
        <v>0</v>
      </c>
      <c r="E741" s="20">
        <v>9.9205479452054792</v>
      </c>
      <c r="F741" s="21">
        <v>4.3324999999999996</v>
      </c>
      <c r="G741" s="21">
        <v>1.5000000000000568</v>
      </c>
      <c r="H741" s="21">
        <v>4.3849</v>
      </c>
      <c r="I741" s="21">
        <v>-5.2400000000000446</v>
      </c>
      <c r="J741" s="19" t="s">
        <v>17</v>
      </c>
      <c r="K741" s="19" t="s">
        <v>19</v>
      </c>
      <c r="L741" s="13">
        <v>4.04</v>
      </c>
      <c r="M741" s="14" t="s">
        <v>833</v>
      </c>
      <c r="N741" s="14" t="s">
        <v>825</v>
      </c>
      <c r="O741" s="4">
        <v>42867</v>
      </c>
    </row>
    <row r="742" spans="1:15">
      <c r="A742" s="7">
        <v>170210</v>
      </c>
      <c r="B742" s="7">
        <v>4.3475000000000001</v>
      </c>
      <c r="C742" s="18" t="s">
        <v>832</v>
      </c>
      <c r="D742" s="19">
        <v>0</v>
      </c>
      <c r="E742" s="20">
        <v>9.9205479452054792</v>
      </c>
      <c r="F742" s="21">
        <v>4.3324999999999996</v>
      </c>
      <c r="G742" s="21">
        <v>1.5000000000000568</v>
      </c>
      <c r="H742" s="21">
        <v>4.3849</v>
      </c>
      <c r="I742" s="21">
        <v>-5.2400000000000446</v>
      </c>
      <c r="J742" s="19" t="s">
        <v>17</v>
      </c>
      <c r="K742" s="19" t="s">
        <v>19</v>
      </c>
      <c r="L742" s="13">
        <v>4.04</v>
      </c>
      <c r="M742" s="14" t="s">
        <v>833</v>
      </c>
      <c r="N742" s="14" t="s">
        <v>825</v>
      </c>
      <c r="O742" s="4">
        <v>42867</v>
      </c>
    </row>
    <row r="743" spans="1:15">
      <c r="A743" s="7">
        <v>170210</v>
      </c>
      <c r="B743" s="7">
        <v>4.3475000000000001</v>
      </c>
      <c r="C743" s="18" t="s">
        <v>832</v>
      </c>
      <c r="D743" s="19">
        <v>0</v>
      </c>
      <c r="E743" s="20">
        <v>9.9205479452054792</v>
      </c>
      <c r="F743" s="21">
        <v>4.3324999999999996</v>
      </c>
      <c r="G743" s="21">
        <v>1.5000000000000568</v>
      </c>
      <c r="H743" s="21">
        <v>4.3849</v>
      </c>
      <c r="I743" s="21">
        <v>-5.2400000000000446</v>
      </c>
      <c r="J743" s="19" t="s">
        <v>17</v>
      </c>
      <c r="K743" s="19" t="s">
        <v>19</v>
      </c>
      <c r="L743" s="13">
        <v>4.04</v>
      </c>
      <c r="M743" s="14" t="s">
        <v>833</v>
      </c>
      <c r="N743" s="14" t="s">
        <v>825</v>
      </c>
      <c r="O743" s="4">
        <v>42867</v>
      </c>
    </row>
    <row r="744" spans="1:15">
      <c r="A744" s="7">
        <v>170210</v>
      </c>
      <c r="B744" s="7">
        <v>4.3475000000000001</v>
      </c>
      <c r="C744" s="18" t="s">
        <v>832</v>
      </c>
      <c r="D744" s="19">
        <v>0</v>
      </c>
      <c r="E744" s="20">
        <v>9.9205479452054792</v>
      </c>
      <c r="F744" s="21">
        <v>4.3324999999999996</v>
      </c>
      <c r="G744" s="21">
        <v>1.5000000000000568</v>
      </c>
      <c r="H744" s="21">
        <v>4.3849</v>
      </c>
      <c r="I744" s="21">
        <v>-5.2400000000000446</v>
      </c>
      <c r="J744" s="19" t="s">
        <v>17</v>
      </c>
      <c r="K744" s="19" t="s">
        <v>19</v>
      </c>
      <c r="L744" s="13">
        <v>4.04</v>
      </c>
      <c r="M744" s="14" t="s">
        <v>833</v>
      </c>
      <c r="N744" s="14" t="s">
        <v>825</v>
      </c>
      <c r="O744" s="4">
        <v>42867</v>
      </c>
    </row>
    <row r="745" spans="1:15">
      <c r="A745" s="7">
        <v>170210</v>
      </c>
      <c r="B745" s="7">
        <v>4.3475000000000001</v>
      </c>
      <c r="C745" s="18" t="s">
        <v>832</v>
      </c>
      <c r="D745" s="19">
        <v>0</v>
      </c>
      <c r="E745" s="20">
        <v>9.9205479452054792</v>
      </c>
      <c r="F745" s="21">
        <v>4.3324999999999996</v>
      </c>
      <c r="G745" s="21">
        <v>1.5000000000000568</v>
      </c>
      <c r="H745" s="21">
        <v>4.3849</v>
      </c>
      <c r="I745" s="21">
        <v>-5.2400000000000446</v>
      </c>
      <c r="J745" s="19" t="s">
        <v>17</v>
      </c>
      <c r="K745" s="19" t="s">
        <v>19</v>
      </c>
      <c r="L745" s="13">
        <v>4.04</v>
      </c>
      <c r="M745" s="14" t="s">
        <v>833</v>
      </c>
      <c r="N745" s="14" t="s">
        <v>825</v>
      </c>
      <c r="O745" s="4">
        <v>42867</v>
      </c>
    </row>
    <row r="746" spans="1:15">
      <c r="A746" s="7">
        <v>170210</v>
      </c>
      <c r="B746" s="7">
        <v>4.3475000000000001</v>
      </c>
      <c r="C746" s="18" t="s">
        <v>832</v>
      </c>
      <c r="D746" s="19">
        <v>0</v>
      </c>
      <c r="E746" s="20">
        <v>9.9205479452054792</v>
      </c>
      <c r="F746" s="21">
        <v>4.3324999999999996</v>
      </c>
      <c r="G746" s="21">
        <v>1.5000000000000568</v>
      </c>
      <c r="H746" s="21">
        <v>4.3849</v>
      </c>
      <c r="I746" s="21">
        <v>-5.2400000000000446</v>
      </c>
      <c r="J746" s="19" t="s">
        <v>17</v>
      </c>
      <c r="K746" s="19" t="s">
        <v>19</v>
      </c>
      <c r="L746" s="13">
        <v>4.04</v>
      </c>
      <c r="M746" s="14" t="s">
        <v>833</v>
      </c>
      <c r="N746" s="14" t="s">
        <v>825</v>
      </c>
      <c r="O746" s="4">
        <v>42867</v>
      </c>
    </row>
    <row r="747" spans="1:15">
      <c r="A747" s="7">
        <v>170210</v>
      </c>
      <c r="B747" s="7">
        <v>4.3475000000000001</v>
      </c>
      <c r="C747" s="18" t="s">
        <v>832</v>
      </c>
      <c r="D747" s="19">
        <v>0</v>
      </c>
      <c r="E747" s="20">
        <v>9.9205479452054792</v>
      </c>
      <c r="F747" s="21">
        <v>4.3324999999999996</v>
      </c>
      <c r="G747" s="21">
        <v>1.5000000000000568</v>
      </c>
      <c r="H747" s="21">
        <v>4.3849</v>
      </c>
      <c r="I747" s="21">
        <v>-5.2400000000000446</v>
      </c>
      <c r="J747" s="19" t="s">
        <v>17</v>
      </c>
      <c r="K747" s="19" t="s">
        <v>19</v>
      </c>
      <c r="L747" s="13">
        <v>4.04</v>
      </c>
      <c r="M747" s="14" t="s">
        <v>833</v>
      </c>
      <c r="N747" s="14" t="s">
        <v>825</v>
      </c>
      <c r="O747" s="4">
        <v>42867</v>
      </c>
    </row>
    <row r="748" spans="1:15">
      <c r="A748" s="7">
        <v>170210</v>
      </c>
      <c r="B748" s="7">
        <v>4.3475000000000001</v>
      </c>
      <c r="C748" s="18" t="s">
        <v>832</v>
      </c>
      <c r="D748" s="19">
        <v>0</v>
      </c>
      <c r="E748" s="20">
        <v>9.9205479452054792</v>
      </c>
      <c r="F748" s="21">
        <v>4.3324999999999996</v>
      </c>
      <c r="G748" s="21">
        <v>1.5000000000000568</v>
      </c>
      <c r="H748" s="21">
        <v>4.3849</v>
      </c>
      <c r="I748" s="21">
        <v>-5.2400000000000446</v>
      </c>
      <c r="J748" s="19" t="s">
        <v>17</v>
      </c>
      <c r="K748" s="19" t="s">
        <v>19</v>
      </c>
      <c r="L748" s="13">
        <v>4.04</v>
      </c>
      <c r="M748" s="14" t="s">
        <v>833</v>
      </c>
      <c r="N748" s="14" t="s">
        <v>825</v>
      </c>
      <c r="O748" s="4">
        <v>42867</v>
      </c>
    </row>
    <row r="749" spans="1:15">
      <c r="A749" s="7">
        <v>170210</v>
      </c>
      <c r="B749" s="7">
        <v>4.3475000000000001</v>
      </c>
      <c r="C749" s="18" t="s">
        <v>832</v>
      </c>
      <c r="D749" s="19">
        <v>0</v>
      </c>
      <c r="E749" s="20">
        <v>9.9205479452054792</v>
      </c>
      <c r="F749" s="21">
        <v>4.3324999999999996</v>
      </c>
      <c r="G749" s="21">
        <v>1.5000000000000568</v>
      </c>
      <c r="H749" s="21">
        <v>4.3849</v>
      </c>
      <c r="I749" s="21">
        <v>-5.2400000000000446</v>
      </c>
      <c r="J749" s="19" t="s">
        <v>17</v>
      </c>
      <c r="K749" s="19" t="s">
        <v>19</v>
      </c>
      <c r="L749" s="13">
        <v>4.04</v>
      </c>
      <c r="M749" s="14" t="s">
        <v>833</v>
      </c>
      <c r="N749" s="14" t="s">
        <v>825</v>
      </c>
      <c r="O749" s="4">
        <v>42867</v>
      </c>
    </row>
    <row r="750" spans="1:15">
      <c r="A750" s="7">
        <v>170210</v>
      </c>
      <c r="B750" s="7">
        <v>4.3475000000000001</v>
      </c>
      <c r="C750" s="18" t="s">
        <v>832</v>
      </c>
      <c r="D750" s="19">
        <v>0</v>
      </c>
      <c r="E750" s="20">
        <v>9.9205479452054792</v>
      </c>
      <c r="F750" s="21">
        <v>4.3324999999999996</v>
      </c>
      <c r="G750" s="21">
        <v>1.5000000000000568</v>
      </c>
      <c r="H750" s="21">
        <v>4.3849</v>
      </c>
      <c r="I750" s="21">
        <v>-5.2400000000000446</v>
      </c>
      <c r="J750" s="19" t="s">
        <v>17</v>
      </c>
      <c r="K750" s="19" t="s">
        <v>19</v>
      </c>
      <c r="L750" s="13">
        <v>4.04</v>
      </c>
      <c r="M750" s="14" t="s">
        <v>833</v>
      </c>
      <c r="N750" s="14" t="s">
        <v>825</v>
      </c>
      <c r="O750" s="4">
        <v>42867</v>
      </c>
    </row>
    <row r="751" spans="1:15">
      <c r="A751" s="7">
        <v>170210</v>
      </c>
      <c r="B751" s="7">
        <v>4.3475000000000001</v>
      </c>
      <c r="C751" s="18" t="s">
        <v>832</v>
      </c>
      <c r="D751" s="19">
        <v>0</v>
      </c>
      <c r="E751" s="20">
        <v>9.9205479452054792</v>
      </c>
      <c r="F751" s="21">
        <v>4.3324999999999996</v>
      </c>
      <c r="G751" s="21">
        <v>1.5000000000000568</v>
      </c>
      <c r="H751" s="21">
        <v>4.3849</v>
      </c>
      <c r="I751" s="21">
        <v>-5.2400000000000446</v>
      </c>
      <c r="J751" s="19" t="s">
        <v>17</v>
      </c>
      <c r="K751" s="19" t="s">
        <v>19</v>
      </c>
      <c r="L751" s="13">
        <v>4.04</v>
      </c>
      <c r="M751" s="14" t="s">
        <v>833</v>
      </c>
      <c r="N751" s="14" t="s">
        <v>825</v>
      </c>
      <c r="O751" s="4">
        <v>42867</v>
      </c>
    </row>
    <row r="752" spans="1:15">
      <c r="A752" s="7">
        <v>170210</v>
      </c>
      <c r="B752" s="7">
        <v>4.3475000000000001</v>
      </c>
      <c r="C752" s="18" t="s">
        <v>832</v>
      </c>
      <c r="D752" s="19">
        <v>0</v>
      </c>
      <c r="E752" s="20">
        <v>9.9205479452054792</v>
      </c>
      <c r="F752" s="21">
        <v>4.3324999999999996</v>
      </c>
      <c r="G752" s="21">
        <v>1.5000000000000568</v>
      </c>
      <c r="H752" s="21">
        <v>4.3849</v>
      </c>
      <c r="I752" s="21">
        <v>-5.2400000000000446</v>
      </c>
      <c r="J752" s="19" t="s">
        <v>17</v>
      </c>
      <c r="K752" s="19" t="s">
        <v>19</v>
      </c>
      <c r="L752" s="13">
        <v>4.04</v>
      </c>
      <c r="M752" s="14" t="s">
        <v>833</v>
      </c>
      <c r="N752" s="14" t="s">
        <v>825</v>
      </c>
      <c r="O752" s="4">
        <v>42867</v>
      </c>
    </row>
    <row r="753" spans="1:15">
      <c r="A753" s="7">
        <v>170210</v>
      </c>
      <c r="B753" s="7">
        <v>4.3475000000000001</v>
      </c>
      <c r="C753" s="18" t="s">
        <v>832</v>
      </c>
      <c r="D753" s="19">
        <v>0</v>
      </c>
      <c r="E753" s="20">
        <v>9.9205479452054792</v>
      </c>
      <c r="F753" s="21">
        <v>4.3324999999999996</v>
      </c>
      <c r="G753" s="21">
        <v>1.5000000000000568</v>
      </c>
      <c r="H753" s="21">
        <v>4.3849</v>
      </c>
      <c r="I753" s="21">
        <v>-5.2400000000000446</v>
      </c>
      <c r="J753" s="19" t="s">
        <v>17</v>
      </c>
      <c r="K753" s="19" t="s">
        <v>19</v>
      </c>
      <c r="L753" s="13">
        <v>4.04</v>
      </c>
      <c r="M753" s="14" t="s">
        <v>833</v>
      </c>
      <c r="N753" s="14" t="s">
        <v>825</v>
      </c>
      <c r="O753" s="4">
        <v>42867</v>
      </c>
    </row>
    <row r="754" spans="1:15">
      <c r="A754" s="7">
        <v>170210</v>
      </c>
      <c r="B754" s="7">
        <v>4.3475000000000001</v>
      </c>
      <c r="C754" s="18" t="s">
        <v>832</v>
      </c>
      <c r="D754" s="19">
        <v>0</v>
      </c>
      <c r="E754" s="20">
        <v>9.9205479452054792</v>
      </c>
      <c r="F754" s="21">
        <v>4.3324999999999996</v>
      </c>
      <c r="G754" s="21">
        <v>1.5000000000000568</v>
      </c>
      <c r="H754" s="21">
        <v>4.3849</v>
      </c>
      <c r="I754" s="21">
        <v>-5.2400000000000446</v>
      </c>
      <c r="J754" s="19" t="s">
        <v>17</v>
      </c>
      <c r="K754" s="19" t="s">
        <v>19</v>
      </c>
      <c r="L754" s="13">
        <v>4.04</v>
      </c>
      <c r="M754" s="14" t="s">
        <v>833</v>
      </c>
      <c r="N754" s="14" t="s">
        <v>825</v>
      </c>
      <c r="O754" s="4">
        <v>42867</v>
      </c>
    </row>
    <row r="755" spans="1:15">
      <c r="A755" s="7">
        <v>170210</v>
      </c>
      <c r="B755" s="7">
        <v>4.3475000000000001</v>
      </c>
      <c r="C755" s="18" t="s">
        <v>832</v>
      </c>
      <c r="D755" s="19">
        <v>0</v>
      </c>
      <c r="E755" s="20">
        <v>9.9205479452054792</v>
      </c>
      <c r="F755" s="21">
        <v>4.3324999999999996</v>
      </c>
      <c r="G755" s="21">
        <v>1.5000000000000568</v>
      </c>
      <c r="H755" s="21">
        <v>4.3849</v>
      </c>
      <c r="I755" s="21">
        <v>-5.2400000000000446</v>
      </c>
      <c r="J755" s="19" t="s">
        <v>17</v>
      </c>
      <c r="K755" s="19" t="s">
        <v>19</v>
      </c>
      <c r="L755" s="13">
        <v>4.04</v>
      </c>
      <c r="M755" s="14" t="s">
        <v>833</v>
      </c>
      <c r="N755" s="14" t="s">
        <v>825</v>
      </c>
      <c r="O755" s="4">
        <v>42867</v>
      </c>
    </row>
    <row r="756" spans="1:15">
      <c r="A756" s="7">
        <v>170210</v>
      </c>
      <c r="B756" s="7">
        <v>4.3449999999999998</v>
      </c>
      <c r="C756" s="18" t="s">
        <v>832</v>
      </c>
      <c r="D756" s="19">
        <v>0</v>
      </c>
      <c r="E756" s="20">
        <v>9.9205479452054792</v>
      </c>
      <c r="F756" s="21">
        <v>4.3324999999999996</v>
      </c>
      <c r="G756" s="21">
        <v>1.2500000000000178</v>
      </c>
      <c r="H756" s="21">
        <v>4.3849</v>
      </c>
      <c r="I756" s="21">
        <v>-5.2400000000000446</v>
      </c>
      <c r="J756" s="19" t="s">
        <v>17</v>
      </c>
      <c r="K756" s="19" t="s">
        <v>19</v>
      </c>
      <c r="L756" s="13">
        <v>4.04</v>
      </c>
      <c r="M756" s="14" t="s">
        <v>833</v>
      </c>
      <c r="N756" s="14" t="s">
        <v>825</v>
      </c>
      <c r="O756" s="4">
        <v>42867</v>
      </c>
    </row>
    <row r="757" spans="1:15">
      <c r="A757" s="7">
        <v>170210</v>
      </c>
      <c r="B757" s="7">
        <v>4.3449999999999998</v>
      </c>
      <c r="C757" s="18" t="s">
        <v>832</v>
      </c>
      <c r="D757" s="19">
        <v>0</v>
      </c>
      <c r="E757" s="20">
        <v>9.9205479452054792</v>
      </c>
      <c r="F757" s="21">
        <v>4.3324999999999996</v>
      </c>
      <c r="G757" s="21">
        <v>1.2500000000000178</v>
      </c>
      <c r="H757" s="21">
        <v>4.3849</v>
      </c>
      <c r="I757" s="21">
        <v>-5.2400000000000446</v>
      </c>
      <c r="J757" s="19" t="s">
        <v>17</v>
      </c>
      <c r="K757" s="19" t="s">
        <v>19</v>
      </c>
      <c r="L757" s="13">
        <v>4.04</v>
      </c>
      <c r="M757" s="14" t="s">
        <v>833</v>
      </c>
      <c r="N757" s="14" t="s">
        <v>825</v>
      </c>
      <c r="O757" s="4">
        <v>42867</v>
      </c>
    </row>
    <row r="758" spans="1:15">
      <c r="A758" s="7">
        <v>170210</v>
      </c>
      <c r="B758" s="7">
        <v>4.3449999999999998</v>
      </c>
      <c r="C758" s="18" t="s">
        <v>832</v>
      </c>
      <c r="D758" s="19">
        <v>0</v>
      </c>
      <c r="E758" s="20">
        <v>9.9205479452054792</v>
      </c>
      <c r="F758" s="21">
        <v>4.3324999999999996</v>
      </c>
      <c r="G758" s="21">
        <v>1.2500000000000178</v>
      </c>
      <c r="H758" s="21">
        <v>4.3849</v>
      </c>
      <c r="I758" s="21">
        <v>-5.2400000000000446</v>
      </c>
      <c r="J758" s="19" t="s">
        <v>17</v>
      </c>
      <c r="K758" s="19" t="s">
        <v>19</v>
      </c>
      <c r="L758" s="13">
        <v>4.04</v>
      </c>
      <c r="M758" s="14" t="s">
        <v>833</v>
      </c>
      <c r="N758" s="14" t="s">
        <v>825</v>
      </c>
      <c r="O758" s="4">
        <v>42867</v>
      </c>
    </row>
    <row r="759" spans="1:15">
      <c r="A759" s="7">
        <v>170210</v>
      </c>
      <c r="B759" s="7">
        <v>4.3449999999999998</v>
      </c>
      <c r="C759" s="18" t="s">
        <v>832</v>
      </c>
      <c r="D759" s="19">
        <v>0</v>
      </c>
      <c r="E759" s="20">
        <v>9.9205479452054792</v>
      </c>
      <c r="F759" s="21">
        <v>4.3324999999999996</v>
      </c>
      <c r="G759" s="21">
        <v>1.2500000000000178</v>
      </c>
      <c r="H759" s="21">
        <v>4.3849</v>
      </c>
      <c r="I759" s="21">
        <v>-5.2400000000000446</v>
      </c>
      <c r="J759" s="19" t="s">
        <v>17</v>
      </c>
      <c r="K759" s="19" t="s">
        <v>19</v>
      </c>
      <c r="L759" s="13">
        <v>4.04</v>
      </c>
      <c r="M759" s="14" t="s">
        <v>833</v>
      </c>
      <c r="N759" s="14" t="s">
        <v>825</v>
      </c>
      <c r="O759" s="4">
        <v>42867</v>
      </c>
    </row>
    <row r="760" spans="1:15">
      <c r="A760" s="7">
        <v>170210</v>
      </c>
      <c r="B760" s="7">
        <v>4.3449999999999998</v>
      </c>
      <c r="C760" s="18" t="s">
        <v>832</v>
      </c>
      <c r="D760" s="19">
        <v>0</v>
      </c>
      <c r="E760" s="20">
        <v>9.9205479452054792</v>
      </c>
      <c r="F760" s="21">
        <v>4.3324999999999996</v>
      </c>
      <c r="G760" s="21">
        <v>1.2500000000000178</v>
      </c>
      <c r="H760" s="21">
        <v>4.3849</v>
      </c>
      <c r="I760" s="21">
        <v>-5.2400000000000446</v>
      </c>
      <c r="J760" s="19" t="s">
        <v>17</v>
      </c>
      <c r="K760" s="19" t="s">
        <v>19</v>
      </c>
      <c r="L760" s="13">
        <v>4.04</v>
      </c>
      <c r="M760" s="14" t="s">
        <v>833</v>
      </c>
      <c r="N760" s="14" t="s">
        <v>825</v>
      </c>
      <c r="O760" s="4">
        <v>42867</v>
      </c>
    </row>
    <row r="761" spans="1:15">
      <c r="A761" s="7">
        <v>170210</v>
      </c>
      <c r="B761" s="7">
        <v>4.3449999999999998</v>
      </c>
      <c r="C761" s="18" t="s">
        <v>832</v>
      </c>
      <c r="D761" s="19">
        <v>0</v>
      </c>
      <c r="E761" s="20">
        <v>9.9205479452054792</v>
      </c>
      <c r="F761" s="21">
        <v>4.3324999999999996</v>
      </c>
      <c r="G761" s="21">
        <v>1.2500000000000178</v>
      </c>
      <c r="H761" s="21">
        <v>4.3849</v>
      </c>
      <c r="I761" s="21">
        <v>-5.2400000000000446</v>
      </c>
      <c r="J761" s="19" t="s">
        <v>17</v>
      </c>
      <c r="K761" s="19" t="s">
        <v>19</v>
      </c>
      <c r="L761" s="13">
        <v>4.04</v>
      </c>
      <c r="M761" s="14" t="s">
        <v>833</v>
      </c>
      <c r="N761" s="14" t="s">
        <v>825</v>
      </c>
      <c r="O761" s="4">
        <v>42867</v>
      </c>
    </row>
    <row r="762" spans="1:15">
      <c r="A762" s="7">
        <v>170210</v>
      </c>
      <c r="B762" s="7">
        <v>4.3449999999999998</v>
      </c>
      <c r="C762" s="18" t="s">
        <v>832</v>
      </c>
      <c r="D762" s="19">
        <v>0</v>
      </c>
      <c r="E762" s="20">
        <v>9.9205479452054792</v>
      </c>
      <c r="F762" s="21">
        <v>4.3324999999999996</v>
      </c>
      <c r="G762" s="21">
        <v>1.2500000000000178</v>
      </c>
      <c r="H762" s="21">
        <v>4.3849</v>
      </c>
      <c r="I762" s="21">
        <v>-5.2400000000000446</v>
      </c>
      <c r="J762" s="19" t="s">
        <v>17</v>
      </c>
      <c r="K762" s="19" t="s">
        <v>19</v>
      </c>
      <c r="L762" s="13">
        <v>4.04</v>
      </c>
      <c r="M762" s="14" t="s">
        <v>833</v>
      </c>
      <c r="N762" s="14" t="s">
        <v>825</v>
      </c>
      <c r="O762" s="4">
        <v>42867</v>
      </c>
    </row>
    <row r="763" spans="1:15">
      <c r="A763" s="7">
        <v>170210</v>
      </c>
      <c r="B763" s="7">
        <v>4.3449999999999998</v>
      </c>
      <c r="C763" s="18" t="s">
        <v>832</v>
      </c>
      <c r="D763" s="19">
        <v>0</v>
      </c>
      <c r="E763" s="20">
        <v>9.9205479452054792</v>
      </c>
      <c r="F763" s="21">
        <v>4.3324999999999996</v>
      </c>
      <c r="G763" s="21">
        <v>1.2500000000000178</v>
      </c>
      <c r="H763" s="21">
        <v>4.3849</v>
      </c>
      <c r="I763" s="21">
        <v>-5.2400000000000446</v>
      </c>
      <c r="J763" s="19" t="s">
        <v>17</v>
      </c>
      <c r="K763" s="19" t="s">
        <v>19</v>
      </c>
      <c r="L763" s="13">
        <v>4.04</v>
      </c>
      <c r="M763" s="14" t="s">
        <v>833</v>
      </c>
      <c r="N763" s="14" t="s">
        <v>825</v>
      </c>
      <c r="O763" s="4">
        <v>42867</v>
      </c>
    </row>
    <row r="764" spans="1:15">
      <c r="A764" s="7">
        <v>170210</v>
      </c>
      <c r="B764" s="7">
        <v>4.3449999999999998</v>
      </c>
      <c r="C764" s="18" t="s">
        <v>832</v>
      </c>
      <c r="D764" s="19">
        <v>0</v>
      </c>
      <c r="E764" s="20">
        <v>9.9205479452054792</v>
      </c>
      <c r="F764" s="21">
        <v>4.3324999999999996</v>
      </c>
      <c r="G764" s="21">
        <v>1.2500000000000178</v>
      </c>
      <c r="H764" s="21">
        <v>4.3849</v>
      </c>
      <c r="I764" s="21">
        <v>-5.2400000000000446</v>
      </c>
      <c r="J764" s="19" t="s">
        <v>17</v>
      </c>
      <c r="K764" s="19" t="s">
        <v>19</v>
      </c>
      <c r="L764" s="13">
        <v>4.04</v>
      </c>
      <c r="M764" s="14" t="s">
        <v>833</v>
      </c>
      <c r="N764" s="14" t="s">
        <v>825</v>
      </c>
      <c r="O764" s="4">
        <v>42867</v>
      </c>
    </row>
    <row r="765" spans="1:15">
      <c r="A765" s="7">
        <v>170210</v>
      </c>
      <c r="B765" s="7">
        <v>4.3449999999999998</v>
      </c>
      <c r="C765" s="18" t="s">
        <v>832</v>
      </c>
      <c r="D765" s="19">
        <v>0</v>
      </c>
      <c r="E765" s="20">
        <v>9.9205479452054792</v>
      </c>
      <c r="F765" s="21">
        <v>4.3324999999999996</v>
      </c>
      <c r="G765" s="21">
        <v>1.2500000000000178</v>
      </c>
      <c r="H765" s="21">
        <v>4.3849</v>
      </c>
      <c r="I765" s="21">
        <v>-5.2400000000000446</v>
      </c>
      <c r="J765" s="19" t="s">
        <v>17</v>
      </c>
      <c r="K765" s="19" t="s">
        <v>19</v>
      </c>
      <c r="L765" s="13">
        <v>4.04</v>
      </c>
      <c r="M765" s="14" t="s">
        <v>833</v>
      </c>
      <c r="N765" s="14" t="s">
        <v>825</v>
      </c>
      <c r="O765" s="4">
        <v>42867</v>
      </c>
    </row>
    <row r="766" spans="1:15">
      <c r="A766" s="7">
        <v>170210</v>
      </c>
      <c r="B766" s="7">
        <v>4.3449999999999998</v>
      </c>
      <c r="C766" s="18" t="s">
        <v>832</v>
      </c>
      <c r="D766" s="19">
        <v>0</v>
      </c>
      <c r="E766" s="20">
        <v>9.9205479452054792</v>
      </c>
      <c r="F766" s="21">
        <v>4.3324999999999996</v>
      </c>
      <c r="G766" s="21">
        <v>1.2500000000000178</v>
      </c>
      <c r="H766" s="21">
        <v>4.3849</v>
      </c>
      <c r="I766" s="21">
        <v>-5.2400000000000446</v>
      </c>
      <c r="J766" s="19" t="s">
        <v>17</v>
      </c>
      <c r="K766" s="19" t="s">
        <v>19</v>
      </c>
      <c r="L766" s="13">
        <v>4.04</v>
      </c>
      <c r="M766" s="14" t="s">
        <v>833</v>
      </c>
      <c r="N766" s="14" t="s">
        <v>825</v>
      </c>
      <c r="O766" s="4">
        <v>42867</v>
      </c>
    </row>
    <row r="767" spans="1:15">
      <c r="A767" s="7">
        <v>170210</v>
      </c>
      <c r="B767" s="7">
        <v>4.3449999999999998</v>
      </c>
      <c r="C767" s="18" t="s">
        <v>832</v>
      </c>
      <c r="D767" s="19">
        <v>0</v>
      </c>
      <c r="E767" s="20">
        <v>9.9205479452054792</v>
      </c>
      <c r="F767" s="21">
        <v>4.3324999999999996</v>
      </c>
      <c r="G767" s="21">
        <v>1.2500000000000178</v>
      </c>
      <c r="H767" s="21">
        <v>4.3849</v>
      </c>
      <c r="I767" s="21">
        <v>-5.2400000000000446</v>
      </c>
      <c r="J767" s="19" t="s">
        <v>17</v>
      </c>
      <c r="K767" s="19" t="s">
        <v>19</v>
      </c>
      <c r="L767" s="13">
        <v>4.04</v>
      </c>
      <c r="M767" s="14" t="s">
        <v>833</v>
      </c>
      <c r="N767" s="14" t="s">
        <v>825</v>
      </c>
      <c r="O767" s="4">
        <v>42867</v>
      </c>
    </row>
    <row r="768" spans="1:15">
      <c r="A768" s="7">
        <v>170210</v>
      </c>
      <c r="B768" s="7">
        <v>4.3449999999999998</v>
      </c>
      <c r="C768" s="18" t="s">
        <v>832</v>
      </c>
      <c r="D768" s="19">
        <v>0</v>
      </c>
      <c r="E768" s="20">
        <v>9.9205479452054792</v>
      </c>
      <c r="F768" s="21">
        <v>4.3324999999999996</v>
      </c>
      <c r="G768" s="21">
        <v>1.2500000000000178</v>
      </c>
      <c r="H768" s="21">
        <v>4.3849</v>
      </c>
      <c r="I768" s="21">
        <v>-5.2400000000000446</v>
      </c>
      <c r="J768" s="19" t="s">
        <v>17</v>
      </c>
      <c r="K768" s="19" t="s">
        <v>19</v>
      </c>
      <c r="L768" s="13">
        <v>4.04</v>
      </c>
      <c r="M768" s="14" t="s">
        <v>833</v>
      </c>
      <c r="N768" s="14" t="s">
        <v>825</v>
      </c>
      <c r="O768" s="4">
        <v>42867</v>
      </c>
    </row>
    <row r="769" spans="1:15">
      <c r="A769" s="7">
        <v>170210</v>
      </c>
      <c r="B769" s="7">
        <v>4.3449999999999998</v>
      </c>
      <c r="C769" s="18" t="s">
        <v>832</v>
      </c>
      <c r="D769" s="19">
        <v>0</v>
      </c>
      <c r="E769" s="20">
        <v>9.9205479452054792</v>
      </c>
      <c r="F769" s="21">
        <v>4.3324999999999996</v>
      </c>
      <c r="G769" s="21">
        <v>1.2500000000000178</v>
      </c>
      <c r="H769" s="21">
        <v>4.3849</v>
      </c>
      <c r="I769" s="21">
        <v>-5.2400000000000446</v>
      </c>
      <c r="J769" s="19" t="s">
        <v>17</v>
      </c>
      <c r="K769" s="19" t="s">
        <v>19</v>
      </c>
      <c r="L769" s="13">
        <v>4.04</v>
      </c>
      <c r="M769" s="14" t="s">
        <v>833</v>
      </c>
      <c r="N769" s="14" t="s">
        <v>825</v>
      </c>
      <c r="O769" s="4">
        <v>42867</v>
      </c>
    </row>
    <row r="770" spans="1:15">
      <c r="A770" s="7">
        <v>170210</v>
      </c>
      <c r="B770" s="7">
        <v>4.3449999999999998</v>
      </c>
      <c r="C770" s="18" t="s">
        <v>832</v>
      </c>
      <c r="D770" s="19">
        <v>0</v>
      </c>
      <c r="E770" s="20">
        <v>9.9205479452054792</v>
      </c>
      <c r="F770" s="21">
        <v>4.3324999999999996</v>
      </c>
      <c r="G770" s="21">
        <v>1.2500000000000178</v>
      </c>
      <c r="H770" s="21">
        <v>4.3849</v>
      </c>
      <c r="I770" s="21">
        <v>-5.2400000000000446</v>
      </c>
      <c r="J770" s="19" t="s">
        <v>17</v>
      </c>
      <c r="K770" s="19" t="s">
        <v>19</v>
      </c>
      <c r="L770" s="13">
        <v>4.04</v>
      </c>
      <c r="M770" s="14" t="s">
        <v>833</v>
      </c>
      <c r="N770" s="14" t="s">
        <v>825</v>
      </c>
      <c r="O770" s="4">
        <v>42867</v>
      </c>
    </row>
    <row r="771" spans="1:15">
      <c r="A771" s="7">
        <v>170210</v>
      </c>
      <c r="B771" s="7">
        <v>4.3449999999999998</v>
      </c>
      <c r="C771" s="18" t="s">
        <v>832</v>
      </c>
      <c r="D771" s="19">
        <v>0</v>
      </c>
      <c r="E771" s="20">
        <v>9.9205479452054792</v>
      </c>
      <c r="F771" s="21">
        <v>4.3324999999999996</v>
      </c>
      <c r="G771" s="21">
        <v>1.2500000000000178</v>
      </c>
      <c r="H771" s="21">
        <v>4.3849</v>
      </c>
      <c r="I771" s="21">
        <v>-5.2400000000000446</v>
      </c>
      <c r="J771" s="19" t="s">
        <v>17</v>
      </c>
      <c r="K771" s="19" t="s">
        <v>19</v>
      </c>
      <c r="L771" s="13">
        <v>4.04</v>
      </c>
      <c r="M771" s="14" t="s">
        <v>833</v>
      </c>
      <c r="N771" s="14" t="s">
        <v>825</v>
      </c>
      <c r="O771" s="4">
        <v>42867</v>
      </c>
    </row>
    <row r="772" spans="1:15">
      <c r="A772" s="7">
        <v>170210</v>
      </c>
      <c r="B772" s="7">
        <v>4.3449999999999998</v>
      </c>
      <c r="C772" s="18" t="s">
        <v>832</v>
      </c>
      <c r="D772" s="19">
        <v>0</v>
      </c>
      <c r="E772" s="20">
        <v>9.9205479452054792</v>
      </c>
      <c r="F772" s="21">
        <v>4.3324999999999996</v>
      </c>
      <c r="G772" s="21">
        <v>1.2500000000000178</v>
      </c>
      <c r="H772" s="21">
        <v>4.3849</v>
      </c>
      <c r="I772" s="21">
        <v>-5.2400000000000446</v>
      </c>
      <c r="J772" s="19" t="s">
        <v>17</v>
      </c>
      <c r="K772" s="19" t="s">
        <v>19</v>
      </c>
      <c r="L772" s="13">
        <v>4.04</v>
      </c>
      <c r="M772" s="14" t="s">
        <v>833</v>
      </c>
      <c r="N772" s="14" t="s">
        <v>825</v>
      </c>
      <c r="O772" s="4">
        <v>42867</v>
      </c>
    </row>
    <row r="773" spans="1:15">
      <c r="A773" s="7">
        <v>170210</v>
      </c>
      <c r="B773" s="7">
        <v>4.3449999999999998</v>
      </c>
      <c r="C773" s="18" t="s">
        <v>832</v>
      </c>
      <c r="D773" s="19">
        <v>0</v>
      </c>
      <c r="E773" s="20">
        <v>9.9205479452054792</v>
      </c>
      <c r="F773" s="21">
        <v>4.3324999999999996</v>
      </c>
      <c r="G773" s="21">
        <v>1.2500000000000178</v>
      </c>
      <c r="H773" s="21">
        <v>4.3849</v>
      </c>
      <c r="I773" s="21">
        <v>-5.2400000000000446</v>
      </c>
      <c r="J773" s="19" t="s">
        <v>17</v>
      </c>
      <c r="K773" s="19" t="s">
        <v>19</v>
      </c>
      <c r="L773" s="13">
        <v>4.04</v>
      </c>
      <c r="M773" s="14" t="s">
        <v>833</v>
      </c>
      <c r="N773" s="14" t="s">
        <v>825</v>
      </c>
      <c r="O773" s="4">
        <v>42867</v>
      </c>
    </row>
    <row r="774" spans="1:15">
      <c r="A774" s="7">
        <v>170210</v>
      </c>
      <c r="B774" s="7">
        <v>4.3449999999999998</v>
      </c>
      <c r="C774" s="18" t="s">
        <v>832</v>
      </c>
      <c r="D774" s="19">
        <v>0</v>
      </c>
      <c r="E774" s="20">
        <v>9.9205479452054792</v>
      </c>
      <c r="F774" s="21">
        <v>4.3324999999999996</v>
      </c>
      <c r="G774" s="21">
        <v>1.2500000000000178</v>
      </c>
      <c r="H774" s="21">
        <v>4.3849</v>
      </c>
      <c r="I774" s="21">
        <v>-5.2400000000000446</v>
      </c>
      <c r="J774" s="19" t="s">
        <v>17</v>
      </c>
      <c r="K774" s="19" t="s">
        <v>19</v>
      </c>
      <c r="L774" s="13">
        <v>4.04</v>
      </c>
      <c r="M774" s="14" t="s">
        <v>833</v>
      </c>
      <c r="N774" s="14" t="s">
        <v>825</v>
      </c>
      <c r="O774" s="4">
        <v>42867</v>
      </c>
    </row>
    <row r="775" spans="1:15">
      <c r="A775" s="7">
        <v>170210</v>
      </c>
      <c r="B775" s="7">
        <v>4.3425000000000002</v>
      </c>
      <c r="C775" s="18" t="s">
        <v>832</v>
      </c>
      <c r="D775" s="19">
        <v>0</v>
      </c>
      <c r="E775" s="20">
        <v>9.9205479452054792</v>
      </c>
      <c r="F775" s="21">
        <v>4.3324999999999996</v>
      </c>
      <c r="G775" s="21">
        <v>1.0000000000000675</v>
      </c>
      <c r="H775" s="21">
        <v>4.3849</v>
      </c>
      <c r="I775" s="21">
        <v>-5.2400000000000446</v>
      </c>
      <c r="J775" s="19" t="s">
        <v>17</v>
      </c>
      <c r="K775" s="19" t="s">
        <v>19</v>
      </c>
      <c r="L775" s="13">
        <v>4.04</v>
      </c>
      <c r="M775" s="14" t="s">
        <v>833</v>
      </c>
      <c r="N775" s="14" t="s">
        <v>825</v>
      </c>
      <c r="O775" s="4">
        <v>42867</v>
      </c>
    </row>
    <row r="776" spans="1:15">
      <c r="A776" s="7">
        <v>170210</v>
      </c>
      <c r="B776" s="7">
        <v>4.3425000000000002</v>
      </c>
      <c r="C776" s="18" t="s">
        <v>832</v>
      </c>
      <c r="D776" s="19">
        <v>0</v>
      </c>
      <c r="E776" s="20">
        <v>9.9205479452054792</v>
      </c>
      <c r="F776" s="21">
        <v>4.3324999999999996</v>
      </c>
      <c r="G776" s="21">
        <v>1.0000000000000675</v>
      </c>
      <c r="H776" s="21">
        <v>4.3849</v>
      </c>
      <c r="I776" s="21">
        <v>-5.2400000000000446</v>
      </c>
      <c r="J776" s="19" t="s">
        <v>17</v>
      </c>
      <c r="K776" s="19" t="s">
        <v>19</v>
      </c>
      <c r="L776" s="13">
        <v>4.04</v>
      </c>
      <c r="M776" s="14" t="s">
        <v>833</v>
      </c>
      <c r="N776" s="14" t="s">
        <v>825</v>
      </c>
      <c r="O776" s="4">
        <v>42867</v>
      </c>
    </row>
    <row r="777" spans="1:15">
      <c r="A777" s="7">
        <v>170210</v>
      </c>
      <c r="B777" s="7">
        <v>4.3425000000000002</v>
      </c>
      <c r="C777" s="18" t="s">
        <v>832</v>
      </c>
      <c r="D777" s="19">
        <v>0</v>
      </c>
      <c r="E777" s="20">
        <v>9.9205479452054792</v>
      </c>
      <c r="F777" s="21">
        <v>4.3324999999999996</v>
      </c>
      <c r="G777" s="21">
        <v>1.0000000000000675</v>
      </c>
      <c r="H777" s="21">
        <v>4.3849</v>
      </c>
      <c r="I777" s="21">
        <v>-5.2400000000000446</v>
      </c>
      <c r="J777" s="19" t="s">
        <v>17</v>
      </c>
      <c r="K777" s="19" t="s">
        <v>19</v>
      </c>
      <c r="L777" s="13">
        <v>4.04</v>
      </c>
      <c r="M777" s="14" t="s">
        <v>833</v>
      </c>
      <c r="N777" s="14" t="s">
        <v>825</v>
      </c>
      <c r="O777" s="4">
        <v>42867</v>
      </c>
    </row>
    <row r="778" spans="1:15">
      <c r="A778" s="7">
        <v>170210</v>
      </c>
      <c r="B778" s="7">
        <v>4.3425000000000002</v>
      </c>
      <c r="C778" s="18" t="s">
        <v>832</v>
      </c>
      <c r="D778" s="19">
        <v>0</v>
      </c>
      <c r="E778" s="20">
        <v>9.9205479452054792</v>
      </c>
      <c r="F778" s="21">
        <v>4.3324999999999996</v>
      </c>
      <c r="G778" s="21">
        <v>1.0000000000000675</v>
      </c>
      <c r="H778" s="21">
        <v>4.3849</v>
      </c>
      <c r="I778" s="21">
        <v>-5.2400000000000446</v>
      </c>
      <c r="J778" s="19" t="s">
        <v>17</v>
      </c>
      <c r="K778" s="19" t="s">
        <v>19</v>
      </c>
      <c r="L778" s="13">
        <v>4.04</v>
      </c>
      <c r="M778" s="14" t="s">
        <v>833</v>
      </c>
      <c r="N778" s="14" t="s">
        <v>825</v>
      </c>
      <c r="O778" s="4">
        <v>42867</v>
      </c>
    </row>
    <row r="779" spans="1:15">
      <c r="A779" s="7">
        <v>170210</v>
      </c>
      <c r="B779" s="7">
        <v>4.34</v>
      </c>
      <c r="C779" s="18" t="s">
        <v>832</v>
      </c>
      <c r="D779" s="19">
        <v>0</v>
      </c>
      <c r="E779" s="20">
        <v>9.9205479452054792</v>
      </c>
      <c r="F779" s="21">
        <v>4.3324999999999996</v>
      </c>
      <c r="G779" s="21">
        <v>0.75000000000002842</v>
      </c>
      <c r="H779" s="21">
        <v>4.3849</v>
      </c>
      <c r="I779" s="21">
        <v>-5.2400000000000446</v>
      </c>
      <c r="J779" s="19" t="s">
        <v>17</v>
      </c>
      <c r="K779" s="19" t="s">
        <v>19</v>
      </c>
      <c r="L779" s="13">
        <v>4.04</v>
      </c>
      <c r="M779" s="14" t="s">
        <v>833</v>
      </c>
      <c r="N779" s="14" t="s">
        <v>825</v>
      </c>
      <c r="O779" s="4">
        <v>42867</v>
      </c>
    </row>
    <row r="780" spans="1:15">
      <c r="A780" s="7">
        <v>170210</v>
      </c>
      <c r="B780" s="7">
        <v>4.34</v>
      </c>
      <c r="C780" s="18" t="s">
        <v>832</v>
      </c>
      <c r="D780" s="19">
        <v>0</v>
      </c>
      <c r="E780" s="20">
        <v>9.9205479452054792</v>
      </c>
      <c r="F780" s="21">
        <v>4.3324999999999996</v>
      </c>
      <c r="G780" s="21">
        <v>0.75000000000002842</v>
      </c>
      <c r="H780" s="21">
        <v>4.3849</v>
      </c>
      <c r="I780" s="21">
        <v>-5.2400000000000446</v>
      </c>
      <c r="J780" s="19" t="s">
        <v>17</v>
      </c>
      <c r="K780" s="19" t="s">
        <v>19</v>
      </c>
      <c r="L780" s="13">
        <v>4.04</v>
      </c>
      <c r="M780" s="14" t="s">
        <v>833</v>
      </c>
      <c r="N780" s="14" t="s">
        <v>825</v>
      </c>
      <c r="O780" s="4">
        <v>42867</v>
      </c>
    </row>
    <row r="781" spans="1:15">
      <c r="A781" s="7">
        <v>170210</v>
      </c>
      <c r="B781" s="7">
        <v>4.34</v>
      </c>
      <c r="C781" s="18" t="s">
        <v>832</v>
      </c>
      <c r="D781" s="19">
        <v>0</v>
      </c>
      <c r="E781" s="20">
        <v>9.9205479452054792</v>
      </c>
      <c r="F781" s="21">
        <v>4.3324999999999996</v>
      </c>
      <c r="G781" s="21">
        <v>0.75000000000002842</v>
      </c>
      <c r="H781" s="21">
        <v>4.3849</v>
      </c>
      <c r="I781" s="21">
        <v>-5.2400000000000446</v>
      </c>
      <c r="J781" s="19" t="s">
        <v>17</v>
      </c>
      <c r="K781" s="19" t="s">
        <v>19</v>
      </c>
      <c r="L781" s="13">
        <v>4.04</v>
      </c>
      <c r="M781" s="14" t="s">
        <v>833</v>
      </c>
      <c r="N781" s="14" t="s">
        <v>825</v>
      </c>
      <c r="O781" s="4">
        <v>42867</v>
      </c>
    </row>
    <row r="782" spans="1:15">
      <c r="A782" s="7">
        <v>170210</v>
      </c>
      <c r="B782" s="7">
        <v>4.34</v>
      </c>
      <c r="C782" s="18" t="s">
        <v>832</v>
      </c>
      <c r="D782" s="19">
        <v>0</v>
      </c>
      <c r="E782" s="20">
        <v>9.9205479452054792</v>
      </c>
      <c r="F782" s="21">
        <v>4.3324999999999996</v>
      </c>
      <c r="G782" s="21">
        <v>0.75000000000002842</v>
      </c>
      <c r="H782" s="21">
        <v>4.3849</v>
      </c>
      <c r="I782" s="21">
        <v>-5.2400000000000446</v>
      </c>
      <c r="J782" s="19" t="s">
        <v>17</v>
      </c>
      <c r="K782" s="19" t="s">
        <v>19</v>
      </c>
      <c r="L782" s="13">
        <v>4.04</v>
      </c>
      <c r="M782" s="14" t="s">
        <v>833</v>
      </c>
      <c r="N782" s="14" t="s">
        <v>825</v>
      </c>
      <c r="O782" s="4">
        <v>42867</v>
      </c>
    </row>
    <row r="783" spans="1:15">
      <c r="A783" s="7">
        <v>170210</v>
      </c>
      <c r="B783" s="7">
        <v>4.34</v>
      </c>
      <c r="C783" s="18" t="s">
        <v>832</v>
      </c>
      <c r="D783" s="19">
        <v>0</v>
      </c>
      <c r="E783" s="20">
        <v>9.9205479452054792</v>
      </c>
      <c r="F783" s="21">
        <v>4.3324999999999996</v>
      </c>
      <c r="G783" s="21">
        <v>0.75000000000002842</v>
      </c>
      <c r="H783" s="21">
        <v>4.3849</v>
      </c>
      <c r="I783" s="21">
        <v>-5.2400000000000446</v>
      </c>
      <c r="J783" s="19" t="s">
        <v>17</v>
      </c>
      <c r="K783" s="19" t="s">
        <v>19</v>
      </c>
      <c r="L783" s="13">
        <v>4.04</v>
      </c>
      <c r="M783" s="14" t="s">
        <v>833</v>
      </c>
      <c r="N783" s="14" t="s">
        <v>825</v>
      </c>
      <c r="O783" s="4">
        <v>42867</v>
      </c>
    </row>
    <row r="784" spans="1:15">
      <c r="A784" s="7">
        <v>170210</v>
      </c>
      <c r="B784" s="7">
        <v>4.34</v>
      </c>
      <c r="C784" s="18" t="s">
        <v>832</v>
      </c>
      <c r="D784" s="19">
        <v>0</v>
      </c>
      <c r="E784" s="20">
        <v>9.9205479452054792</v>
      </c>
      <c r="F784" s="21">
        <v>4.3324999999999996</v>
      </c>
      <c r="G784" s="21">
        <v>0.75000000000002842</v>
      </c>
      <c r="H784" s="21">
        <v>4.3849</v>
      </c>
      <c r="I784" s="21">
        <v>-5.2400000000000446</v>
      </c>
      <c r="J784" s="19" t="s">
        <v>17</v>
      </c>
      <c r="K784" s="19" t="s">
        <v>19</v>
      </c>
      <c r="L784" s="13">
        <v>4.04</v>
      </c>
      <c r="M784" s="14" t="s">
        <v>833</v>
      </c>
      <c r="N784" s="14" t="s">
        <v>825</v>
      </c>
      <c r="O784" s="4">
        <v>42867</v>
      </c>
    </row>
    <row r="785" spans="1:15">
      <c r="A785" s="7">
        <v>170210</v>
      </c>
      <c r="B785" s="7">
        <v>4.34</v>
      </c>
      <c r="C785" s="18" t="s">
        <v>832</v>
      </c>
      <c r="D785" s="19">
        <v>0</v>
      </c>
      <c r="E785" s="20">
        <v>9.9205479452054792</v>
      </c>
      <c r="F785" s="21">
        <v>4.3324999999999996</v>
      </c>
      <c r="G785" s="21">
        <v>0.75000000000002842</v>
      </c>
      <c r="H785" s="21">
        <v>4.3849</v>
      </c>
      <c r="I785" s="21">
        <v>-5.2400000000000446</v>
      </c>
      <c r="J785" s="19" t="s">
        <v>17</v>
      </c>
      <c r="K785" s="19" t="s">
        <v>19</v>
      </c>
      <c r="L785" s="13">
        <v>4.04</v>
      </c>
      <c r="M785" s="14" t="s">
        <v>833</v>
      </c>
      <c r="N785" s="14" t="s">
        <v>825</v>
      </c>
      <c r="O785" s="4">
        <v>42867</v>
      </c>
    </row>
    <row r="786" spans="1:15">
      <c r="A786" s="7">
        <v>170210</v>
      </c>
      <c r="B786" s="7">
        <v>4.34</v>
      </c>
      <c r="C786" s="18" t="s">
        <v>832</v>
      </c>
      <c r="D786" s="19">
        <v>0</v>
      </c>
      <c r="E786" s="20">
        <v>9.9205479452054792</v>
      </c>
      <c r="F786" s="21">
        <v>4.3324999999999996</v>
      </c>
      <c r="G786" s="21">
        <v>0.75000000000002842</v>
      </c>
      <c r="H786" s="21">
        <v>4.3849</v>
      </c>
      <c r="I786" s="21">
        <v>-5.2400000000000446</v>
      </c>
      <c r="J786" s="19" t="s">
        <v>17</v>
      </c>
      <c r="K786" s="19" t="s">
        <v>19</v>
      </c>
      <c r="L786" s="13">
        <v>4.04</v>
      </c>
      <c r="M786" s="14" t="s">
        <v>833</v>
      </c>
      <c r="N786" s="14" t="s">
        <v>825</v>
      </c>
      <c r="O786" s="4">
        <v>42867</v>
      </c>
    </row>
    <row r="787" spans="1:15">
      <c r="A787" s="7">
        <v>170210</v>
      </c>
      <c r="B787" s="7">
        <v>4.34</v>
      </c>
      <c r="C787" s="18" t="s">
        <v>832</v>
      </c>
      <c r="D787" s="19">
        <v>0</v>
      </c>
      <c r="E787" s="20">
        <v>9.9205479452054792</v>
      </c>
      <c r="F787" s="21">
        <v>4.3324999999999996</v>
      </c>
      <c r="G787" s="21">
        <v>0.75000000000002842</v>
      </c>
      <c r="H787" s="21">
        <v>4.3849</v>
      </c>
      <c r="I787" s="21">
        <v>-5.2400000000000446</v>
      </c>
      <c r="J787" s="19" t="s">
        <v>17</v>
      </c>
      <c r="K787" s="19" t="s">
        <v>19</v>
      </c>
      <c r="L787" s="13">
        <v>4.04</v>
      </c>
      <c r="M787" s="14" t="s">
        <v>833</v>
      </c>
      <c r="N787" s="14" t="s">
        <v>825</v>
      </c>
      <c r="O787" s="4">
        <v>42867</v>
      </c>
    </row>
    <row r="788" spans="1:15">
      <c r="A788" s="7">
        <v>170210</v>
      </c>
      <c r="B788" s="7">
        <v>4.34</v>
      </c>
      <c r="C788" s="18" t="s">
        <v>832</v>
      </c>
      <c r="D788" s="19">
        <v>0</v>
      </c>
      <c r="E788" s="20">
        <v>9.9205479452054792</v>
      </c>
      <c r="F788" s="21">
        <v>4.3324999999999996</v>
      </c>
      <c r="G788" s="21">
        <v>0.75000000000002842</v>
      </c>
      <c r="H788" s="21">
        <v>4.3849</v>
      </c>
      <c r="I788" s="21">
        <v>-5.2400000000000446</v>
      </c>
      <c r="J788" s="19" t="s">
        <v>17</v>
      </c>
      <c r="K788" s="19" t="s">
        <v>19</v>
      </c>
      <c r="L788" s="13">
        <v>4.04</v>
      </c>
      <c r="M788" s="14" t="s">
        <v>833</v>
      </c>
      <c r="N788" s="14" t="s">
        <v>825</v>
      </c>
      <c r="O788" s="4">
        <v>42867</v>
      </c>
    </row>
    <row r="789" spans="1:15">
      <c r="A789" s="7">
        <v>170210</v>
      </c>
      <c r="B789" s="7">
        <v>4.34</v>
      </c>
      <c r="C789" s="18" t="s">
        <v>832</v>
      </c>
      <c r="D789" s="19">
        <v>0</v>
      </c>
      <c r="E789" s="20">
        <v>9.9205479452054792</v>
      </c>
      <c r="F789" s="21">
        <v>4.3324999999999996</v>
      </c>
      <c r="G789" s="21">
        <v>0.75000000000002842</v>
      </c>
      <c r="H789" s="21">
        <v>4.3849</v>
      </c>
      <c r="I789" s="21">
        <v>-5.2400000000000446</v>
      </c>
      <c r="J789" s="19" t="s">
        <v>17</v>
      </c>
      <c r="K789" s="19" t="s">
        <v>19</v>
      </c>
      <c r="L789" s="13">
        <v>4.04</v>
      </c>
      <c r="M789" s="14" t="s">
        <v>833</v>
      </c>
      <c r="N789" s="14" t="s">
        <v>825</v>
      </c>
      <c r="O789" s="4">
        <v>42867</v>
      </c>
    </row>
    <row r="790" spans="1:15">
      <c r="A790" s="7">
        <v>170210</v>
      </c>
      <c r="B790" s="7">
        <v>4.34</v>
      </c>
      <c r="C790" s="18" t="s">
        <v>832</v>
      </c>
      <c r="D790" s="19">
        <v>0</v>
      </c>
      <c r="E790" s="20">
        <v>9.9205479452054792</v>
      </c>
      <c r="F790" s="21">
        <v>4.3324999999999996</v>
      </c>
      <c r="G790" s="21">
        <v>0.75000000000002842</v>
      </c>
      <c r="H790" s="21">
        <v>4.3849</v>
      </c>
      <c r="I790" s="21">
        <v>-5.2400000000000446</v>
      </c>
      <c r="J790" s="19" t="s">
        <v>17</v>
      </c>
      <c r="K790" s="19" t="s">
        <v>19</v>
      </c>
      <c r="L790" s="13">
        <v>4.04</v>
      </c>
      <c r="M790" s="14" t="s">
        <v>833</v>
      </c>
      <c r="N790" s="14" t="s">
        <v>825</v>
      </c>
      <c r="O790" s="4">
        <v>42867</v>
      </c>
    </row>
    <row r="791" spans="1:15">
      <c r="A791" s="7">
        <v>170210</v>
      </c>
      <c r="B791" s="7">
        <v>4.34</v>
      </c>
      <c r="C791" s="18" t="s">
        <v>832</v>
      </c>
      <c r="D791" s="19">
        <v>0</v>
      </c>
      <c r="E791" s="20">
        <v>9.9205479452054792</v>
      </c>
      <c r="F791" s="21">
        <v>4.3324999999999996</v>
      </c>
      <c r="G791" s="21">
        <v>0.75000000000002842</v>
      </c>
      <c r="H791" s="21">
        <v>4.3849</v>
      </c>
      <c r="I791" s="21">
        <v>-5.2400000000000446</v>
      </c>
      <c r="J791" s="19" t="s">
        <v>17</v>
      </c>
      <c r="K791" s="19" t="s">
        <v>19</v>
      </c>
      <c r="L791" s="13">
        <v>4.04</v>
      </c>
      <c r="M791" s="14" t="s">
        <v>833</v>
      </c>
      <c r="N791" s="14" t="s">
        <v>825</v>
      </c>
      <c r="O791" s="4">
        <v>42867</v>
      </c>
    </row>
    <row r="792" spans="1:15">
      <c r="A792" s="7">
        <v>170210</v>
      </c>
      <c r="B792" s="7">
        <v>4.34</v>
      </c>
      <c r="C792" s="18" t="s">
        <v>832</v>
      </c>
      <c r="D792" s="19">
        <v>0</v>
      </c>
      <c r="E792" s="20">
        <v>9.9205479452054792</v>
      </c>
      <c r="F792" s="21">
        <v>4.3324999999999996</v>
      </c>
      <c r="G792" s="21">
        <v>0.75000000000002842</v>
      </c>
      <c r="H792" s="21">
        <v>4.3849</v>
      </c>
      <c r="I792" s="21">
        <v>-5.2400000000000446</v>
      </c>
      <c r="J792" s="19" t="s">
        <v>17</v>
      </c>
      <c r="K792" s="19" t="s">
        <v>19</v>
      </c>
      <c r="L792" s="13">
        <v>4.04</v>
      </c>
      <c r="M792" s="14" t="s">
        <v>833</v>
      </c>
      <c r="N792" s="14" t="s">
        <v>825</v>
      </c>
      <c r="O792" s="4">
        <v>42867</v>
      </c>
    </row>
    <row r="793" spans="1:15">
      <c r="A793" s="7">
        <v>170210</v>
      </c>
      <c r="B793" s="7">
        <v>4.34</v>
      </c>
      <c r="C793" s="18" t="s">
        <v>832</v>
      </c>
      <c r="D793" s="19">
        <v>0</v>
      </c>
      <c r="E793" s="20">
        <v>9.9205479452054792</v>
      </c>
      <c r="F793" s="21">
        <v>4.3324999999999996</v>
      </c>
      <c r="G793" s="21">
        <v>0.75000000000002842</v>
      </c>
      <c r="H793" s="21">
        <v>4.3849</v>
      </c>
      <c r="I793" s="21">
        <v>-5.2400000000000446</v>
      </c>
      <c r="J793" s="19" t="s">
        <v>17</v>
      </c>
      <c r="K793" s="19" t="s">
        <v>19</v>
      </c>
      <c r="L793" s="13">
        <v>4.04</v>
      </c>
      <c r="M793" s="14" t="s">
        <v>833</v>
      </c>
      <c r="N793" s="14" t="s">
        <v>825</v>
      </c>
      <c r="O793" s="4">
        <v>42867</v>
      </c>
    </row>
    <row r="794" spans="1:15">
      <c r="A794" s="7">
        <v>170210</v>
      </c>
      <c r="B794" s="7">
        <v>4.34</v>
      </c>
      <c r="C794" s="18" t="s">
        <v>832</v>
      </c>
      <c r="D794" s="19">
        <v>0</v>
      </c>
      <c r="E794" s="20">
        <v>9.9205479452054792</v>
      </c>
      <c r="F794" s="21">
        <v>4.3324999999999996</v>
      </c>
      <c r="G794" s="21">
        <v>0.75000000000002842</v>
      </c>
      <c r="H794" s="21">
        <v>4.3849</v>
      </c>
      <c r="I794" s="21">
        <v>-5.2400000000000446</v>
      </c>
      <c r="J794" s="19" t="s">
        <v>17</v>
      </c>
      <c r="K794" s="19" t="s">
        <v>19</v>
      </c>
      <c r="L794" s="13">
        <v>4.04</v>
      </c>
      <c r="M794" s="14" t="s">
        <v>833</v>
      </c>
      <c r="N794" s="14" t="s">
        <v>825</v>
      </c>
      <c r="O794" s="4">
        <v>42867</v>
      </c>
    </row>
    <row r="795" spans="1:15">
      <c r="A795" s="7">
        <v>170210</v>
      </c>
      <c r="B795" s="7">
        <v>4.34</v>
      </c>
      <c r="C795" s="18" t="s">
        <v>832</v>
      </c>
      <c r="D795" s="19">
        <v>0</v>
      </c>
      <c r="E795" s="20">
        <v>9.9205479452054792</v>
      </c>
      <c r="F795" s="21">
        <v>4.3324999999999996</v>
      </c>
      <c r="G795" s="21">
        <v>0.75000000000002842</v>
      </c>
      <c r="H795" s="21">
        <v>4.3849</v>
      </c>
      <c r="I795" s="21">
        <v>-5.2400000000000446</v>
      </c>
      <c r="J795" s="19" t="s">
        <v>17</v>
      </c>
      <c r="K795" s="19" t="s">
        <v>19</v>
      </c>
      <c r="L795" s="13">
        <v>4.04</v>
      </c>
      <c r="M795" s="14" t="s">
        <v>833</v>
      </c>
      <c r="N795" s="14" t="s">
        <v>825</v>
      </c>
      <c r="O795" s="4">
        <v>42867</v>
      </c>
    </row>
    <row r="796" spans="1:15">
      <c r="A796" s="7">
        <v>170210</v>
      </c>
      <c r="B796" s="7">
        <v>4.34</v>
      </c>
      <c r="C796" s="18" t="s">
        <v>832</v>
      </c>
      <c r="D796" s="19">
        <v>0</v>
      </c>
      <c r="E796" s="20">
        <v>9.9205479452054792</v>
      </c>
      <c r="F796" s="21">
        <v>4.3324999999999996</v>
      </c>
      <c r="G796" s="21">
        <v>0.75000000000002842</v>
      </c>
      <c r="H796" s="21">
        <v>4.3849</v>
      </c>
      <c r="I796" s="21">
        <v>-5.2400000000000446</v>
      </c>
      <c r="J796" s="19" t="s">
        <v>17</v>
      </c>
      <c r="K796" s="19" t="s">
        <v>19</v>
      </c>
      <c r="L796" s="13">
        <v>4.04</v>
      </c>
      <c r="M796" s="14" t="s">
        <v>833</v>
      </c>
      <c r="N796" s="14" t="s">
        <v>825</v>
      </c>
      <c r="O796" s="4">
        <v>42867</v>
      </c>
    </row>
    <row r="797" spans="1:15">
      <c r="A797" s="7">
        <v>170210</v>
      </c>
      <c r="B797" s="7">
        <v>4.34</v>
      </c>
      <c r="C797" s="18" t="s">
        <v>832</v>
      </c>
      <c r="D797" s="19">
        <v>0</v>
      </c>
      <c r="E797" s="20">
        <v>9.9205479452054792</v>
      </c>
      <c r="F797" s="21">
        <v>4.3324999999999996</v>
      </c>
      <c r="G797" s="21">
        <v>0.75000000000002842</v>
      </c>
      <c r="H797" s="21">
        <v>4.3849</v>
      </c>
      <c r="I797" s="21">
        <v>-5.2400000000000446</v>
      </c>
      <c r="J797" s="19" t="s">
        <v>17</v>
      </c>
      <c r="K797" s="19" t="s">
        <v>19</v>
      </c>
      <c r="L797" s="13">
        <v>4.04</v>
      </c>
      <c r="M797" s="14" t="s">
        <v>833</v>
      </c>
      <c r="N797" s="14" t="s">
        <v>825</v>
      </c>
      <c r="O797" s="4">
        <v>42867</v>
      </c>
    </row>
    <row r="798" spans="1:15">
      <c r="A798" s="7">
        <v>170210</v>
      </c>
      <c r="B798" s="7">
        <v>4.34</v>
      </c>
      <c r="C798" s="18" t="s">
        <v>832</v>
      </c>
      <c r="D798" s="19">
        <v>0</v>
      </c>
      <c r="E798" s="20">
        <v>9.9205479452054792</v>
      </c>
      <c r="F798" s="21">
        <v>4.3324999999999996</v>
      </c>
      <c r="G798" s="21">
        <v>0.75000000000002842</v>
      </c>
      <c r="H798" s="21">
        <v>4.3849</v>
      </c>
      <c r="I798" s="21">
        <v>-5.2400000000000446</v>
      </c>
      <c r="J798" s="19" t="s">
        <v>17</v>
      </c>
      <c r="K798" s="19" t="s">
        <v>19</v>
      </c>
      <c r="L798" s="13">
        <v>4.04</v>
      </c>
      <c r="M798" s="14" t="s">
        <v>833</v>
      </c>
      <c r="N798" s="14" t="s">
        <v>825</v>
      </c>
      <c r="O798" s="4">
        <v>42867</v>
      </c>
    </row>
    <row r="799" spans="1:15">
      <c r="A799" s="7">
        <v>170210</v>
      </c>
      <c r="B799" s="7">
        <v>4.34</v>
      </c>
      <c r="C799" s="18" t="s">
        <v>832</v>
      </c>
      <c r="D799" s="19">
        <v>0</v>
      </c>
      <c r="E799" s="20">
        <v>9.9205479452054792</v>
      </c>
      <c r="F799" s="21">
        <v>4.3324999999999996</v>
      </c>
      <c r="G799" s="21">
        <v>0.75000000000002842</v>
      </c>
      <c r="H799" s="21">
        <v>4.3849</v>
      </c>
      <c r="I799" s="21">
        <v>-5.2400000000000446</v>
      </c>
      <c r="J799" s="19" t="s">
        <v>17</v>
      </c>
      <c r="K799" s="19" t="s">
        <v>19</v>
      </c>
      <c r="L799" s="13">
        <v>4.04</v>
      </c>
      <c r="M799" s="14" t="s">
        <v>833</v>
      </c>
      <c r="N799" s="14" t="s">
        <v>825</v>
      </c>
      <c r="O799" s="4">
        <v>42867</v>
      </c>
    </row>
    <row r="800" spans="1:15">
      <c r="A800" s="7">
        <v>170210</v>
      </c>
      <c r="B800" s="7">
        <v>4.34</v>
      </c>
      <c r="C800" s="18" t="s">
        <v>832</v>
      </c>
      <c r="D800" s="19">
        <v>0</v>
      </c>
      <c r="E800" s="20">
        <v>9.9205479452054792</v>
      </c>
      <c r="F800" s="21">
        <v>4.3324999999999996</v>
      </c>
      <c r="G800" s="21">
        <v>0.75000000000002842</v>
      </c>
      <c r="H800" s="21">
        <v>4.3849</v>
      </c>
      <c r="I800" s="21">
        <v>-5.2400000000000446</v>
      </c>
      <c r="J800" s="19" t="s">
        <v>17</v>
      </c>
      <c r="K800" s="19" t="s">
        <v>19</v>
      </c>
      <c r="L800" s="13">
        <v>4.04</v>
      </c>
      <c r="M800" s="14" t="s">
        <v>833</v>
      </c>
      <c r="N800" s="14" t="s">
        <v>825</v>
      </c>
      <c r="O800" s="4">
        <v>42867</v>
      </c>
    </row>
    <row r="801" spans="1:15">
      <c r="A801" s="7">
        <v>170210</v>
      </c>
      <c r="B801" s="7">
        <v>4.34</v>
      </c>
      <c r="C801" s="18" t="s">
        <v>832</v>
      </c>
      <c r="D801" s="19">
        <v>0</v>
      </c>
      <c r="E801" s="20">
        <v>9.9205479452054792</v>
      </c>
      <c r="F801" s="21">
        <v>4.3324999999999996</v>
      </c>
      <c r="G801" s="21">
        <v>0.75000000000002842</v>
      </c>
      <c r="H801" s="21">
        <v>4.3849</v>
      </c>
      <c r="I801" s="21">
        <v>-5.2400000000000446</v>
      </c>
      <c r="J801" s="19" t="s">
        <v>17</v>
      </c>
      <c r="K801" s="19" t="s">
        <v>19</v>
      </c>
      <c r="L801" s="13">
        <v>4.04</v>
      </c>
      <c r="M801" s="14" t="s">
        <v>833</v>
      </c>
      <c r="N801" s="14" t="s">
        <v>825</v>
      </c>
      <c r="O801" s="4">
        <v>42867</v>
      </c>
    </row>
    <row r="802" spans="1:15">
      <c r="A802" s="7">
        <v>170210</v>
      </c>
      <c r="B802" s="7">
        <v>4.3375000000000004</v>
      </c>
      <c r="C802" s="18" t="s">
        <v>832</v>
      </c>
      <c r="D802" s="19">
        <v>0</v>
      </c>
      <c r="E802" s="20">
        <v>9.9205479452054792</v>
      </c>
      <c r="F802" s="21">
        <v>4.3324999999999996</v>
      </c>
      <c r="G802" s="21">
        <v>0.50000000000007816</v>
      </c>
      <c r="H802" s="21">
        <v>4.3849</v>
      </c>
      <c r="I802" s="21">
        <v>-5.2400000000000446</v>
      </c>
      <c r="J802" s="19" t="s">
        <v>17</v>
      </c>
      <c r="K802" s="19" t="s">
        <v>19</v>
      </c>
      <c r="L802" s="13">
        <v>4.04</v>
      </c>
      <c r="M802" s="14" t="s">
        <v>833</v>
      </c>
      <c r="N802" s="14" t="s">
        <v>825</v>
      </c>
      <c r="O802" s="4">
        <v>42867</v>
      </c>
    </row>
    <row r="803" spans="1:15">
      <c r="A803" s="7">
        <v>170210</v>
      </c>
      <c r="B803" s="7">
        <v>4.335</v>
      </c>
      <c r="C803" s="18" t="s">
        <v>832</v>
      </c>
      <c r="D803" s="19">
        <v>0</v>
      </c>
      <c r="E803" s="20">
        <v>9.9205479452054792</v>
      </c>
      <c r="F803" s="21">
        <v>4.3324999999999996</v>
      </c>
      <c r="G803" s="21">
        <v>0.25000000000003908</v>
      </c>
      <c r="H803" s="21">
        <v>4.3849</v>
      </c>
      <c r="I803" s="21">
        <v>-5.2400000000000446</v>
      </c>
      <c r="J803" s="19" t="s">
        <v>17</v>
      </c>
      <c r="K803" s="19" t="s">
        <v>19</v>
      </c>
      <c r="L803" s="13">
        <v>4.04</v>
      </c>
      <c r="M803" s="14" t="s">
        <v>833</v>
      </c>
      <c r="N803" s="14" t="s">
        <v>825</v>
      </c>
      <c r="O803" s="4">
        <v>42867</v>
      </c>
    </row>
    <row r="804" spans="1:15">
      <c r="A804" s="7">
        <v>170210</v>
      </c>
      <c r="B804" s="7">
        <v>4.335</v>
      </c>
      <c r="C804" s="18" t="s">
        <v>832</v>
      </c>
      <c r="D804" s="19">
        <v>0</v>
      </c>
      <c r="E804" s="20">
        <v>9.9205479452054792</v>
      </c>
      <c r="F804" s="21">
        <v>4.3324999999999996</v>
      </c>
      <c r="G804" s="21">
        <v>0.25000000000003908</v>
      </c>
      <c r="H804" s="21">
        <v>4.3849</v>
      </c>
      <c r="I804" s="21">
        <v>-5.2400000000000446</v>
      </c>
      <c r="J804" s="19" t="s">
        <v>17</v>
      </c>
      <c r="K804" s="19" t="s">
        <v>19</v>
      </c>
      <c r="L804" s="13">
        <v>4.04</v>
      </c>
      <c r="M804" s="14" t="s">
        <v>833</v>
      </c>
      <c r="N804" s="14" t="s">
        <v>825</v>
      </c>
      <c r="O804" s="4">
        <v>42867</v>
      </c>
    </row>
    <row r="805" spans="1:15">
      <c r="A805" s="7">
        <v>170210</v>
      </c>
      <c r="B805" s="7">
        <v>4.335</v>
      </c>
      <c r="C805" s="18" t="s">
        <v>832</v>
      </c>
      <c r="D805" s="19">
        <v>0</v>
      </c>
      <c r="E805" s="20">
        <v>9.9205479452054792</v>
      </c>
      <c r="F805" s="21">
        <v>4.3324999999999996</v>
      </c>
      <c r="G805" s="21">
        <v>0.25000000000003908</v>
      </c>
      <c r="H805" s="21">
        <v>4.3849</v>
      </c>
      <c r="I805" s="21">
        <v>-5.2400000000000446</v>
      </c>
      <c r="J805" s="19" t="s">
        <v>17</v>
      </c>
      <c r="K805" s="19" t="s">
        <v>19</v>
      </c>
      <c r="L805" s="13">
        <v>4.04</v>
      </c>
      <c r="M805" s="14" t="s">
        <v>833</v>
      </c>
      <c r="N805" s="14" t="s">
        <v>825</v>
      </c>
      <c r="O805" s="4">
        <v>42867</v>
      </c>
    </row>
    <row r="806" spans="1:15">
      <c r="A806" s="7">
        <v>170210</v>
      </c>
      <c r="B806" s="7">
        <v>4.335</v>
      </c>
      <c r="C806" s="18" t="s">
        <v>832</v>
      </c>
      <c r="D806" s="19">
        <v>0</v>
      </c>
      <c r="E806" s="20">
        <v>9.9205479452054792</v>
      </c>
      <c r="F806" s="21">
        <v>4.3324999999999996</v>
      </c>
      <c r="G806" s="21">
        <v>0.25000000000003908</v>
      </c>
      <c r="H806" s="21">
        <v>4.3849</v>
      </c>
      <c r="I806" s="21">
        <v>-5.2400000000000446</v>
      </c>
      <c r="J806" s="19" t="s">
        <v>17</v>
      </c>
      <c r="K806" s="19" t="s">
        <v>19</v>
      </c>
      <c r="L806" s="13">
        <v>4.04</v>
      </c>
      <c r="M806" s="14" t="s">
        <v>833</v>
      </c>
      <c r="N806" s="14" t="s">
        <v>825</v>
      </c>
      <c r="O806" s="4">
        <v>42867</v>
      </c>
    </row>
    <row r="807" spans="1:15">
      <c r="A807" s="7">
        <v>170210</v>
      </c>
      <c r="B807" s="7">
        <v>4.335</v>
      </c>
      <c r="C807" s="18" t="s">
        <v>832</v>
      </c>
      <c r="D807" s="19">
        <v>0</v>
      </c>
      <c r="E807" s="20">
        <v>9.9205479452054792</v>
      </c>
      <c r="F807" s="21">
        <v>4.3324999999999996</v>
      </c>
      <c r="G807" s="21">
        <v>0.25000000000003908</v>
      </c>
      <c r="H807" s="21">
        <v>4.3849</v>
      </c>
      <c r="I807" s="21">
        <v>-5.2400000000000446</v>
      </c>
      <c r="J807" s="19" t="s">
        <v>17</v>
      </c>
      <c r="K807" s="19" t="s">
        <v>19</v>
      </c>
      <c r="L807" s="13">
        <v>4.04</v>
      </c>
      <c r="M807" s="14" t="s">
        <v>833</v>
      </c>
      <c r="N807" s="14" t="s">
        <v>825</v>
      </c>
      <c r="O807" s="4">
        <v>42867</v>
      </c>
    </row>
    <row r="808" spans="1:15">
      <c r="A808" s="7">
        <v>170210</v>
      </c>
      <c r="B808" s="7">
        <v>4.335</v>
      </c>
      <c r="C808" s="18" t="s">
        <v>832</v>
      </c>
      <c r="D808" s="19">
        <v>0</v>
      </c>
      <c r="E808" s="20">
        <v>9.9205479452054792</v>
      </c>
      <c r="F808" s="21">
        <v>4.3324999999999996</v>
      </c>
      <c r="G808" s="21">
        <v>0.25000000000003908</v>
      </c>
      <c r="H808" s="21">
        <v>4.3849</v>
      </c>
      <c r="I808" s="21">
        <v>-5.2400000000000446</v>
      </c>
      <c r="J808" s="19" t="s">
        <v>17</v>
      </c>
      <c r="K808" s="19" t="s">
        <v>19</v>
      </c>
      <c r="L808" s="13">
        <v>4.04</v>
      </c>
      <c r="M808" s="14" t="s">
        <v>833</v>
      </c>
      <c r="N808" s="14" t="s">
        <v>825</v>
      </c>
      <c r="O808" s="4">
        <v>42867</v>
      </c>
    </row>
    <row r="809" spans="1:15">
      <c r="A809" s="7">
        <v>170210</v>
      </c>
      <c r="B809" s="7">
        <v>4.335</v>
      </c>
      <c r="C809" s="18" t="s">
        <v>832</v>
      </c>
      <c r="D809" s="19">
        <v>0</v>
      </c>
      <c r="E809" s="20">
        <v>9.9205479452054792</v>
      </c>
      <c r="F809" s="21">
        <v>4.3324999999999996</v>
      </c>
      <c r="G809" s="21">
        <v>0.25000000000003908</v>
      </c>
      <c r="H809" s="21">
        <v>4.3849</v>
      </c>
      <c r="I809" s="21">
        <v>-5.2400000000000446</v>
      </c>
      <c r="J809" s="19" t="s">
        <v>17</v>
      </c>
      <c r="K809" s="19" t="s">
        <v>19</v>
      </c>
      <c r="L809" s="13">
        <v>4.04</v>
      </c>
      <c r="M809" s="14" t="s">
        <v>833</v>
      </c>
      <c r="N809" s="14" t="s">
        <v>825</v>
      </c>
      <c r="O809" s="4">
        <v>42867</v>
      </c>
    </row>
    <row r="810" spans="1:15">
      <c r="A810" s="7">
        <v>170210</v>
      </c>
      <c r="B810" s="7">
        <v>4.335</v>
      </c>
      <c r="C810" s="18" t="s">
        <v>832</v>
      </c>
      <c r="D810" s="19">
        <v>0</v>
      </c>
      <c r="E810" s="20">
        <v>9.9205479452054792</v>
      </c>
      <c r="F810" s="21">
        <v>4.3324999999999996</v>
      </c>
      <c r="G810" s="21">
        <v>0.25000000000003908</v>
      </c>
      <c r="H810" s="21">
        <v>4.3849</v>
      </c>
      <c r="I810" s="21">
        <v>-5.2400000000000446</v>
      </c>
      <c r="J810" s="19" t="s">
        <v>17</v>
      </c>
      <c r="K810" s="19" t="s">
        <v>19</v>
      </c>
      <c r="L810" s="13">
        <v>4.04</v>
      </c>
      <c r="M810" s="14" t="s">
        <v>833</v>
      </c>
      <c r="N810" s="14" t="s">
        <v>825</v>
      </c>
      <c r="O810" s="4">
        <v>42867</v>
      </c>
    </row>
    <row r="811" spans="1:15">
      <c r="A811" s="7">
        <v>170210</v>
      </c>
      <c r="B811" s="7">
        <v>4.335</v>
      </c>
      <c r="C811" s="18" t="s">
        <v>832</v>
      </c>
      <c r="D811" s="19">
        <v>0</v>
      </c>
      <c r="E811" s="20">
        <v>9.9205479452054792</v>
      </c>
      <c r="F811" s="21">
        <v>4.3324999999999996</v>
      </c>
      <c r="G811" s="21">
        <v>0.25000000000003908</v>
      </c>
      <c r="H811" s="21">
        <v>4.3849</v>
      </c>
      <c r="I811" s="21">
        <v>-5.2400000000000446</v>
      </c>
      <c r="J811" s="19" t="s">
        <v>17</v>
      </c>
      <c r="K811" s="19" t="s">
        <v>19</v>
      </c>
      <c r="L811" s="13">
        <v>4.04</v>
      </c>
      <c r="M811" s="14" t="s">
        <v>833</v>
      </c>
      <c r="N811" s="14" t="s">
        <v>825</v>
      </c>
      <c r="O811" s="4">
        <v>42867</v>
      </c>
    </row>
    <row r="812" spans="1:15">
      <c r="A812" s="7">
        <v>170210</v>
      </c>
      <c r="B812" s="7">
        <v>4.335</v>
      </c>
      <c r="C812" s="18" t="s">
        <v>832</v>
      </c>
      <c r="D812" s="19">
        <v>0</v>
      </c>
      <c r="E812" s="20">
        <v>9.9205479452054792</v>
      </c>
      <c r="F812" s="21">
        <v>4.3324999999999996</v>
      </c>
      <c r="G812" s="21">
        <v>0.25000000000003908</v>
      </c>
      <c r="H812" s="21">
        <v>4.3849</v>
      </c>
      <c r="I812" s="21">
        <v>-5.2400000000000446</v>
      </c>
      <c r="J812" s="19" t="s">
        <v>17</v>
      </c>
      <c r="K812" s="19" t="s">
        <v>19</v>
      </c>
      <c r="L812" s="13">
        <v>4.04</v>
      </c>
      <c r="M812" s="14" t="s">
        <v>833</v>
      </c>
      <c r="N812" s="14" t="s">
        <v>825</v>
      </c>
      <c r="O812" s="4">
        <v>42867</v>
      </c>
    </row>
    <row r="813" spans="1:15">
      <c r="A813" s="7">
        <v>170210</v>
      </c>
      <c r="B813" s="7">
        <v>4.335</v>
      </c>
      <c r="C813" s="18" t="s">
        <v>832</v>
      </c>
      <c r="D813" s="19">
        <v>0</v>
      </c>
      <c r="E813" s="20">
        <v>9.9205479452054792</v>
      </c>
      <c r="F813" s="21">
        <v>4.3324999999999996</v>
      </c>
      <c r="G813" s="21">
        <v>0.25000000000003908</v>
      </c>
      <c r="H813" s="21">
        <v>4.3849</v>
      </c>
      <c r="I813" s="21">
        <v>-5.2400000000000446</v>
      </c>
      <c r="J813" s="19" t="s">
        <v>17</v>
      </c>
      <c r="K813" s="19" t="s">
        <v>19</v>
      </c>
      <c r="L813" s="13">
        <v>4.04</v>
      </c>
      <c r="M813" s="14" t="s">
        <v>833</v>
      </c>
      <c r="N813" s="14" t="s">
        <v>825</v>
      </c>
      <c r="O813" s="4">
        <v>42867</v>
      </c>
    </row>
    <row r="814" spans="1:15">
      <c r="A814" s="7">
        <v>170210</v>
      </c>
      <c r="B814" s="7">
        <v>4.335</v>
      </c>
      <c r="C814" s="18" t="s">
        <v>832</v>
      </c>
      <c r="D814" s="19">
        <v>0</v>
      </c>
      <c r="E814" s="20">
        <v>9.9205479452054792</v>
      </c>
      <c r="F814" s="21">
        <v>4.3324999999999996</v>
      </c>
      <c r="G814" s="21">
        <v>0.25000000000003908</v>
      </c>
      <c r="H814" s="21">
        <v>4.3849</v>
      </c>
      <c r="I814" s="21">
        <v>-5.2400000000000446</v>
      </c>
      <c r="J814" s="19" t="s">
        <v>17</v>
      </c>
      <c r="K814" s="19" t="s">
        <v>19</v>
      </c>
      <c r="L814" s="13">
        <v>4.04</v>
      </c>
      <c r="M814" s="14" t="s">
        <v>833</v>
      </c>
      <c r="N814" s="14" t="s">
        <v>825</v>
      </c>
      <c r="O814" s="4">
        <v>42867</v>
      </c>
    </row>
    <row r="815" spans="1:15">
      <c r="A815" s="7">
        <v>170210</v>
      </c>
      <c r="B815" s="7">
        <v>4.335</v>
      </c>
      <c r="C815" s="18" t="s">
        <v>832</v>
      </c>
      <c r="D815" s="19">
        <v>0</v>
      </c>
      <c r="E815" s="20">
        <v>9.9205479452054792</v>
      </c>
      <c r="F815" s="21">
        <v>4.3324999999999996</v>
      </c>
      <c r="G815" s="21">
        <v>0.25000000000003908</v>
      </c>
      <c r="H815" s="21">
        <v>4.3849</v>
      </c>
      <c r="I815" s="21">
        <v>-5.2400000000000446</v>
      </c>
      <c r="J815" s="19" t="s">
        <v>17</v>
      </c>
      <c r="K815" s="19" t="s">
        <v>19</v>
      </c>
      <c r="L815" s="13">
        <v>4.04</v>
      </c>
      <c r="M815" s="14" t="s">
        <v>833</v>
      </c>
      <c r="N815" s="14" t="s">
        <v>825</v>
      </c>
      <c r="O815" s="4">
        <v>42867</v>
      </c>
    </row>
    <row r="816" spans="1:15">
      <c r="A816" s="7">
        <v>170210</v>
      </c>
      <c r="B816" s="7">
        <v>4.335</v>
      </c>
      <c r="C816" s="18" t="s">
        <v>832</v>
      </c>
      <c r="D816" s="19">
        <v>0</v>
      </c>
      <c r="E816" s="20">
        <v>9.9205479452054792</v>
      </c>
      <c r="F816" s="21">
        <v>4.3324999999999996</v>
      </c>
      <c r="G816" s="21">
        <v>0.25000000000003908</v>
      </c>
      <c r="H816" s="21">
        <v>4.3849</v>
      </c>
      <c r="I816" s="21">
        <v>-5.2400000000000446</v>
      </c>
      <c r="J816" s="19" t="s">
        <v>17</v>
      </c>
      <c r="K816" s="19" t="s">
        <v>19</v>
      </c>
      <c r="L816" s="13">
        <v>4.04</v>
      </c>
      <c r="M816" s="14" t="s">
        <v>833</v>
      </c>
      <c r="N816" s="14" t="s">
        <v>825</v>
      </c>
      <c r="O816" s="4">
        <v>42867</v>
      </c>
    </row>
    <row r="817" spans="1:15">
      <c r="A817" s="7">
        <v>170210</v>
      </c>
      <c r="B817" s="7">
        <v>4.335</v>
      </c>
      <c r="C817" s="18" t="s">
        <v>832</v>
      </c>
      <c r="D817" s="19">
        <v>0</v>
      </c>
      <c r="E817" s="20">
        <v>9.9205479452054792</v>
      </c>
      <c r="F817" s="21">
        <v>4.3324999999999996</v>
      </c>
      <c r="G817" s="21">
        <v>0.25000000000003908</v>
      </c>
      <c r="H817" s="21">
        <v>4.3849</v>
      </c>
      <c r="I817" s="21">
        <v>-5.2400000000000446</v>
      </c>
      <c r="J817" s="19" t="s">
        <v>17</v>
      </c>
      <c r="K817" s="19" t="s">
        <v>19</v>
      </c>
      <c r="L817" s="13">
        <v>4.04</v>
      </c>
      <c r="M817" s="14" t="s">
        <v>833</v>
      </c>
      <c r="N817" s="14" t="s">
        <v>825</v>
      </c>
      <c r="O817" s="4">
        <v>42867</v>
      </c>
    </row>
    <row r="818" spans="1:15">
      <c r="A818" s="7">
        <v>170210</v>
      </c>
      <c r="B818" s="7">
        <v>4.335</v>
      </c>
      <c r="C818" s="18" t="s">
        <v>832</v>
      </c>
      <c r="D818" s="19">
        <v>0</v>
      </c>
      <c r="E818" s="20">
        <v>9.9205479452054792</v>
      </c>
      <c r="F818" s="21">
        <v>4.3324999999999996</v>
      </c>
      <c r="G818" s="21">
        <v>0.25000000000003908</v>
      </c>
      <c r="H818" s="21">
        <v>4.3849</v>
      </c>
      <c r="I818" s="21">
        <v>-5.2400000000000446</v>
      </c>
      <c r="J818" s="19" t="s">
        <v>17</v>
      </c>
      <c r="K818" s="19" t="s">
        <v>19</v>
      </c>
      <c r="L818" s="13">
        <v>4.04</v>
      </c>
      <c r="M818" s="14" t="s">
        <v>833</v>
      </c>
      <c r="N818" s="14" t="s">
        <v>825</v>
      </c>
      <c r="O818" s="4">
        <v>42867</v>
      </c>
    </row>
    <row r="819" spans="1:15">
      <c r="A819" s="7">
        <v>170210</v>
      </c>
      <c r="B819" s="7">
        <v>4.335</v>
      </c>
      <c r="C819" s="18" t="s">
        <v>832</v>
      </c>
      <c r="D819" s="19">
        <v>0</v>
      </c>
      <c r="E819" s="20">
        <v>9.9205479452054792</v>
      </c>
      <c r="F819" s="21">
        <v>4.3324999999999996</v>
      </c>
      <c r="G819" s="21">
        <v>0.25000000000003908</v>
      </c>
      <c r="H819" s="21">
        <v>4.3849</v>
      </c>
      <c r="I819" s="21">
        <v>-5.2400000000000446</v>
      </c>
      <c r="J819" s="19" t="s">
        <v>17</v>
      </c>
      <c r="K819" s="19" t="s">
        <v>19</v>
      </c>
      <c r="L819" s="13">
        <v>4.04</v>
      </c>
      <c r="M819" s="14" t="s">
        <v>833</v>
      </c>
      <c r="N819" s="14" t="s">
        <v>825</v>
      </c>
      <c r="O819" s="4">
        <v>42867</v>
      </c>
    </row>
    <row r="820" spans="1:15">
      <c r="A820" s="7">
        <v>170210</v>
      </c>
      <c r="B820" s="7">
        <v>4.335</v>
      </c>
      <c r="C820" s="18" t="s">
        <v>832</v>
      </c>
      <c r="D820" s="19">
        <v>0</v>
      </c>
      <c r="E820" s="20">
        <v>9.9205479452054792</v>
      </c>
      <c r="F820" s="21">
        <v>4.3324999999999996</v>
      </c>
      <c r="G820" s="21">
        <v>0.25000000000003908</v>
      </c>
      <c r="H820" s="21">
        <v>4.3849</v>
      </c>
      <c r="I820" s="21">
        <v>-5.2400000000000446</v>
      </c>
      <c r="J820" s="19" t="s">
        <v>17</v>
      </c>
      <c r="K820" s="19" t="s">
        <v>19</v>
      </c>
      <c r="L820" s="13">
        <v>4.04</v>
      </c>
      <c r="M820" s="14" t="s">
        <v>833</v>
      </c>
      <c r="N820" s="14" t="s">
        <v>825</v>
      </c>
      <c r="O820" s="4">
        <v>42867</v>
      </c>
    </row>
    <row r="821" spans="1:15">
      <c r="A821" s="7">
        <v>170210</v>
      </c>
      <c r="B821" s="7">
        <v>4.335</v>
      </c>
      <c r="C821" s="18" t="s">
        <v>832</v>
      </c>
      <c r="D821" s="19">
        <v>0</v>
      </c>
      <c r="E821" s="20">
        <v>9.9205479452054792</v>
      </c>
      <c r="F821" s="21">
        <v>4.3324999999999996</v>
      </c>
      <c r="G821" s="21">
        <v>0.25000000000003908</v>
      </c>
      <c r="H821" s="21">
        <v>4.3849</v>
      </c>
      <c r="I821" s="21">
        <v>-5.2400000000000446</v>
      </c>
      <c r="J821" s="19" t="s">
        <v>17</v>
      </c>
      <c r="K821" s="19" t="s">
        <v>19</v>
      </c>
      <c r="L821" s="13">
        <v>4.04</v>
      </c>
      <c r="M821" s="14" t="s">
        <v>833</v>
      </c>
      <c r="N821" s="14" t="s">
        <v>825</v>
      </c>
      <c r="O821" s="4">
        <v>42867</v>
      </c>
    </row>
    <row r="822" spans="1:15">
      <c r="A822" s="7">
        <v>170210</v>
      </c>
      <c r="B822" s="7">
        <v>4.335</v>
      </c>
      <c r="C822" s="18" t="s">
        <v>832</v>
      </c>
      <c r="D822" s="19">
        <v>0</v>
      </c>
      <c r="E822" s="20">
        <v>9.9205479452054792</v>
      </c>
      <c r="F822" s="21">
        <v>4.3324999999999996</v>
      </c>
      <c r="G822" s="21">
        <v>0.25000000000003908</v>
      </c>
      <c r="H822" s="21">
        <v>4.3849</v>
      </c>
      <c r="I822" s="21">
        <v>-5.2400000000000446</v>
      </c>
      <c r="J822" s="19" t="s">
        <v>17</v>
      </c>
      <c r="K822" s="19" t="s">
        <v>19</v>
      </c>
      <c r="L822" s="13">
        <v>4.04</v>
      </c>
      <c r="M822" s="14" t="s">
        <v>833</v>
      </c>
      <c r="N822" s="14" t="s">
        <v>825</v>
      </c>
      <c r="O822" s="4">
        <v>42867</v>
      </c>
    </row>
    <row r="823" spans="1:15">
      <c r="A823" s="7">
        <v>170210</v>
      </c>
      <c r="B823" s="7">
        <v>4.335</v>
      </c>
      <c r="C823" s="18" t="s">
        <v>832</v>
      </c>
      <c r="D823" s="19">
        <v>0</v>
      </c>
      <c r="E823" s="20">
        <v>9.9205479452054792</v>
      </c>
      <c r="F823" s="21">
        <v>4.3324999999999996</v>
      </c>
      <c r="G823" s="21">
        <v>0.25000000000003908</v>
      </c>
      <c r="H823" s="21">
        <v>4.3849</v>
      </c>
      <c r="I823" s="21">
        <v>-5.2400000000000446</v>
      </c>
      <c r="J823" s="19" t="s">
        <v>17</v>
      </c>
      <c r="K823" s="19" t="s">
        <v>19</v>
      </c>
      <c r="L823" s="13">
        <v>4.04</v>
      </c>
      <c r="M823" s="14" t="s">
        <v>833</v>
      </c>
      <c r="N823" s="14" t="s">
        <v>825</v>
      </c>
      <c r="O823" s="4">
        <v>42867</v>
      </c>
    </row>
    <row r="824" spans="1:15">
      <c r="A824" s="7">
        <v>170210</v>
      </c>
      <c r="B824" s="7">
        <v>4.335</v>
      </c>
      <c r="C824" s="18" t="s">
        <v>832</v>
      </c>
      <c r="D824" s="19">
        <v>0</v>
      </c>
      <c r="E824" s="20">
        <v>9.9205479452054792</v>
      </c>
      <c r="F824" s="21">
        <v>4.3324999999999996</v>
      </c>
      <c r="G824" s="21">
        <v>0.25000000000003908</v>
      </c>
      <c r="H824" s="21">
        <v>4.3849</v>
      </c>
      <c r="I824" s="21">
        <v>-5.2400000000000446</v>
      </c>
      <c r="J824" s="19" t="s">
        <v>17</v>
      </c>
      <c r="K824" s="19" t="s">
        <v>19</v>
      </c>
      <c r="L824" s="13">
        <v>4.04</v>
      </c>
      <c r="M824" s="14" t="s">
        <v>833</v>
      </c>
      <c r="N824" s="14" t="s">
        <v>825</v>
      </c>
      <c r="O824" s="4">
        <v>42867</v>
      </c>
    </row>
    <row r="825" spans="1:15">
      <c r="A825" s="7">
        <v>170210</v>
      </c>
      <c r="B825" s="7">
        <v>4.3339999999999996</v>
      </c>
      <c r="C825" s="18" t="s">
        <v>832</v>
      </c>
      <c r="D825" s="19">
        <v>0</v>
      </c>
      <c r="E825" s="20">
        <v>9.9205479452054792</v>
      </c>
      <c r="F825" s="21">
        <v>4.3324999999999996</v>
      </c>
      <c r="G825" s="21">
        <v>0.15000000000000568</v>
      </c>
      <c r="H825" s="21">
        <v>4.3849</v>
      </c>
      <c r="I825" s="21">
        <v>-5.2400000000000446</v>
      </c>
      <c r="J825" s="19" t="s">
        <v>17</v>
      </c>
      <c r="K825" s="19" t="s">
        <v>19</v>
      </c>
      <c r="L825" s="13">
        <v>4.04</v>
      </c>
      <c r="M825" s="14" t="s">
        <v>833</v>
      </c>
      <c r="N825" s="14" t="s">
        <v>825</v>
      </c>
      <c r="O825" s="4">
        <v>42867</v>
      </c>
    </row>
    <row r="826" spans="1:15">
      <c r="A826" s="7">
        <v>170210</v>
      </c>
      <c r="B826" s="7">
        <v>4.3324999999999996</v>
      </c>
      <c r="C826" s="18" t="s">
        <v>832</v>
      </c>
      <c r="D826" s="19">
        <v>0</v>
      </c>
      <c r="E826" s="20">
        <v>9.9205479452054792</v>
      </c>
      <c r="F826" s="21">
        <v>4.3324999999999996</v>
      </c>
      <c r="G826" s="21">
        <v>0</v>
      </c>
      <c r="H826" s="21">
        <v>4.3849</v>
      </c>
      <c r="I826" s="21">
        <v>-5.2400000000000446</v>
      </c>
      <c r="J826" s="19" t="s">
        <v>17</v>
      </c>
      <c r="K826" s="19" t="s">
        <v>19</v>
      </c>
      <c r="L826" s="13">
        <v>4.04</v>
      </c>
      <c r="M826" s="14" t="s">
        <v>833</v>
      </c>
      <c r="N826" s="14" t="s">
        <v>825</v>
      </c>
      <c r="O826" s="4">
        <v>42867</v>
      </c>
    </row>
    <row r="827" spans="1:15">
      <c r="A827" s="7">
        <v>170210</v>
      </c>
      <c r="B827" s="7">
        <v>4.33</v>
      </c>
      <c r="C827" s="18" t="s">
        <v>832</v>
      </c>
      <c r="D827" s="19">
        <v>0</v>
      </c>
      <c r="E827" s="20">
        <v>9.9205479452054792</v>
      </c>
      <c r="F827" s="21">
        <v>4.3324999999999996</v>
      </c>
      <c r="G827" s="21">
        <v>-0.24999999999995026</v>
      </c>
      <c r="H827" s="21">
        <v>4.3849</v>
      </c>
      <c r="I827" s="21">
        <v>-5.2400000000000446</v>
      </c>
      <c r="J827" s="19" t="s">
        <v>17</v>
      </c>
      <c r="K827" s="19" t="s">
        <v>19</v>
      </c>
      <c r="L827" s="13">
        <v>4.04</v>
      </c>
      <c r="M827" s="14" t="s">
        <v>833</v>
      </c>
      <c r="N827" s="14" t="s">
        <v>825</v>
      </c>
      <c r="O827" s="4">
        <v>42867</v>
      </c>
    </row>
    <row r="828" spans="1:15">
      <c r="A828" s="7">
        <v>170210</v>
      </c>
      <c r="B828" s="7">
        <v>4.33</v>
      </c>
      <c r="C828" s="18" t="s">
        <v>832</v>
      </c>
      <c r="D828" s="19">
        <v>0</v>
      </c>
      <c r="E828" s="20">
        <v>9.9205479452054792</v>
      </c>
      <c r="F828" s="21">
        <v>4.3324999999999996</v>
      </c>
      <c r="G828" s="21">
        <v>-0.24999999999995026</v>
      </c>
      <c r="H828" s="21">
        <v>4.3849</v>
      </c>
      <c r="I828" s="21">
        <v>-5.2400000000000446</v>
      </c>
      <c r="J828" s="19" t="s">
        <v>17</v>
      </c>
      <c r="K828" s="19" t="s">
        <v>19</v>
      </c>
      <c r="L828" s="13">
        <v>4.04</v>
      </c>
      <c r="M828" s="14" t="s">
        <v>833</v>
      </c>
      <c r="N828" s="14" t="s">
        <v>825</v>
      </c>
      <c r="O828" s="4">
        <v>42867</v>
      </c>
    </row>
    <row r="829" spans="1:15">
      <c r="A829" s="7">
        <v>170210</v>
      </c>
      <c r="B829" s="7">
        <v>4.33</v>
      </c>
      <c r="C829" s="18" t="s">
        <v>832</v>
      </c>
      <c r="D829" s="19">
        <v>0</v>
      </c>
      <c r="E829" s="20">
        <v>9.9205479452054792</v>
      </c>
      <c r="F829" s="21">
        <v>4.3324999999999996</v>
      </c>
      <c r="G829" s="21">
        <v>-0.24999999999995026</v>
      </c>
      <c r="H829" s="21">
        <v>4.3849</v>
      </c>
      <c r="I829" s="21">
        <v>-5.2400000000000446</v>
      </c>
      <c r="J829" s="19" t="s">
        <v>17</v>
      </c>
      <c r="K829" s="19" t="s">
        <v>19</v>
      </c>
      <c r="L829" s="13">
        <v>4.04</v>
      </c>
      <c r="M829" s="14" t="s">
        <v>833</v>
      </c>
      <c r="N829" s="14" t="s">
        <v>825</v>
      </c>
      <c r="O829" s="4">
        <v>42867</v>
      </c>
    </row>
    <row r="830" spans="1:15">
      <c r="A830" s="7">
        <v>170210</v>
      </c>
      <c r="B830" s="7">
        <v>4.33</v>
      </c>
      <c r="C830" s="18" t="s">
        <v>832</v>
      </c>
      <c r="D830" s="19">
        <v>0</v>
      </c>
      <c r="E830" s="20">
        <v>9.9205479452054792</v>
      </c>
      <c r="F830" s="21">
        <v>4.3324999999999996</v>
      </c>
      <c r="G830" s="21">
        <v>-0.24999999999995026</v>
      </c>
      <c r="H830" s="21">
        <v>4.3849</v>
      </c>
      <c r="I830" s="21">
        <v>-5.2400000000000446</v>
      </c>
      <c r="J830" s="19" t="s">
        <v>17</v>
      </c>
      <c r="K830" s="19" t="s">
        <v>19</v>
      </c>
      <c r="L830" s="13">
        <v>4.04</v>
      </c>
      <c r="M830" s="14" t="s">
        <v>833</v>
      </c>
      <c r="N830" s="14" t="s">
        <v>825</v>
      </c>
      <c r="O830" s="4">
        <v>42867</v>
      </c>
    </row>
    <row r="831" spans="1:15">
      <c r="A831" s="7">
        <v>170210</v>
      </c>
      <c r="B831" s="7">
        <v>4.33</v>
      </c>
      <c r="C831" s="18" t="s">
        <v>832</v>
      </c>
      <c r="D831" s="19">
        <v>0</v>
      </c>
      <c r="E831" s="20">
        <v>9.9205479452054792</v>
      </c>
      <c r="F831" s="21">
        <v>4.3324999999999996</v>
      </c>
      <c r="G831" s="21">
        <v>-0.24999999999995026</v>
      </c>
      <c r="H831" s="21">
        <v>4.3849</v>
      </c>
      <c r="I831" s="21">
        <v>-5.2400000000000446</v>
      </c>
      <c r="J831" s="19" t="s">
        <v>17</v>
      </c>
      <c r="K831" s="19" t="s">
        <v>19</v>
      </c>
      <c r="L831" s="13">
        <v>4.04</v>
      </c>
      <c r="M831" s="14" t="s">
        <v>833</v>
      </c>
      <c r="N831" s="14" t="s">
        <v>825</v>
      </c>
      <c r="O831" s="4">
        <v>42867</v>
      </c>
    </row>
    <row r="832" spans="1:15">
      <c r="A832" s="7">
        <v>170210</v>
      </c>
      <c r="B832" s="7">
        <v>4.33</v>
      </c>
      <c r="C832" s="18" t="s">
        <v>832</v>
      </c>
      <c r="D832" s="19">
        <v>0</v>
      </c>
      <c r="E832" s="20">
        <v>9.9205479452054792</v>
      </c>
      <c r="F832" s="21">
        <v>4.3324999999999996</v>
      </c>
      <c r="G832" s="21">
        <v>-0.24999999999995026</v>
      </c>
      <c r="H832" s="21">
        <v>4.3849</v>
      </c>
      <c r="I832" s="21">
        <v>-5.2400000000000446</v>
      </c>
      <c r="J832" s="19" t="s">
        <v>17</v>
      </c>
      <c r="K832" s="19" t="s">
        <v>19</v>
      </c>
      <c r="L832" s="13">
        <v>4.04</v>
      </c>
      <c r="M832" s="14" t="s">
        <v>833</v>
      </c>
      <c r="N832" s="14" t="s">
        <v>825</v>
      </c>
      <c r="O832" s="4">
        <v>42867</v>
      </c>
    </row>
    <row r="833" spans="1:15">
      <c r="A833" s="7">
        <v>170210</v>
      </c>
      <c r="B833" s="7">
        <v>4.33</v>
      </c>
      <c r="C833" s="18" t="s">
        <v>832</v>
      </c>
      <c r="D833" s="19">
        <v>0</v>
      </c>
      <c r="E833" s="20">
        <v>9.9205479452054792</v>
      </c>
      <c r="F833" s="21">
        <v>4.3324999999999996</v>
      </c>
      <c r="G833" s="21">
        <v>-0.24999999999995026</v>
      </c>
      <c r="H833" s="21">
        <v>4.3849</v>
      </c>
      <c r="I833" s="21">
        <v>-5.2400000000000446</v>
      </c>
      <c r="J833" s="19" t="s">
        <v>17</v>
      </c>
      <c r="K833" s="19" t="s">
        <v>19</v>
      </c>
      <c r="L833" s="13">
        <v>4.04</v>
      </c>
      <c r="M833" s="14" t="s">
        <v>833</v>
      </c>
      <c r="N833" s="14" t="s">
        <v>825</v>
      </c>
      <c r="O833" s="4">
        <v>42867</v>
      </c>
    </row>
    <row r="834" spans="1:15">
      <c r="A834" s="7">
        <v>170210</v>
      </c>
      <c r="B834" s="7">
        <v>4.33</v>
      </c>
      <c r="C834" s="18" t="s">
        <v>832</v>
      </c>
      <c r="D834" s="19">
        <v>0</v>
      </c>
      <c r="E834" s="20">
        <v>9.9205479452054792</v>
      </c>
      <c r="F834" s="21">
        <v>4.3324999999999996</v>
      </c>
      <c r="G834" s="21">
        <v>-0.24999999999995026</v>
      </c>
      <c r="H834" s="21">
        <v>4.3849</v>
      </c>
      <c r="I834" s="21">
        <v>-5.2400000000000446</v>
      </c>
      <c r="J834" s="19" t="s">
        <v>17</v>
      </c>
      <c r="K834" s="19" t="s">
        <v>19</v>
      </c>
      <c r="L834" s="13">
        <v>4.04</v>
      </c>
      <c r="M834" s="14" t="s">
        <v>833</v>
      </c>
      <c r="N834" s="14" t="s">
        <v>825</v>
      </c>
      <c r="O834" s="4">
        <v>42867</v>
      </c>
    </row>
    <row r="835" spans="1:15">
      <c r="A835" s="7">
        <v>170210</v>
      </c>
      <c r="B835" s="7">
        <v>4.33</v>
      </c>
      <c r="C835" s="18" t="s">
        <v>832</v>
      </c>
      <c r="D835" s="19">
        <v>0</v>
      </c>
      <c r="E835" s="20">
        <v>9.9205479452054792</v>
      </c>
      <c r="F835" s="21">
        <v>4.3324999999999996</v>
      </c>
      <c r="G835" s="21">
        <v>-0.24999999999995026</v>
      </c>
      <c r="H835" s="21">
        <v>4.3849</v>
      </c>
      <c r="I835" s="21">
        <v>-5.2400000000000446</v>
      </c>
      <c r="J835" s="19" t="s">
        <v>17</v>
      </c>
      <c r="K835" s="19" t="s">
        <v>19</v>
      </c>
      <c r="L835" s="13">
        <v>4.04</v>
      </c>
      <c r="M835" s="14" t="s">
        <v>833</v>
      </c>
      <c r="N835" s="14" t="s">
        <v>825</v>
      </c>
      <c r="O835" s="4">
        <v>42867</v>
      </c>
    </row>
    <row r="836" spans="1:15">
      <c r="A836" s="7">
        <v>170210</v>
      </c>
      <c r="B836" s="7">
        <v>4.33</v>
      </c>
      <c r="C836" s="18" t="s">
        <v>832</v>
      </c>
      <c r="D836" s="19">
        <v>0</v>
      </c>
      <c r="E836" s="20">
        <v>9.9205479452054792</v>
      </c>
      <c r="F836" s="21">
        <v>4.3324999999999996</v>
      </c>
      <c r="G836" s="21">
        <v>-0.24999999999995026</v>
      </c>
      <c r="H836" s="21">
        <v>4.3849</v>
      </c>
      <c r="I836" s="21">
        <v>-5.2400000000000446</v>
      </c>
      <c r="J836" s="19" t="s">
        <v>17</v>
      </c>
      <c r="K836" s="19" t="s">
        <v>19</v>
      </c>
      <c r="L836" s="13">
        <v>4.04</v>
      </c>
      <c r="M836" s="14" t="s">
        <v>833</v>
      </c>
      <c r="N836" s="14" t="s">
        <v>825</v>
      </c>
      <c r="O836" s="4">
        <v>42867</v>
      </c>
    </row>
    <row r="837" spans="1:15">
      <c r="A837" s="7">
        <v>170210</v>
      </c>
      <c r="B837" s="7">
        <v>4.33</v>
      </c>
      <c r="C837" s="18" t="s">
        <v>832</v>
      </c>
      <c r="D837" s="19">
        <v>0</v>
      </c>
      <c r="E837" s="20">
        <v>9.9205479452054792</v>
      </c>
      <c r="F837" s="21">
        <v>4.3324999999999996</v>
      </c>
      <c r="G837" s="21">
        <v>-0.24999999999995026</v>
      </c>
      <c r="H837" s="21">
        <v>4.3849</v>
      </c>
      <c r="I837" s="21">
        <v>-5.2400000000000446</v>
      </c>
      <c r="J837" s="19" t="s">
        <v>17</v>
      </c>
      <c r="K837" s="19" t="s">
        <v>19</v>
      </c>
      <c r="L837" s="13">
        <v>4.04</v>
      </c>
      <c r="M837" s="14" t="s">
        <v>833</v>
      </c>
      <c r="N837" s="14" t="s">
        <v>825</v>
      </c>
      <c r="O837" s="4">
        <v>42867</v>
      </c>
    </row>
    <row r="838" spans="1:15">
      <c r="A838" s="7">
        <v>170210</v>
      </c>
      <c r="B838" s="7">
        <v>4.33</v>
      </c>
      <c r="C838" s="18" t="s">
        <v>832</v>
      </c>
      <c r="D838" s="19">
        <v>0</v>
      </c>
      <c r="E838" s="20">
        <v>9.9205479452054792</v>
      </c>
      <c r="F838" s="21">
        <v>4.3324999999999996</v>
      </c>
      <c r="G838" s="21">
        <v>-0.24999999999995026</v>
      </c>
      <c r="H838" s="21">
        <v>4.3849</v>
      </c>
      <c r="I838" s="21">
        <v>-5.2400000000000446</v>
      </c>
      <c r="J838" s="19" t="s">
        <v>17</v>
      </c>
      <c r="K838" s="19" t="s">
        <v>19</v>
      </c>
      <c r="L838" s="13">
        <v>4.04</v>
      </c>
      <c r="M838" s="14" t="s">
        <v>833</v>
      </c>
      <c r="N838" s="14" t="s">
        <v>825</v>
      </c>
      <c r="O838" s="4">
        <v>42867</v>
      </c>
    </row>
    <row r="839" spans="1:15">
      <c r="A839" s="7">
        <v>170210</v>
      </c>
      <c r="B839" s="7">
        <v>4.33</v>
      </c>
      <c r="C839" s="18" t="s">
        <v>832</v>
      </c>
      <c r="D839" s="19">
        <v>0</v>
      </c>
      <c r="E839" s="20">
        <v>9.9205479452054792</v>
      </c>
      <c r="F839" s="21">
        <v>4.3324999999999996</v>
      </c>
      <c r="G839" s="21">
        <v>-0.24999999999995026</v>
      </c>
      <c r="H839" s="21">
        <v>4.3849</v>
      </c>
      <c r="I839" s="21">
        <v>-5.2400000000000446</v>
      </c>
      <c r="J839" s="19" t="s">
        <v>17</v>
      </c>
      <c r="K839" s="19" t="s">
        <v>19</v>
      </c>
      <c r="L839" s="13">
        <v>4.04</v>
      </c>
      <c r="M839" s="14" t="s">
        <v>833</v>
      </c>
      <c r="N839" s="14" t="s">
        <v>825</v>
      </c>
      <c r="O839" s="4">
        <v>42867</v>
      </c>
    </row>
    <row r="840" spans="1:15">
      <c r="A840" s="7">
        <v>170210</v>
      </c>
      <c r="B840" s="7">
        <v>4.33</v>
      </c>
      <c r="C840" s="18" t="s">
        <v>832</v>
      </c>
      <c r="D840" s="19">
        <v>0</v>
      </c>
      <c r="E840" s="20">
        <v>9.9205479452054792</v>
      </c>
      <c r="F840" s="21">
        <v>4.3324999999999996</v>
      </c>
      <c r="G840" s="21">
        <v>-0.24999999999995026</v>
      </c>
      <c r="H840" s="21">
        <v>4.3849</v>
      </c>
      <c r="I840" s="21">
        <v>-5.2400000000000446</v>
      </c>
      <c r="J840" s="19" t="s">
        <v>17</v>
      </c>
      <c r="K840" s="19" t="s">
        <v>19</v>
      </c>
      <c r="L840" s="13">
        <v>4.04</v>
      </c>
      <c r="M840" s="14" t="s">
        <v>833</v>
      </c>
      <c r="N840" s="14" t="s">
        <v>825</v>
      </c>
      <c r="O840" s="4">
        <v>42867</v>
      </c>
    </row>
    <row r="841" spans="1:15">
      <c r="A841" s="7">
        <v>170210</v>
      </c>
      <c r="B841" s="7">
        <v>4.33</v>
      </c>
      <c r="C841" s="18" t="s">
        <v>832</v>
      </c>
      <c r="D841" s="19">
        <v>0</v>
      </c>
      <c r="E841" s="20">
        <v>9.9205479452054792</v>
      </c>
      <c r="F841" s="21">
        <v>4.3324999999999996</v>
      </c>
      <c r="G841" s="21">
        <v>-0.24999999999995026</v>
      </c>
      <c r="H841" s="21">
        <v>4.3849</v>
      </c>
      <c r="I841" s="21">
        <v>-5.2400000000000446</v>
      </c>
      <c r="J841" s="19" t="s">
        <v>17</v>
      </c>
      <c r="K841" s="19" t="s">
        <v>19</v>
      </c>
      <c r="L841" s="13">
        <v>4.04</v>
      </c>
      <c r="M841" s="14" t="s">
        <v>833</v>
      </c>
      <c r="N841" s="14" t="s">
        <v>825</v>
      </c>
      <c r="O841" s="4">
        <v>42867</v>
      </c>
    </row>
    <row r="842" spans="1:15">
      <c r="A842" s="7">
        <v>170210</v>
      </c>
      <c r="B842" s="7">
        <v>4.33</v>
      </c>
      <c r="C842" s="18" t="s">
        <v>832</v>
      </c>
      <c r="D842" s="19">
        <v>0</v>
      </c>
      <c r="E842" s="20">
        <v>9.9205479452054792</v>
      </c>
      <c r="F842" s="21">
        <v>4.3324999999999996</v>
      </c>
      <c r="G842" s="21">
        <v>-0.24999999999995026</v>
      </c>
      <c r="H842" s="21">
        <v>4.3849</v>
      </c>
      <c r="I842" s="21">
        <v>-5.2400000000000446</v>
      </c>
      <c r="J842" s="19" t="s">
        <v>17</v>
      </c>
      <c r="K842" s="19" t="s">
        <v>19</v>
      </c>
      <c r="L842" s="13">
        <v>4.04</v>
      </c>
      <c r="M842" s="14" t="s">
        <v>833</v>
      </c>
      <c r="N842" s="14" t="s">
        <v>825</v>
      </c>
      <c r="O842" s="4">
        <v>42867</v>
      </c>
    </row>
    <row r="843" spans="1:15">
      <c r="A843" s="7">
        <v>170210</v>
      </c>
      <c r="B843" s="7">
        <v>4.33</v>
      </c>
      <c r="C843" s="18" t="s">
        <v>832</v>
      </c>
      <c r="D843" s="19">
        <v>0</v>
      </c>
      <c r="E843" s="20">
        <v>9.9205479452054792</v>
      </c>
      <c r="F843" s="21">
        <v>4.3324999999999996</v>
      </c>
      <c r="G843" s="21">
        <v>-0.24999999999995026</v>
      </c>
      <c r="H843" s="21">
        <v>4.3849</v>
      </c>
      <c r="I843" s="21">
        <v>-5.2400000000000446</v>
      </c>
      <c r="J843" s="19" t="s">
        <v>17</v>
      </c>
      <c r="K843" s="19" t="s">
        <v>19</v>
      </c>
      <c r="L843" s="13">
        <v>4.04</v>
      </c>
      <c r="M843" s="14" t="s">
        <v>833</v>
      </c>
      <c r="N843" s="14" t="s">
        <v>825</v>
      </c>
      <c r="O843" s="4">
        <v>42867</v>
      </c>
    </row>
    <row r="844" spans="1:15">
      <c r="A844" s="7">
        <v>170210</v>
      </c>
      <c r="B844" s="7">
        <v>4.33</v>
      </c>
      <c r="C844" s="18" t="s">
        <v>832</v>
      </c>
      <c r="D844" s="19">
        <v>0</v>
      </c>
      <c r="E844" s="20">
        <v>9.9205479452054792</v>
      </c>
      <c r="F844" s="21">
        <v>4.3324999999999996</v>
      </c>
      <c r="G844" s="21">
        <v>-0.24999999999995026</v>
      </c>
      <c r="H844" s="21">
        <v>4.3849</v>
      </c>
      <c r="I844" s="21">
        <v>-5.2400000000000446</v>
      </c>
      <c r="J844" s="19" t="s">
        <v>17</v>
      </c>
      <c r="K844" s="19" t="s">
        <v>19</v>
      </c>
      <c r="L844" s="13">
        <v>4.04</v>
      </c>
      <c r="M844" s="14" t="s">
        <v>833</v>
      </c>
      <c r="N844" s="14" t="s">
        <v>825</v>
      </c>
      <c r="O844" s="4">
        <v>42867</v>
      </c>
    </row>
    <row r="845" spans="1:15">
      <c r="A845" s="7">
        <v>170210</v>
      </c>
      <c r="B845" s="7">
        <v>4.33</v>
      </c>
      <c r="C845" s="18" t="s">
        <v>832</v>
      </c>
      <c r="D845" s="19">
        <v>0</v>
      </c>
      <c r="E845" s="20">
        <v>9.9205479452054792</v>
      </c>
      <c r="F845" s="21">
        <v>4.3324999999999996</v>
      </c>
      <c r="G845" s="21">
        <v>-0.24999999999995026</v>
      </c>
      <c r="H845" s="21">
        <v>4.3849</v>
      </c>
      <c r="I845" s="21">
        <v>-5.2400000000000446</v>
      </c>
      <c r="J845" s="19" t="s">
        <v>17</v>
      </c>
      <c r="K845" s="19" t="s">
        <v>19</v>
      </c>
      <c r="L845" s="13">
        <v>4.04</v>
      </c>
      <c r="M845" s="14" t="s">
        <v>833</v>
      </c>
      <c r="N845" s="14" t="s">
        <v>825</v>
      </c>
      <c r="O845" s="4">
        <v>42867</v>
      </c>
    </row>
    <row r="846" spans="1:15">
      <c r="A846" s="7">
        <v>170210</v>
      </c>
      <c r="B846" s="7">
        <v>4.33</v>
      </c>
      <c r="C846" s="18" t="s">
        <v>832</v>
      </c>
      <c r="D846" s="19">
        <v>0</v>
      </c>
      <c r="E846" s="20">
        <v>9.9205479452054792</v>
      </c>
      <c r="F846" s="21">
        <v>4.3324999999999996</v>
      </c>
      <c r="G846" s="21">
        <v>-0.24999999999995026</v>
      </c>
      <c r="H846" s="21">
        <v>4.3849</v>
      </c>
      <c r="I846" s="21">
        <v>-5.2400000000000446</v>
      </c>
      <c r="J846" s="19" t="s">
        <v>17</v>
      </c>
      <c r="K846" s="19" t="s">
        <v>19</v>
      </c>
      <c r="L846" s="13">
        <v>4.04</v>
      </c>
      <c r="M846" s="14" t="s">
        <v>833</v>
      </c>
      <c r="N846" s="14" t="s">
        <v>825</v>
      </c>
      <c r="O846" s="4">
        <v>42867</v>
      </c>
    </row>
    <row r="847" spans="1:15">
      <c r="A847" s="7">
        <v>170210</v>
      </c>
      <c r="B847" s="7">
        <v>4.33</v>
      </c>
      <c r="C847" s="18" t="s">
        <v>832</v>
      </c>
      <c r="D847" s="19">
        <v>0</v>
      </c>
      <c r="E847" s="20">
        <v>9.9205479452054792</v>
      </c>
      <c r="F847" s="21">
        <v>4.3324999999999996</v>
      </c>
      <c r="G847" s="21">
        <v>-0.24999999999995026</v>
      </c>
      <c r="H847" s="21">
        <v>4.3849</v>
      </c>
      <c r="I847" s="21">
        <v>-5.2400000000000446</v>
      </c>
      <c r="J847" s="19" t="s">
        <v>17</v>
      </c>
      <c r="K847" s="19" t="s">
        <v>19</v>
      </c>
      <c r="L847" s="13">
        <v>4.04</v>
      </c>
      <c r="M847" s="14" t="s">
        <v>833</v>
      </c>
      <c r="N847" s="14" t="s">
        <v>825</v>
      </c>
      <c r="O847" s="4">
        <v>42867</v>
      </c>
    </row>
    <row r="848" spans="1:15">
      <c r="A848" s="7">
        <v>170210</v>
      </c>
      <c r="B848" s="7">
        <v>4.33</v>
      </c>
      <c r="C848" s="18" t="s">
        <v>832</v>
      </c>
      <c r="D848" s="19">
        <v>0</v>
      </c>
      <c r="E848" s="20">
        <v>9.9205479452054792</v>
      </c>
      <c r="F848" s="21">
        <v>4.3324999999999996</v>
      </c>
      <c r="G848" s="21">
        <v>-0.24999999999995026</v>
      </c>
      <c r="H848" s="21">
        <v>4.3849</v>
      </c>
      <c r="I848" s="21">
        <v>-5.2400000000000446</v>
      </c>
      <c r="J848" s="19" t="s">
        <v>17</v>
      </c>
      <c r="K848" s="19" t="s">
        <v>19</v>
      </c>
      <c r="L848" s="13">
        <v>4.04</v>
      </c>
      <c r="M848" s="14" t="s">
        <v>833</v>
      </c>
      <c r="N848" s="14" t="s">
        <v>825</v>
      </c>
      <c r="O848" s="4">
        <v>42867</v>
      </c>
    </row>
    <row r="849" spans="1:15">
      <c r="A849" s="7">
        <v>170210</v>
      </c>
      <c r="B849" s="7">
        <v>4.33</v>
      </c>
      <c r="C849" s="18" t="s">
        <v>832</v>
      </c>
      <c r="D849" s="19">
        <v>0</v>
      </c>
      <c r="E849" s="20">
        <v>9.9205479452054792</v>
      </c>
      <c r="F849" s="21">
        <v>4.3324999999999996</v>
      </c>
      <c r="G849" s="21">
        <v>-0.24999999999995026</v>
      </c>
      <c r="H849" s="21">
        <v>4.3849</v>
      </c>
      <c r="I849" s="21">
        <v>-5.2400000000000446</v>
      </c>
      <c r="J849" s="19" t="s">
        <v>17</v>
      </c>
      <c r="K849" s="19" t="s">
        <v>19</v>
      </c>
      <c r="L849" s="13">
        <v>4.04</v>
      </c>
      <c r="M849" s="14" t="s">
        <v>833</v>
      </c>
      <c r="N849" s="14" t="s">
        <v>825</v>
      </c>
      <c r="O849" s="4">
        <v>42867</v>
      </c>
    </row>
    <row r="850" spans="1:15">
      <c r="A850" s="7">
        <v>170210</v>
      </c>
      <c r="B850" s="7">
        <v>4.33</v>
      </c>
      <c r="C850" s="18" t="s">
        <v>832</v>
      </c>
      <c r="D850" s="19">
        <v>0</v>
      </c>
      <c r="E850" s="20">
        <v>9.9205479452054792</v>
      </c>
      <c r="F850" s="21">
        <v>4.3324999999999996</v>
      </c>
      <c r="G850" s="21">
        <v>-0.24999999999995026</v>
      </c>
      <c r="H850" s="21">
        <v>4.3849</v>
      </c>
      <c r="I850" s="21">
        <v>-5.2400000000000446</v>
      </c>
      <c r="J850" s="19" t="s">
        <v>17</v>
      </c>
      <c r="K850" s="19" t="s">
        <v>19</v>
      </c>
      <c r="L850" s="13">
        <v>4.04</v>
      </c>
      <c r="M850" s="14" t="s">
        <v>833</v>
      </c>
      <c r="N850" s="14" t="s">
        <v>825</v>
      </c>
      <c r="O850" s="4">
        <v>42867</v>
      </c>
    </row>
    <row r="851" spans="1:15">
      <c r="A851" s="7">
        <v>170210</v>
      </c>
      <c r="B851" s="7">
        <v>4.33</v>
      </c>
      <c r="C851" s="18" t="s">
        <v>832</v>
      </c>
      <c r="D851" s="19">
        <v>0</v>
      </c>
      <c r="E851" s="20">
        <v>9.9205479452054792</v>
      </c>
      <c r="F851" s="21">
        <v>4.3324999999999996</v>
      </c>
      <c r="G851" s="21">
        <v>-0.24999999999995026</v>
      </c>
      <c r="H851" s="21">
        <v>4.3849</v>
      </c>
      <c r="I851" s="21">
        <v>-5.2400000000000446</v>
      </c>
      <c r="J851" s="19" t="s">
        <v>17</v>
      </c>
      <c r="K851" s="19" t="s">
        <v>19</v>
      </c>
      <c r="L851" s="13">
        <v>4.04</v>
      </c>
      <c r="M851" s="14" t="s">
        <v>833</v>
      </c>
      <c r="N851" s="14" t="s">
        <v>825</v>
      </c>
      <c r="O851" s="4">
        <v>42867</v>
      </c>
    </row>
    <row r="852" spans="1:15">
      <c r="A852" s="7">
        <v>170210</v>
      </c>
      <c r="B852" s="7">
        <v>4.33</v>
      </c>
      <c r="C852" s="18" t="s">
        <v>832</v>
      </c>
      <c r="D852" s="19">
        <v>0</v>
      </c>
      <c r="E852" s="20">
        <v>9.9205479452054792</v>
      </c>
      <c r="F852" s="21">
        <v>4.3324999999999996</v>
      </c>
      <c r="G852" s="21">
        <v>-0.24999999999995026</v>
      </c>
      <c r="H852" s="21">
        <v>4.3849</v>
      </c>
      <c r="I852" s="21">
        <v>-5.2400000000000446</v>
      </c>
      <c r="J852" s="19" t="s">
        <v>17</v>
      </c>
      <c r="K852" s="19" t="s">
        <v>19</v>
      </c>
      <c r="L852" s="13">
        <v>4.04</v>
      </c>
      <c r="M852" s="14" t="s">
        <v>833</v>
      </c>
      <c r="N852" s="14" t="s">
        <v>825</v>
      </c>
      <c r="O852" s="4">
        <v>42867</v>
      </c>
    </row>
    <row r="853" spans="1:15">
      <c r="A853" s="7">
        <v>170210</v>
      </c>
      <c r="B853" s="7">
        <v>4.33</v>
      </c>
      <c r="C853" s="18" t="s">
        <v>832</v>
      </c>
      <c r="D853" s="19">
        <v>0</v>
      </c>
      <c r="E853" s="20">
        <v>9.9205479452054792</v>
      </c>
      <c r="F853" s="21">
        <v>4.3324999999999996</v>
      </c>
      <c r="G853" s="21">
        <v>-0.24999999999995026</v>
      </c>
      <c r="H853" s="21">
        <v>4.3849</v>
      </c>
      <c r="I853" s="21">
        <v>-5.2400000000000446</v>
      </c>
      <c r="J853" s="19" t="s">
        <v>17</v>
      </c>
      <c r="K853" s="19" t="s">
        <v>19</v>
      </c>
      <c r="L853" s="13">
        <v>4.04</v>
      </c>
      <c r="M853" s="14" t="s">
        <v>833</v>
      </c>
      <c r="N853" s="14" t="s">
        <v>825</v>
      </c>
      <c r="O853" s="4">
        <v>42867</v>
      </c>
    </row>
    <row r="854" spans="1:15">
      <c r="A854" s="7">
        <v>170210</v>
      </c>
      <c r="B854" s="7">
        <v>4.33</v>
      </c>
      <c r="C854" s="18" t="s">
        <v>832</v>
      </c>
      <c r="D854" s="19">
        <v>0</v>
      </c>
      <c r="E854" s="20">
        <v>9.9205479452054792</v>
      </c>
      <c r="F854" s="21">
        <v>4.3324999999999996</v>
      </c>
      <c r="G854" s="21">
        <v>-0.24999999999995026</v>
      </c>
      <c r="H854" s="21">
        <v>4.3849</v>
      </c>
      <c r="I854" s="21">
        <v>-5.2400000000000446</v>
      </c>
      <c r="J854" s="19" t="s">
        <v>17</v>
      </c>
      <c r="K854" s="19" t="s">
        <v>19</v>
      </c>
      <c r="L854" s="13">
        <v>4.04</v>
      </c>
      <c r="M854" s="14" t="s">
        <v>833</v>
      </c>
      <c r="N854" s="14" t="s">
        <v>825</v>
      </c>
      <c r="O854" s="4">
        <v>42867</v>
      </c>
    </row>
    <row r="855" spans="1:15">
      <c r="A855" s="7">
        <v>170210</v>
      </c>
      <c r="B855" s="7">
        <v>4.33</v>
      </c>
      <c r="C855" s="18" t="s">
        <v>832</v>
      </c>
      <c r="D855" s="19">
        <v>0</v>
      </c>
      <c r="E855" s="20">
        <v>9.9205479452054792</v>
      </c>
      <c r="F855" s="21">
        <v>4.3324999999999996</v>
      </c>
      <c r="G855" s="21">
        <v>-0.24999999999995026</v>
      </c>
      <c r="H855" s="21">
        <v>4.3849</v>
      </c>
      <c r="I855" s="21">
        <v>-5.2400000000000446</v>
      </c>
      <c r="J855" s="19" t="s">
        <v>17</v>
      </c>
      <c r="K855" s="19" t="s">
        <v>19</v>
      </c>
      <c r="L855" s="13">
        <v>4.04</v>
      </c>
      <c r="M855" s="14" t="s">
        <v>833</v>
      </c>
      <c r="N855" s="14" t="s">
        <v>825</v>
      </c>
      <c r="O855" s="4">
        <v>42867</v>
      </c>
    </row>
    <row r="856" spans="1:15">
      <c r="A856" s="7">
        <v>170210</v>
      </c>
      <c r="B856" s="7">
        <v>4.33</v>
      </c>
      <c r="C856" s="18" t="s">
        <v>832</v>
      </c>
      <c r="D856" s="19">
        <v>0</v>
      </c>
      <c r="E856" s="20">
        <v>9.9205479452054792</v>
      </c>
      <c r="F856" s="21">
        <v>4.3324999999999996</v>
      </c>
      <c r="G856" s="21">
        <v>-0.24999999999995026</v>
      </c>
      <c r="H856" s="21">
        <v>4.3849</v>
      </c>
      <c r="I856" s="21">
        <v>-5.2400000000000446</v>
      </c>
      <c r="J856" s="19" t="s">
        <v>17</v>
      </c>
      <c r="K856" s="19" t="s">
        <v>19</v>
      </c>
      <c r="L856" s="13">
        <v>4.04</v>
      </c>
      <c r="M856" s="14" t="s">
        <v>833</v>
      </c>
      <c r="N856" s="14" t="s">
        <v>825</v>
      </c>
      <c r="O856" s="4">
        <v>42867</v>
      </c>
    </row>
    <row r="857" spans="1:15">
      <c r="A857" s="7">
        <v>170210</v>
      </c>
      <c r="B857" s="7">
        <v>4.33</v>
      </c>
      <c r="C857" s="18" t="s">
        <v>832</v>
      </c>
      <c r="D857" s="19">
        <v>0</v>
      </c>
      <c r="E857" s="20">
        <v>9.9205479452054792</v>
      </c>
      <c r="F857" s="21">
        <v>4.3324999999999996</v>
      </c>
      <c r="G857" s="21">
        <v>-0.24999999999995026</v>
      </c>
      <c r="H857" s="21">
        <v>4.3849</v>
      </c>
      <c r="I857" s="21">
        <v>-5.2400000000000446</v>
      </c>
      <c r="J857" s="19" t="s">
        <v>17</v>
      </c>
      <c r="K857" s="19" t="s">
        <v>19</v>
      </c>
      <c r="L857" s="13">
        <v>4.04</v>
      </c>
      <c r="M857" s="14" t="s">
        <v>833</v>
      </c>
      <c r="N857" s="14" t="s">
        <v>825</v>
      </c>
      <c r="O857" s="4">
        <v>42867</v>
      </c>
    </row>
    <row r="858" spans="1:15">
      <c r="A858" s="7">
        <v>170210</v>
      </c>
      <c r="B858" s="7">
        <v>4.33</v>
      </c>
      <c r="C858" s="18" t="s">
        <v>832</v>
      </c>
      <c r="D858" s="19">
        <v>0</v>
      </c>
      <c r="E858" s="20">
        <v>9.9205479452054792</v>
      </c>
      <c r="F858" s="21">
        <v>4.3324999999999996</v>
      </c>
      <c r="G858" s="21">
        <v>-0.24999999999995026</v>
      </c>
      <c r="H858" s="21">
        <v>4.3849</v>
      </c>
      <c r="I858" s="21">
        <v>-5.2400000000000446</v>
      </c>
      <c r="J858" s="19" t="s">
        <v>17</v>
      </c>
      <c r="K858" s="19" t="s">
        <v>19</v>
      </c>
      <c r="L858" s="13">
        <v>4.04</v>
      </c>
      <c r="M858" s="14" t="s">
        <v>833</v>
      </c>
      <c r="N858" s="14" t="s">
        <v>825</v>
      </c>
      <c r="O858" s="4">
        <v>42867</v>
      </c>
    </row>
    <row r="859" spans="1:15">
      <c r="A859" s="7">
        <v>170210</v>
      </c>
      <c r="B859" s="7">
        <v>4.33</v>
      </c>
      <c r="C859" s="18" t="s">
        <v>832</v>
      </c>
      <c r="D859" s="19">
        <v>0</v>
      </c>
      <c r="E859" s="20">
        <v>9.9205479452054792</v>
      </c>
      <c r="F859" s="21">
        <v>4.3324999999999996</v>
      </c>
      <c r="G859" s="21">
        <v>-0.24999999999995026</v>
      </c>
      <c r="H859" s="21">
        <v>4.3849</v>
      </c>
      <c r="I859" s="21">
        <v>-5.2400000000000446</v>
      </c>
      <c r="J859" s="19" t="s">
        <v>17</v>
      </c>
      <c r="K859" s="19" t="s">
        <v>19</v>
      </c>
      <c r="L859" s="13">
        <v>4.04</v>
      </c>
      <c r="M859" s="14" t="s">
        <v>833</v>
      </c>
      <c r="N859" s="14" t="s">
        <v>825</v>
      </c>
      <c r="O859" s="4">
        <v>42867</v>
      </c>
    </row>
    <row r="860" spans="1:15">
      <c r="A860" s="7">
        <v>170210</v>
      </c>
      <c r="B860" s="7">
        <v>4.33</v>
      </c>
      <c r="C860" s="18" t="s">
        <v>832</v>
      </c>
      <c r="D860" s="19">
        <v>0</v>
      </c>
      <c r="E860" s="20">
        <v>9.9205479452054792</v>
      </c>
      <c r="F860" s="21">
        <v>4.3324999999999996</v>
      </c>
      <c r="G860" s="21">
        <v>-0.24999999999995026</v>
      </c>
      <c r="H860" s="21">
        <v>4.3849</v>
      </c>
      <c r="I860" s="21">
        <v>-5.2400000000000446</v>
      </c>
      <c r="J860" s="19" t="s">
        <v>17</v>
      </c>
      <c r="K860" s="19" t="s">
        <v>19</v>
      </c>
      <c r="L860" s="13">
        <v>4.04</v>
      </c>
      <c r="M860" s="14" t="s">
        <v>833</v>
      </c>
      <c r="N860" s="14" t="s">
        <v>825</v>
      </c>
      <c r="O860" s="4">
        <v>42867</v>
      </c>
    </row>
    <row r="861" spans="1:15">
      <c r="A861" s="7">
        <v>170210</v>
      </c>
      <c r="B861" s="7">
        <v>4.33</v>
      </c>
      <c r="C861" s="18" t="s">
        <v>832</v>
      </c>
      <c r="D861" s="19">
        <v>0</v>
      </c>
      <c r="E861" s="20">
        <v>9.9205479452054792</v>
      </c>
      <c r="F861" s="21">
        <v>4.3324999999999996</v>
      </c>
      <c r="G861" s="21">
        <v>-0.24999999999995026</v>
      </c>
      <c r="H861" s="21">
        <v>4.3849</v>
      </c>
      <c r="I861" s="21">
        <v>-5.2400000000000446</v>
      </c>
      <c r="J861" s="19" t="s">
        <v>17</v>
      </c>
      <c r="K861" s="19" t="s">
        <v>19</v>
      </c>
      <c r="L861" s="13">
        <v>4.04</v>
      </c>
      <c r="M861" s="14" t="s">
        <v>833</v>
      </c>
      <c r="N861" s="14" t="s">
        <v>825</v>
      </c>
      <c r="O861" s="4">
        <v>42867</v>
      </c>
    </row>
    <row r="862" spans="1:15">
      <c r="A862" s="7">
        <v>170210</v>
      </c>
      <c r="B862" s="7">
        <v>4.33</v>
      </c>
      <c r="C862" s="18" t="s">
        <v>832</v>
      </c>
      <c r="D862" s="19">
        <v>0</v>
      </c>
      <c r="E862" s="20">
        <v>9.9205479452054792</v>
      </c>
      <c r="F862" s="21">
        <v>4.3324999999999996</v>
      </c>
      <c r="G862" s="21">
        <v>-0.24999999999995026</v>
      </c>
      <c r="H862" s="21">
        <v>4.3849</v>
      </c>
      <c r="I862" s="21">
        <v>-5.2400000000000446</v>
      </c>
      <c r="J862" s="19" t="s">
        <v>17</v>
      </c>
      <c r="K862" s="19" t="s">
        <v>19</v>
      </c>
      <c r="L862" s="13">
        <v>4.04</v>
      </c>
      <c r="M862" s="14" t="s">
        <v>833</v>
      </c>
      <c r="N862" s="14" t="s">
        <v>825</v>
      </c>
      <c r="O862" s="4">
        <v>42867</v>
      </c>
    </row>
    <row r="863" spans="1:15">
      <c r="A863" s="7">
        <v>170210</v>
      </c>
      <c r="B863" s="7">
        <v>4.33</v>
      </c>
      <c r="C863" s="18" t="s">
        <v>832</v>
      </c>
      <c r="D863" s="19">
        <v>0</v>
      </c>
      <c r="E863" s="20">
        <v>9.9205479452054792</v>
      </c>
      <c r="F863" s="21">
        <v>4.3324999999999996</v>
      </c>
      <c r="G863" s="21">
        <v>-0.24999999999995026</v>
      </c>
      <c r="H863" s="21">
        <v>4.3849</v>
      </c>
      <c r="I863" s="21">
        <v>-5.2400000000000446</v>
      </c>
      <c r="J863" s="19" t="s">
        <v>17</v>
      </c>
      <c r="K863" s="19" t="s">
        <v>19</v>
      </c>
      <c r="L863" s="13">
        <v>4.04</v>
      </c>
      <c r="M863" s="14" t="s">
        <v>833</v>
      </c>
      <c r="N863" s="14" t="s">
        <v>825</v>
      </c>
      <c r="O863" s="4">
        <v>42867</v>
      </c>
    </row>
    <row r="864" spans="1:15">
      <c r="A864" s="7">
        <v>170210</v>
      </c>
      <c r="B864" s="7">
        <v>4.33</v>
      </c>
      <c r="C864" s="18" t="s">
        <v>832</v>
      </c>
      <c r="D864" s="19">
        <v>0</v>
      </c>
      <c r="E864" s="20">
        <v>9.9205479452054792</v>
      </c>
      <c r="F864" s="21">
        <v>4.3324999999999996</v>
      </c>
      <c r="G864" s="21">
        <v>-0.24999999999995026</v>
      </c>
      <c r="H864" s="21">
        <v>4.3849</v>
      </c>
      <c r="I864" s="21">
        <v>-5.2400000000000446</v>
      </c>
      <c r="J864" s="19" t="s">
        <v>17</v>
      </c>
      <c r="K864" s="19" t="s">
        <v>19</v>
      </c>
      <c r="L864" s="13">
        <v>4.04</v>
      </c>
      <c r="M864" s="14" t="s">
        <v>833</v>
      </c>
      <c r="N864" s="14" t="s">
        <v>825</v>
      </c>
      <c r="O864" s="4">
        <v>42867</v>
      </c>
    </row>
    <row r="865" spans="1:15">
      <c r="A865" s="7">
        <v>170210</v>
      </c>
      <c r="B865" s="7">
        <v>4.33</v>
      </c>
      <c r="C865" s="18" t="s">
        <v>832</v>
      </c>
      <c r="D865" s="19">
        <v>0</v>
      </c>
      <c r="E865" s="20">
        <v>9.9205479452054792</v>
      </c>
      <c r="F865" s="21">
        <v>4.3324999999999996</v>
      </c>
      <c r="G865" s="21">
        <v>-0.24999999999995026</v>
      </c>
      <c r="H865" s="21">
        <v>4.3849</v>
      </c>
      <c r="I865" s="21">
        <v>-5.2400000000000446</v>
      </c>
      <c r="J865" s="19" t="s">
        <v>17</v>
      </c>
      <c r="K865" s="19" t="s">
        <v>19</v>
      </c>
      <c r="L865" s="13">
        <v>4.04</v>
      </c>
      <c r="M865" s="14" t="s">
        <v>833</v>
      </c>
      <c r="N865" s="14" t="s">
        <v>825</v>
      </c>
      <c r="O865" s="4">
        <v>42867</v>
      </c>
    </row>
    <row r="866" spans="1:15">
      <c r="A866" s="7">
        <v>170210</v>
      </c>
      <c r="B866" s="7">
        <v>4.33</v>
      </c>
      <c r="C866" s="18" t="s">
        <v>832</v>
      </c>
      <c r="D866" s="19">
        <v>0</v>
      </c>
      <c r="E866" s="20">
        <v>9.9205479452054792</v>
      </c>
      <c r="F866" s="21">
        <v>4.3324999999999996</v>
      </c>
      <c r="G866" s="21">
        <v>-0.24999999999995026</v>
      </c>
      <c r="H866" s="21">
        <v>4.3849</v>
      </c>
      <c r="I866" s="21">
        <v>-5.2400000000000446</v>
      </c>
      <c r="J866" s="19" t="s">
        <v>17</v>
      </c>
      <c r="K866" s="19" t="s">
        <v>19</v>
      </c>
      <c r="L866" s="13">
        <v>4.04</v>
      </c>
      <c r="M866" s="14" t="s">
        <v>833</v>
      </c>
      <c r="N866" s="14" t="s">
        <v>825</v>
      </c>
      <c r="O866" s="4">
        <v>42867</v>
      </c>
    </row>
    <row r="867" spans="1:15">
      <c r="A867" s="7">
        <v>170210</v>
      </c>
      <c r="B867" s="7">
        <v>4.33</v>
      </c>
      <c r="C867" s="18" t="s">
        <v>832</v>
      </c>
      <c r="D867" s="19">
        <v>0</v>
      </c>
      <c r="E867" s="20">
        <v>9.9205479452054792</v>
      </c>
      <c r="F867" s="21">
        <v>4.3324999999999996</v>
      </c>
      <c r="G867" s="21">
        <v>-0.24999999999995026</v>
      </c>
      <c r="H867" s="21">
        <v>4.3849</v>
      </c>
      <c r="I867" s="21">
        <v>-5.2400000000000446</v>
      </c>
      <c r="J867" s="19" t="s">
        <v>17</v>
      </c>
      <c r="K867" s="19" t="s">
        <v>19</v>
      </c>
      <c r="L867" s="13">
        <v>4.04</v>
      </c>
      <c r="M867" s="14" t="s">
        <v>833</v>
      </c>
      <c r="N867" s="14" t="s">
        <v>825</v>
      </c>
      <c r="O867" s="4">
        <v>42867</v>
      </c>
    </row>
    <row r="868" spans="1:15">
      <c r="A868" s="7">
        <v>170210</v>
      </c>
      <c r="B868" s="7">
        <v>4.33</v>
      </c>
      <c r="C868" s="18" t="s">
        <v>832</v>
      </c>
      <c r="D868" s="19">
        <v>0</v>
      </c>
      <c r="E868" s="20">
        <v>9.9205479452054792</v>
      </c>
      <c r="F868" s="21">
        <v>4.3324999999999996</v>
      </c>
      <c r="G868" s="21">
        <v>-0.24999999999995026</v>
      </c>
      <c r="H868" s="21">
        <v>4.3849</v>
      </c>
      <c r="I868" s="21">
        <v>-5.2400000000000446</v>
      </c>
      <c r="J868" s="19" t="s">
        <v>17</v>
      </c>
      <c r="K868" s="19" t="s">
        <v>19</v>
      </c>
      <c r="L868" s="13">
        <v>4.04</v>
      </c>
      <c r="M868" s="14" t="s">
        <v>833</v>
      </c>
      <c r="N868" s="14" t="s">
        <v>825</v>
      </c>
      <c r="O868" s="4">
        <v>42867</v>
      </c>
    </row>
    <row r="869" spans="1:15">
      <c r="A869" s="7">
        <v>170210</v>
      </c>
      <c r="B869" s="7">
        <v>4.33</v>
      </c>
      <c r="C869" s="18" t="s">
        <v>832</v>
      </c>
      <c r="D869" s="19">
        <v>0</v>
      </c>
      <c r="E869" s="20">
        <v>9.9205479452054792</v>
      </c>
      <c r="F869" s="21">
        <v>4.3324999999999996</v>
      </c>
      <c r="G869" s="21">
        <v>-0.24999999999995026</v>
      </c>
      <c r="H869" s="21">
        <v>4.3849</v>
      </c>
      <c r="I869" s="21">
        <v>-5.2400000000000446</v>
      </c>
      <c r="J869" s="19" t="s">
        <v>17</v>
      </c>
      <c r="K869" s="19" t="s">
        <v>19</v>
      </c>
      <c r="L869" s="13">
        <v>4.04</v>
      </c>
      <c r="M869" s="14" t="s">
        <v>833</v>
      </c>
      <c r="N869" s="14" t="s">
        <v>825</v>
      </c>
      <c r="O869" s="4">
        <v>42867</v>
      </c>
    </row>
    <row r="870" spans="1:15">
      <c r="A870" s="7">
        <v>170210</v>
      </c>
      <c r="B870" s="7">
        <v>4.33</v>
      </c>
      <c r="C870" s="18" t="s">
        <v>832</v>
      </c>
      <c r="D870" s="19">
        <v>0</v>
      </c>
      <c r="E870" s="20">
        <v>9.9205479452054792</v>
      </c>
      <c r="F870" s="21">
        <v>4.3324999999999996</v>
      </c>
      <c r="G870" s="21">
        <v>-0.24999999999995026</v>
      </c>
      <c r="H870" s="21">
        <v>4.3849</v>
      </c>
      <c r="I870" s="21">
        <v>-5.2400000000000446</v>
      </c>
      <c r="J870" s="19" t="s">
        <v>17</v>
      </c>
      <c r="K870" s="19" t="s">
        <v>19</v>
      </c>
      <c r="L870" s="13">
        <v>4.04</v>
      </c>
      <c r="M870" s="14" t="s">
        <v>833</v>
      </c>
      <c r="N870" s="14" t="s">
        <v>825</v>
      </c>
      <c r="O870" s="4">
        <v>42867</v>
      </c>
    </row>
    <row r="871" spans="1:15">
      <c r="A871" s="7">
        <v>170210</v>
      </c>
      <c r="B871" s="7">
        <v>4.3274999999999997</v>
      </c>
      <c r="C871" s="18" t="s">
        <v>832</v>
      </c>
      <c r="D871" s="19">
        <v>0</v>
      </c>
      <c r="E871" s="20">
        <v>9.9205479452054792</v>
      </c>
      <c r="F871" s="21">
        <v>4.3324999999999996</v>
      </c>
      <c r="G871" s="21">
        <v>-0.49999999999998934</v>
      </c>
      <c r="H871" s="21">
        <v>4.3849</v>
      </c>
      <c r="I871" s="21">
        <v>-5.2400000000000446</v>
      </c>
      <c r="J871" s="19" t="s">
        <v>17</v>
      </c>
      <c r="K871" s="19" t="s">
        <v>19</v>
      </c>
      <c r="L871" s="13">
        <v>4.04</v>
      </c>
      <c r="M871" s="14" t="s">
        <v>833</v>
      </c>
      <c r="N871" s="14" t="s">
        <v>825</v>
      </c>
      <c r="O871" s="4">
        <v>42867</v>
      </c>
    </row>
    <row r="872" spans="1:15">
      <c r="A872" s="7">
        <v>170210</v>
      </c>
      <c r="B872" s="7">
        <v>4.3274999999999997</v>
      </c>
      <c r="C872" s="18" t="s">
        <v>832</v>
      </c>
      <c r="D872" s="19">
        <v>0</v>
      </c>
      <c r="E872" s="20">
        <v>9.9205479452054792</v>
      </c>
      <c r="F872" s="21">
        <v>4.3324999999999996</v>
      </c>
      <c r="G872" s="21">
        <v>-0.49999999999998934</v>
      </c>
      <c r="H872" s="21">
        <v>4.3849</v>
      </c>
      <c r="I872" s="21">
        <v>-5.2400000000000446</v>
      </c>
      <c r="J872" s="19" t="s">
        <v>17</v>
      </c>
      <c r="K872" s="19" t="s">
        <v>19</v>
      </c>
      <c r="L872" s="13">
        <v>4.04</v>
      </c>
      <c r="M872" s="14" t="s">
        <v>833</v>
      </c>
      <c r="N872" s="14" t="s">
        <v>825</v>
      </c>
      <c r="O872" s="4">
        <v>42867</v>
      </c>
    </row>
    <row r="873" spans="1:15">
      <c r="A873" s="7">
        <v>170210</v>
      </c>
      <c r="B873" s="7">
        <v>4.3274999999999997</v>
      </c>
      <c r="C873" s="18" t="s">
        <v>832</v>
      </c>
      <c r="D873" s="19">
        <v>0</v>
      </c>
      <c r="E873" s="20">
        <v>9.9205479452054792</v>
      </c>
      <c r="F873" s="21">
        <v>4.3324999999999996</v>
      </c>
      <c r="G873" s="21">
        <v>-0.49999999999998934</v>
      </c>
      <c r="H873" s="21">
        <v>4.3849</v>
      </c>
      <c r="I873" s="21">
        <v>-5.2400000000000446</v>
      </c>
      <c r="J873" s="19" t="s">
        <v>17</v>
      </c>
      <c r="K873" s="19" t="s">
        <v>19</v>
      </c>
      <c r="L873" s="13">
        <v>4.04</v>
      </c>
      <c r="M873" s="14" t="s">
        <v>833</v>
      </c>
      <c r="N873" s="14" t="s">
        <v>825</v>
      </c>
      <c r="O873" s="4">
        <v>42867</v>
      </c>
    </row>
    <row r="874" spans="1:15">
      <c r="A874" s="7">
        <v>170210</v>
      </c>
      <c r="B874" s="7">
        <v>4.3274999999999997</v>
      </c>
      <c r="C874" s="18" t="s">
        <v>832</v>
      </c>
      <c r="D874" s="19">
        <v>0</v>
      </c>
      <c r="E874" s="20">
        <v>9.9205479452054792</v>
      </c>
      <c r="F874" s="21">
        <v>4.3324999999999996</v>
      </c>
      <c r="G874" s="21">
        <v>-0.49999999999998934</v>
      </c>
      <c r="H874" s="21">
        <v>4.3849</v>
      </c>
      <c r="I874" s="21">
        <v>-5.2400000000000446</v>
      </c>
      <c r="J874" s="19" t="s">
        <v>17</v>
      </c>
      <c r="K874" s="19" t="s">
        <v>19</v>
      </c>
      <c r="L874" s="13">
        <v>4.04</v>
      </c>
      <c r="M874" s="14" t="s">
        <v>833</v>
      </c>
      <c r="N874" s="14" t="s">
        <v>825</v>
      </c>
      <c r="O874" s="4">
        <v>42867</v>
      </c>
    </row>
    <row r="875" spans="1:15">
      <c r="A875" s="7">
        <v>170210</v>
      </c>
      <c r="B875" s="7">
        <v>4.3274999999999997</v>
      </c>
      <c r="C875" s="18" t="s">
        <v>832</v>
      </c>
      <c r="D875" s="19">
        <v>0</v>
      </c>
      <c r="E875" s="20">
        <v>9.9205479452054792</v>
      </c>
      <c r="F875" s="21">
        <v>4.3324999999999996</v>
      </c>
      <c r="G875" s="21">
        <v>-0.49999999999998934</v>
      </c>
      <c r="H875" s="21">
        <v>4.3849</v>
      </c>
      <c r="I875" s="21">
        <v>-5.2400000000000446</v>
      </c>
      <c r="J875" s="19" t="s">
        <v>17</v>
      </c>
      <c r="K875" s="19" t="s">
        <v>19</v>
      </c>
      <c r="L875" s="13">
        <v>4.04</v>
      </c>
      <c r="M875" s="14" t="s">
        <v>833</v>
      </c>
      <c r="N875" s="14" t="s">
        <v>825</v>
      </c>
      <c r="O875" s="4">
        <v>42867</v>
      </c>
    </row>
    <row r="876" spans="1:15">
      <c r="A876" s="7">
        <v>170210</v>
      </c>
      <c r="B876" s="7">
        <v>4.3274999999999997</v>
      </c>
      <c r="C876" s="18" t="s">
        <v>832</v>
      </c>
      <c r="D876" s="19">
        <v>0</v>
      </c>
      <c r="E876" s="20">
        <v>9.9205479452054792</v>
      </c>
      <c r="F876" s="21">
        <v>4.3324999999999996</v>
      </c>
      <c r="G876" s="21">
        <v>-0.49999999999998934</v>
      </c>
      <c r="H876" s="21">
        <v>4.3849</v>
      </c>
      <c r="I876" s="21">
        <v>-5.2400000000000446</v>
      </c>
      <c r="J876" s="19" t="s">
        <v>17</v>
      </c>
      <c r="K876" s="19" t="s">
        <v>19</v>
      </c>
      <c r="L876" s="13">
        <v>4.04</v>
      </c>
      <c r="M876" s="14" t="s">
        <v>833</v>
      </c>
      <c r="N876" s="14" t="s">
        <v>825</v>
      </c>
      <c r="O876" s="4">
        <v>42867</v>
      </c>
    </row>
    <row r="877" spans="1:15">
      <c r="A877" s="7">
        <v>170210</v>
      </c>
      <c r="B877" s="7">
        <v>4.3274999999999997</v>
      </c>
      <c r="C877" s="18" t="s">
        <v>832</v>
      </c>
      <c r="D877" s="19">
        <v>0</v>
      </c>
      <c r="E877" s="20">
        <v>9.9205479452054792</v>
      </c>
      <c r="F877" s="21">
        <v>4.3324999999999996</v>
      </c>
      <c r="G877" s="21">
        <v>-0.49999999999998934</v>
      </c>
      <c r="H877" s="21">
        <v>4.3849</v>
      </c>
      <c r="I877" s="21">
        <v>-5.2400000000000446</v>
      </c>
      <c r="J877" s="19" t="s">
        <v>17</v>
      </c>
      <c r="K877" s="19" t="s">
        <v>19</v>
      </c>
      <c r="L877" s="13">
        <v>4.04</v>
      </c>
      <c r="M877" s="14" t="s">
        <v>833</v>
      </c>
      <c r="N877" s="14" t="s">
        <v>825</v>
      </c>
      <c r="O877" s="4">
        <v>42867</v>
      </c>
    </row>
    <row r="878" spans="1:15">
      <c r="A878" s="7">
        <v>170210</v>
      </c>
      <c r="B878" s="7">
        <v>4.3274999999999997</v>
      </c>
      <c r="C878" s="18" t="s">
        <v>832</v>
      </c>
      <c r="D878" s="19">
        <v>0</v>
      </c>
      <c r="E878" s="20">
        <v>9.9205479452054792</v>
      </c>
      <c r="F878" s="21">
        <v>4.3324999999999996</v>
      </c>
      <c r="G878" s="21">
        <v>-0.49999999999998934</v>
      </c>
      <c r="H878" s="21">
        <v>4.3849</v>
      </c>
      <c r="I878" s="21">
        <v>-5.2400000000000446</v>
      </c>
      <c r="J878" s="19" t="s">
        <v>17</v>
      </c>
      <c r="K878" s="19" t="s">
        <v>19</v>
      </c>
      <c r="L878" s="13">
        <v>4.04</v>
      </c>
      <c r="M878" s="14" t="s">
        <v>833</v>
      </c>
      <c r="N878" s="14" t="s">
        <v>825</v>
      </c>
      <c r="O878" s="4">
        <v>42867</v>
      </c>
    </row>
    <row r="879" spans="1:15">
      <c r="A879" s="7">
        <v>170210</v>
      </c>
      <c r="B879" s="7">
        <v>4.3274999999999997</v>
      </c>
      <c r="C879" s="18" t="s">
        <v>832</v>
      </c>
      <c r="D879" s="19">
        <v>0</v>
      </c>
      <c r="E879" s="20">
        <v>9.9205479452054792</v>
      </c>
      <c r="F879" s="21">
        <v>4.3324999999999996</v>
      </c>
      <c r="G879" s="21">
        <v>-0.49999999999998934</v>
      </c>
      <c r="H879" s="21">
        <v>4.3849</v>
      </c>
      <c r="I879" s="21">
        <v>-5.2400000000000446</v>
      </c>
      <c r="J879" s="19" t="s">
        <v>17</v>
      </c>
      <c r="K879" s="19" t="s">
        <v>19</v>
      </c>
      <c r="L879" s="13">
        <v>4.04</v>
      </c>
      <c r="M879" s="14" t="s">
        <v>833</v>
      </c>
      <c r="N879" s="14" t="s">
        <v>825</v>
      </c>
      <c r="O879" s="4">
        <v>42867</v>
      </c>
    </row>
    <row r="880" spans="1:15">
      <c r="A880" s="7">
        <v>170210</v>
      </c>
      <c r="B880" s="7">
        <v>4.3274999999999997</v>
      </c>
      <c r="C880" s="18" t="s">
        <v>832</v>
      </c>
      <c r="D880" s="19">
        <v>0</v>
      </c>
      <c r="E880" s="20">
        <v>9.9205479452054792</v>
      </c>
      <c r="F880" s="21">
        <v>4.3324999999999996</v>
      </c>
      <c r="G880" s="21">
        <v>-0.49999999999998934</v>
      </c>
      <c r="H880" s="21">
        <v>4.3849</v>
      </c>
      <c r="I880" s="21">
        <v>-5.2400000000000446</v>
      </c>
      <c r="J880" s="19" t="s">
        <v>17</v>
      </c>
      <c r="K880" s="19" t="s">
        <v>19</v>
      </c>
      <c r="L880" s="13">
        <v>4.04</v>
      </c>
      <c r="M880" s="14" t="s">
        <v>833</v>
      </c>
      <c r="N880" s="14" t="s">
        <v>825</v>
      </c>
      <c r="O880" s="4">
        <v>42867</v>
      </c>
    </row>
    <row r="881" spans="1:15">
      <c r="A881" s="7">
        <v>170210</v>
      </c>
      <c r="B881" s="7">
        <v>4.3274999999999997</v>
      </c>
      <c r="C881" s="18" t="s">
        <v>832</v>
      </c>
      <c r="D881" s="19">
        <v>0</v>
      </c>
      <c r="E881" s="20">
        <v>9.9205479452054792</v>
      </c>
      <c r="F881" s="21">
        <v>4.3324999999999996</v>
      </c>
      <c r="G881" s="21">
        <v>-0.49999999999998934</v>
      </c>
      <c r="H881" s="21">
        <v>4.3849</v>
      </c>
      <c r="I881" s="21">
        <v>-5.2400000000000446</v>
      </c>
      <c r="J881" s="19" t="s">
        <v>17</v>
      </c>
      <c r="K881" s="19" t="s">
        <v>19</v>
      </c>
      <c r="L881" s="13">
        <v>4.04</v>
      </c>
      <c r="M881" s="14" t="s">
        <v>833</v>
      </c>
      <c r="N881" s="14" t="s">
        <v>825</v>
      </c>
      <c r="O881" s="4">
        <v>42867</v>
      </c>
    </row>
    <row r="882" spans="1:15">
      <c r="A882" s="7">
        <v>170210</v>
      </c>
      <c r="B882" s="7">
        <v>4.3274999999999997</v>
      </c>
      <c r="C882" s="18" t="s">
        <v>832</v>
      </c>
      <c r="D882" s="19">
        <v>0</v>
      </c>
      <c r="E882" s="20">
        <v>9.9205479452054792</v>
      </c>
      <c r="F882" s="21">
        <v>4.3324999999999996</v>
      </c>
      <c r="G882" s="21">
        <v>-0.49999999999998934</v>
      </c>
      <c r="H882" s="21">
        <v>4.3849</v>
      </c>
      <c r="I882" s="21">
        <v>-5.2400000000000446</v>
      </c>
      <c r="J882" s="19" t="s">
        <v>17</v>
      </c>
      <c r="K882" s="19" t="s">
        <v>19</v>
      </c>
      <c r="L882" s="13">
        <v>4.04</v>
      </c>
      <c r="M882" s="14" t="s">
        <v>833</v>
      </c>
      <c r="N882" s="14" t="s">
        <v>825</v>
      </c>
      <c r="O882" s="4">
        <v>42867</v>
      </c>
    </row>
    <row r="883" spans="1:15">
      <c r="A883" s="7">
        <v>170210</v>
      </c>
      <c r="B883" s="7">
        <v>4.3274999999999997</v>
      </c>
      <c r="C883" s="18" t="s">
        <v>832</v>
      </c>
      <c r="D883" s="19">
        <v>0</v>
      </c>
      <c r="E883" s="20">
        <v>9.9205479452054792</v>
      </c>
      <c r="F883" s="21">
        <v>4.3324999999999996</v>
      </c>
      <c r="G883" s="21">
        <v>-0.49999999999998934</v>
      </c>
      <c r="H883" s="21">
        <v>4.3849</v>
      </c>
      <c r="I883" s="21">
        <v>-5.2400000000000446</v>
      </c>
      <c r="J883" s="19" t="s">
        <v>17</v>
      </c>
      <c r="K883" s="19" t="s">
        <v>19</v>
      </c>
      <c r="L883" s="13">
        <v>4.04</v>
      </c>
      <c r="M883" s="14" t="s">
        <v>833</v>
      </c>
      <c r="N883" s="14" t="s">
        <v>825</v>
      </c>
      <c r="O883" s="4">
        <v>42867</v>
      </c>
    </row>
    <row r="884" spans="1:15">
      <c r="A884" s="7">
        <v>170210</v>
      </c>
      <c r="B884" s="7">
        <v>4.3274999999999997</v>
      </c>
      <c r="C884" s="18" t="s">
        <v>832</v>
      </c>
      <c r="D884" s="19">
        <v>0</v>
      </c>
      <c r="E884" s="20">
        <v>9.9205479452054792</v>
      </c>
      <c r="F884" s="21">
        <v>4.3324999999999996</v>
      </c>
      <c r="G884" s="21">
        <v>-0.49999999999998934</v>
      </c>
      <c r="H884" s="21">
        <v>4.3849</v>
      </c>
      <c r="I884" s="21">
        <v>-5.2400000000000446</v>
      </c>
      <c r="J884" s="19" t="s">
        <v>17</v>
      </c>
      <c r="K884" s="19" t="s">
        <v>19</v>
      </c>
      <c r="L884" s="13">
        <v>4.04</v>
      </c>
      <c r="M884" s="14" t="s">
        <v>833</v>
      </c>
      <c r="N884" s="14" t="s">
        <v>825</v>
      </c>
      <c r="O884" s="4">
        <v>42867</v>
      </c>
    </row>
    <row r="885" spans="1:15">
      <c r="A885" s="7">
        <v>170210</v>
      </c>
      <c r="B885" s="7">
        <v>4.3274999999999997</v>
      </c>
      <c r="C885" s="18" t="s">
        <v>832</v>
      </c>
      <c r="D885" s="19">
        <v>0</v>
      </c>
      <c r="E885" s="20">
        <v>9.9205479452054792</v>
      </c>
      <c r="F885" s="21">
        <v>4.3324999999999996</v>
      </c>
      <c r="G885" s="21">
        <v>-0.49999999999998934</v>
      </c>
      <c r="H885" s="21">
        <v>4.3849</v>
      </c>
      <c r="I885" s="21">
        <v>-5.2400000000000446</v>
      </c>
      <c r="J885" s="19" t="s">
        <v>17</v>
      </c>
      <c r="K885" s="19" t="s">
        <v>19</v>
      </c>
      <c r="L885" s="13">
        <v>4.04</v>
      </c>
      <c r="M885" s="14" t="s">
        <v>833</v>
      </c>
      <c r="N885" s="14" t="s">
        <v>825</v>
      </c>
      <c r="O885" s="4">
        <v>42867</v>
      </c>
    </row>
    <row r="886" spans="1:15">
      <c r="A886" s="7">
        <v>170210</v>
      </c>
      <c r="B886" s="7">
        <v>4.3250000000000002</v>
      </c>
      <c r="C886" s="18" t="s">
        <v>832</v>
      </c>
      <c r="D886" s="19">
        <v>0</v>
      </c>
      <c r="E886" s="20">
        <v>9.9205479452054792</v>
      </c>
      <c r="F886" s="21">
        <v>4.3324999999999996</v>
      </c>
      <c r="G886" s="21">
        <v>-0.7499999999999396</v>
      </c>
      <c r="H886" s="21">
        <v>4.3849</v>
      </c>
      <c r="I886" s="21">
        <v>-5.2400000000000446</v>
      </c>
      <c r="J886" s="19" t="s">
        <v>17</v>
      </c>
      <c r="K886" s="19" t="s">
        <v>19</v>
      </c>
      <c r="L886" s="13">
        <v>4.04</v>
      </c>
      <c r="M886" s="14" t="s">
        <v>833</v>
      </c>
      <c r="N886" s="14" t="s">
        <v>825</v>
      </c>
      <c r="O886" s="4">
        <v>42867</v>
      </c>
    </row>
    <row r="887" spans="1:15">
      <c r="A887" s="7">
        <v>170210</v>
      </c>
      <c r="B887" s="7">
        <v>4.3250000000000002</v>
      </c>
      <c r="C887" s="18" t="s">
        <v>832</v>
      </c>
      <c r="D887" s="19">
        <v>0</v>
      </c>
      <c r="E887" s="20">
        <v>9.9205479452054792</v>
      </c>
      <c r="F887" s="21">
        <v>4.3324999999999996</v>
      </c>
      <c r="G887" s="21">
        <v>-0.7499999999999396</v>
      </c>
      <c r="H887" s="21">
        <v>4.3849</v>
      </c>
      <c r="I887" s="21">
        <v>-5.2400000000000446</v>
      </c>
      <c r="J887" s="19" t="s">
        <v>17</v>
      </c>
      <c r="K887" s="19" t="s">
        <v>19</v>
      </c>
      <c r="L887" s="13">
        <v>4.04</v>
      </c>
      <c r="M887" s="14" t="s">
        <v>833</v>
      </c>
      <c r="N887" s="14" t="s">
        <v>825</v>
      </c>
      <c r="O887" s="4">
        <v>42867</v>
      </c>
    </row>
    <row r="888" spans="1:15">
      <c r="A888" s="7">
        <v>170210</v>
      </c>
      <c r="B888" s="7">
        <v>4.3250000000000002</v>
      </c>
      <c r="C888" s="18" t="s">
        <v>832</v>
      </c>
      <c r="D888" s="19">
        <v>0</v>
      </c>
      <c r="E888" s="20">
        <v>9.9205479452054792</v>
      </c>
      <c r="F888" s="21">
        <v>4.3324999999999996</v>
      </c>
      <c r="G888" s="21">
        <v>-0.7499999999999396</v>
      </c>
      <c r="H888" s="21">
        <v>4.3849</v>
      </c>
      <c r="I888" s="21">
        <v>-5.2400000000000446</v>
      </c>
      <c r="J888" s="19" t="s">
        <v>17</v>
      </c>
      <c r="K888" s="19" t="s">
        <v>19</v>
      </c>
      <c r="L888" s="13">
        <v>4.04</v>
      </c>
      <c r="M888" s="14" t="s">
        <v>833</v>
      </c>
      <c r="N888" s="14" t="s">
        <v>825</v>
      </c>
      <c r="O888" s="4">
        <v>42867</v>
      </c>
    </row>
    <row r="889" spans="1:15">
      <c r="A889" s="7">
        <v>170210</v>
      </c>
      <c r="B889" s="7">
        <v>4.3250000000000002</v>
      </c>
      <c r="C889" s="18" t="s">
        <v>832</v>
      </c>
      <c r="D889" s="19">
        <v>0</v>
      </c>
      <c r="E889" s="20">
        <v>9.9205479452054792</v>
      </c>
      <c r="F889" s="21">
        <v>4.3324999999999996</v>
      </c>
      <c r="G889" s="21">
        <v>-0.7499999999999396</v>
      </c>
      <c r="H889" s="21">
        <v>4.3849</v>
      </c>
      <c r="I889" s="21">
        <v>-5.2400000000000446</v>
      </c>
      <c r="J889" s="19" t="s">
        <v>17</v>
      </c>
      <c r="K889" s="19" t="s">
        <v>19</v>
      </c>
      <c r="L889" s="13">
        <v>4.04</v>
      </c>
      <c r="M889" s="14" t="s">
        <v>833</v>
      </c>
      <c r="N889" s="14" t="s">
        <v>825</v>
      </c>
      <c r="O889" s="4">
        <v>42867</v>
      </c>
    </row>
    <row r="890" spans="1:15">
      <c r="A890" s="7">
        <v>170210</v>
      </c>
      <c r="B890" s="7">
        <v>4.3250000000000002</v>
      </c>
      <c r="C890" s="18" t="s">
        <v>832</v>
      </c>
      <c r="D890" s="19">
        <v>0</v>
      </c>
      <c r="E890" s="20">
        <v>9.9205479452054792</v>
      </c>
      <c r="F890" s="21">
        <v>4.3324999999999996</v>
      </c>
      <c r="G890" s="21">
        <v>-0.7499999999999396</v>
      </c>
      <c r="H890" s="21">
        <v>4.3849</v>
      </c>
      <c r="I890" s="21">
        <v>-5.2400000000000446</v>
      </c>
      <c r="J890" s="19" t="s">
        <v>17</v>
      </c>
      <c r="K890" s="19" t="s">
        <v>19</v>
      </c>
      <c r="L890" s="13">
        <v>4.04</v>
      </c>
      <c r="M890" s="14" t="s">
        <v>833</v>
      </c>
      <c r="N890" s="14" t="s">
        <v>825</v>
      </c>
      <c r="O890" s="4">
        <v>42867</v>
      </c>
    </row>
    <row r="891" spans="1:15">
      <c r="A891" s="7">
        <v>170210</v>
      </c>
      <c r="B891" s="7">
        <v>4.3250000000000002</v>
      </c>
      <c r="C891" s="18" t="s">
        <v>832</v>
      </c>
      <c r="D891" s="19">
        <v>0</v>
      </c>
      <c r="E891" s="20">
        <v>9.9205479452054792</v>
      </c>
      <c r="F891" s="21">
        <v>4.3324999999999996</v>
      </c>
      <c r="G891" s="21">
        <v>-0.7499999999999396</v>
      </c>
      <c r="H891" s="21">
        <v>4.3849</v>
      </c>
      <c r="I891" s="21">
        <v>-5.2400000000000446</v>
      </c>
      <c r="J891" s="19" t="s">
        <v>17</v>
      </c>
      <c r="K891" s="19" t="s">
        <v>19</v>
      </c>
      <c r="L891" s="13">
        <v>4.04</v>
      </c>
      <c r="M891" s="14" t="s">
        <v>833</v>
      </c>
      <c r="N891" s="14" t="s">
        <v>825</v>
      </c>
      <c r="O891" s="4">
        <v>42867</v>
      </c>
    </row>
    <row r="892" spans="1:15">
      <c r="A892" s="7">
        <v>170210</v>
      </c>
      <c r="B892" s="7">
        <v>4.3250000000000002</v>
      </c>
      <c r="C892" s="18" t="s">
        <v>832</v>
      </c>
      <c r="D892" s="19">
        <v>0</v>
      </c>
      <c r="E892" s="20">
        <v>9.9205479452054792</v>
      </c>
      <c r="F892" s="21">
        <v>4.3324999999999996</v>
      </c>
      <c r="G892" s="21">
        <v>-0.7499999999999396</v>
      </c>
      <c r="H892" s="21">
        <v>4.3849</v>
      </c>
      <c r="I892" s="21">
        <v>-5.2400000000000446</v>
      </c>
      <c r="J892" s="19" t="s">
        <v>17</v>
      </c>
      <c r="K892" s="19" t="s">
        <v>19</v>
      </c>
      <c r="L892" s="13">
        <v>4.04</v>
      </c>
      <c r="M892" s="14" t="s">
        <v>833</v>
      </c>
      <c r="N892" s="14" t="s">
        <v>825</v>
      </c>
      <c r="O892" s="4">
        <v>42867</v>
      </c>
    </row>
    <row r="893" spans="1:15">
      <c r="A893" s="7">
        <v>170210</v>
      </c>
      <c r="B893" s="7">
        <v>4.3250000000000002</v>
      </c>
      <c r="C893" s="18" t="s">
        <v>832</v>
      </c>
      <c r="D893" s="19">
        <v>0</v>
      </c>
      <c r="E893" s="20">
        <v>9.9205479452054792</v>
      </c>
      <c r="F893" s="21">
        <v>4.3324999999999996</v>
      </c>
      <c r="G893" s="21">
        <v>-0.7499999999999396</v>
      </c>
      <c r="H893" s="21">
        <v>4.3849</v>
      </c>
      <c r="I893" s="21">
        <v>-5.2400000000000446</v>
      </c>
      <c r="J893" s="19" t="s">
        <v>17</v>
      </c>
      <c r="K893" s="19" t="s">
        <v>19</v>
      </c>
      <c r="L893" s="13">
        <v>4.04</v>
      </c>
      <c r="M893" s="14" t="s">
        <v>833</v>
      </c>
      <c r="N893" s="14" t="s">
        <v>825</v>
      </c>
      <c r="O893" s="4">
        <v>42867</v>
      </c>
    </row>
    <row r="894" spans="1:15">
      <c r="A894" s="7">
        <v>170210</v>
      </c>
      <c r="B894" s="7">
        <v>4.3250000000000002</v>
      </c>
      <c r="C894" s="18" t="s">
        <v>832</v>
      </c>
      <c r="D894" s="19">
        <v>0</v>
      </c>
      <c r="E894" s="20">
        <v>9.9205479452054792</v>
      </c>
      <c r="F894" s="21">
        <v>4.3324999999999996</v>
      </c>
      <c r="G894" s="21">
        <v>-0.7499999999999396</v>
      </c>
      <c r="H894" s="21">
        <v>4.3849</v>
      </c>
      <c r="I894" s="21">
        <v>-5.2400000000000446</v>
      </c>
      <c r="J894" s="19" t="s">
        <v>17</v>
      </c>
      <c r="K894" s="19" t="s">
        <v>19</v>
      </c>
      <c r="L894" s="13">
        <v>4.04</v>
      </c>
      <c r="M894" s="14" t="s">
        <v>833</v>
      </c>
      <c r="N894" s="14" t="s">
        <v>825</v>
      </c>
      <c r="O894" s="4">
        <v>42867</v>
      </c>
    </row>
    <row r="895" spans="1:15">
      <c r="A895" s="7">
        <v>170210</v>
      </c>
      <c r="B895" s="7">
        <v>4.3250000000000002</v>
      </c>
      <c r="C895" s="18" t="s">
        <v>832</v>
      </c>
      <c r="D895" s="19">
        <v>0</v>
      </c>
      <c r="E895" s="20">
        <v>9.9205479452054792</v>
      </c>
      <c r="F895" s="21">
        <v>4.3324999999999996</v>
      </c>
      <c r="G895" s="21">
        <v>-0.7499999999999396</v>
      </c>
      <c r="H895" s="21">
        <v>4.3849</v>
      </c>
      <c r="I895" s="21">
        <v>-5.2400000000000446</v>
      </c>
      <c r="J895" s="19" t="s">
        <v>17</v>
      </c>
      <c r="K895" s="19" t="s">
        <v>19</v>
      </c>
      <c r="L895" s="13">
        <v>4.04</v>
      </c>
      <c r="M895" s="14" t="s">
        <v>833</v>
      </c>
      <c r="N895" s="14" t="s">
        <v>825</v>
      </c>
      <c r="O895" s="4">
        <v>42867</v>
      </c>
    </row>
    <row r="896" spans="1:15">
      <c r="A896" s="7">
        <v>170210</v>
      </c>
      <c r="B896" s="7">
        <v>4.3250000000000002</v>
      </c>
      <c r="C896" s="18" t="s">
        <v>832</v>
      </c>
      <c r="D896" s="19">
        <v>0</v>
      </c>
      <c r="E896" s="20">
        <v>9.9205479452054792</v>
      </c>
      <c r="F896" s="21">
        <v>4.3324999999999996</v>
      </c>
      <c r="G896" s="21">
        <v>-0.7499999999999396</v>
      </c>
      <c r="H896" s="21">
        <v>4.3849</v>
      </c>
      <c r="I896" s="21">
        <v>-5.2400000000000446</v>
      </c>
      <c r="J896" s="19" t="s">
        <v>17</v>
      </c>
      <c r="K896" s="19" t="s">
        <v>19</v>
      </c>
      <c r="L896" s="13">
        <v>4.04</v>
      </c>
      <c r="M896" s="14" t="s">
        <v>833</v>
      </c>
      <c r="N896" s="14" t="s">
        <v>825</v>
      </c>
      <c r="O896" s="4">
        <v>42867</v>
      </c>
    </row>
    <row r="897" spans="1:15">
      <c r="A897" s="7">
        <v>170210</v>
      </c>
      <c r="B897" s="7">
        <v>4.3250000000000002</v>
      </c>
      <c r="C897" s="18" t="s">
        <v>832</v>
      </c>
      <c r="D897" s="19">
        <v>0</v>
      </c>
      <c r="E897" s="20">
        <v>9.9205479452054792</v>
      </c>
      <c r="F897" s="21">
        <v>4.3324999999999996</v>
      </c>
      <c r="G897" s="21">
        <v>-0.7499999999999396</v>
      </c>
      <c r="H897" s="21">
        <v>4.3849</v>
      </c>
      <c r="I897" s="21">
        <v>-5.2400000000000446</v>
      </c>
      <c r="J897" s="19" t="s">
        <v>17</v>
      </c>
      <c r="K897" s="19" t="s">
        <v>19</v>
      </c>
      <c r="L897" s="13">
        <v>4.04</v>
      </c>
      <c r="M897" s="14" t="s">
        <v>833</v>
      </c>
      <c r="N897" s="14" t="s">
        <v>825</v>
      </c>
      <c r="O897" s="4">
        <v>42867</v>
      </c>
    </row>
    <row r="898" spans="1:15">
      <c r="A898" s="7">
        <v>170210</v>
      </c>
      <c r="B898" s="7">
        <v>4.3250000000000002</v>
      </c>
      <c r="C898" s="18" t="s">
        <v>832</v>
      </c>
      <c r="D898" s="19">
        <v>0</v>
      </c>
      <c r="E898" s="20">
        <v>9.9205479452054792</v>
      </c>
      <c r="F898" s="21">
        <v>4.3324999999999996</v>
      </c>
      <c r="G898" s="21">
        <v>-0.7499999999999396</v>
      </c>
      <c r="H898" s="21">
        <v>4.3849</v>
      </c>
      <c r="I898" s="21">
        <v>-5.2400000000000446</v>
      </c>
      <c r="J898" s="19" t="s">
        <v>17</v>
      </c>
      <c r="K898" s="19" t="s">
        <v>19</v>
      </c>
      <c r="L898" s="13">
        <v>4.04</v>
      </c>
      <c r="M898" s="14" t="s">
        <v>833</v>
      </c>
      <c r="N898" s="14" t="s">
        <v>825</v>
      </c>
      <c r="O898" s="4">
        <v>42867</v>
      </c>
    </row>
    <row r="899" spans="1:15">
      <c r="A899" s="7">
        <v>170210</v>
      </c>
      <c r="B899" s="7">
        <v>4.3250000000000002</v>
      </c>
      <c r="C899" s="18" t="s">
        <v>832</v>
      </c>
      <c r="D899" s="19">
        <v>0</v>
      </c>
      <c r="E899" s="20">
        <v>9.9205479452054792</v>
      </c>
      <c r="F899" s="21">
        <v>4.3324999999999996</v>
      </c>
      <c r="G899" s="21">
        <v>-0.7499999999999396</v>
      </c>
      <c r="H899" s="21">
        <v>4.3849</v>
      </c>
      <c r="I899" s="21">
        <v>-5.2400000000000446</v>
      </c>
      <c r="J899" s="19" t="s">
        <v>17</v>
      </c>
      <c r="K899" s="19" t="s">
        <v>19</v>
      </c>
      <c r="L899" s="13">
        <v>4.04</v>
      </c>
      <c r="M899" s="14" t="s">
        <v>833</v>
      </c>
      <c r="N899" s="14" t="s">
        <v>825</v>
      </c>
      <c r="O899" s="4">
        <v>42867</v>
      </c>
    </row>
    <row r="900" spans="1:15">
      <c r="A900" s="7">
        <v>170210</v>
      </c>
      <c r="B900" s="7">
        <v>4.3250000000000002</v>
      </c>
      <c r="C900" s="18" t="s">
        <v>832</v>
      </c>
      <c r="D900" s="19">
        <v>0</v>
      </c>
      <c r="E900" s="20">
        <v>9.9205479452054792</v>
      </c>
      <c r="F900" s="21">
        <v>4.3324999999999996</v>
      </c>
      <c r="G900" s="21">
        <v>-0.7499999999999396</v>
      </c>
      <c r="H900" s="21">
        <v>4.3849</v>
      </c>
      <c r="I900" s="21">
        <v>-5.2400000000000446</v>
      </c>
      <c r="J900" s="19" t="s">
        <v>17</v>
      </c>
      <c r="K900" s="19" t="s">
        <v>19</v>
      </c>
      <c r="L900" s="13">
        <v>4.04</v>
      </c>
      <c r="M900" s="14" t="s">
        <v>833</v>
      </c>
      <c r="N900" s="14" t="s">
        <v>825</v>
      </c>
      <c r="O900" s="4">
        <v>42867</v>
      </c>
    </row>
    <row r="901" spans="1:15">
      <c r="A901" s="7">
        <v>170210</v>
      </c>
      <c r="B901" s="7">
        <v>4.3250000000000002</v>
      </c>
      <c r="C901" s="18" t="s">
        <v>832</v>
      </c>
      <c r="D901" s="19">
        <v>0</v>
      </c>
      <c r="E901" s="20">
        <v>9.9205479452054792</v>
      </c>
      <c r="F901" s="21">
        <v>4.3324999999999996</v>
      </c>
      <c r="G901" s="21">
        <v>-0.7499999999999396</v>
      </c>
      <c r="H901" s="21">
        <v>4.3849</v>
      </c>
      <c r="I901" s="21">
        <v>-5.2400000000000446</v>
      </c>
      <c r="J901" s="19" t="s">
        <v>17</v>
      </c>
      <c r="K901" s="19" t="s">
        <v>19</v>
      </c>
      <c r="L901" s="13">
        <v>4.04</v>
      </c>
      <c r="M901" s="14" t="s">
        <v>833</v>
      </c>
      <c r="N901" s="14" t="s">
        <v>825</v>
      </c>
      <c r="O901" s="4">
        <v>42867</v>
      </c>
    </row>
    <row r="902" spans="1:15">
      <c r="A902" s="7">
        <v>170210</v>
      </c>
      <c r="B902" s="7">
        <v>4.3250000000000002</v>
      </c>
      <c r="C902" s="18" t="s">
        <v>832</v>
      </c>
      <c r="D902" s="19">
        <v>0</v>
      </c>
      <c r="E902" s="20">
        <v>9.9205479452054792</v>
      </c>
      <c r="F902" s="21">
        <v>4.3324999999999996</v>
      </c>
      <c r="G902" s="21">
        <v>-0.7499999999999396</v>
      </c>
      <c r="H902" s="21">
        <v>4.3849</v>
      </c>
      <c r="I902" s="21">
        <v>-5.2400000000000446</v>
      </c>
      <c r="J902" s="19" t="s">
        <v>17</v>
      </c>
      <c r="K902" s="19" t="s">
        <v>19</v>
      </c>
      <c r="L902" s="13">
        <v>4.04</v>
      </c>
      <c r="M902" s="14" t="s">
        <v>833</v>
      </c>
      <c r="N902" s="14" t="s">
        <v>825</v>
      </c>
      <c r="O902" s="4">
        <v>42867</v>
      </c>
    </row>
    <row r="903" spans="1:15">
      <c r="A903" s="7">
        <v>170210</v>
      </c>
      <c r="B903" s="7">
        <v>4.3250000000000002</v>
      </c>
      <c r="C903" s="18" t="s">
        <v>832</v>
      </c>
      <c r="D903" s="19">
        <v>0</v>
      </c>
      <c r="E903" s="20">
        <v>9.9205479452054792</v>
      </c>
      <c r="F903" s="21">
        <v>4.3324999999999996</v>
      </c>
      <c r="G903" s="21">
        <v>-0.7499999999999396</v>
      </c>
      <c r="H903" s="21">
        <v>4.3849</v>
      </c>
      <c r="I903" s="21">
        <v>-5.2400000000000446</v>
      </c>
      <c r="J903" s="19" t="s">
        <v>17</v>
      </c>
      <c r="K903" s="19" t="s">
        <v>19</v>
      </c>
      <c r="L903" s="13">
        <v>4.04</v>
      </c>
      <c r="M903" s="14" t="s">
        <v>833</v>
      </c>
      <c r="N903" s="14" t="s">
        <v>825</v>
      </c>
      <c r="O903" s="4">
        <v>42867</v>
      </c>
    </row>
    <row r="904" spans="1:15">
      <c r="A904" s="7">
        <v>170210</v>
      </c>
      <c r="B904" s="7">
        <v>4.3250000000000002</v>
      </c>
      <c r="C904" s="18" t="s">
        <v>832</v>
      </c>
      <c r="D904" s="19">
        <v>0</v>
      </c>
      <c r="E904" s="20">
        <v>9.9205479452054792</v>
      </c>
      <c r="F904" s="21">
        <v>4.3324999999999996</v>
      </c>
      <c r="G904" s="21">
        <v>-0.7499999999999396</v>
      </c>
      <c r="H904" s="21">
        <v>4.3849</v>
      </c>
      <c r="I904" s="21">
        <v>-5.2400000000000446</v>
      </c>
      <c r="J904" s="19" t="s">
        <v>17</v>
      </c>
      <c r="K904" s="19" t="s">
        <v>19</v>
      </c>
      <c r="L904" s="13">
        <v>4.04</v>
      </c>
      <c r="M904" s="14" t="s">
        <v>833</v>
      </c>
      <c r="N904" s="14" t="s">
        <v>825</v>
      </c>
      <c r="O904" s="4">
        <v>42867</v>
      </c>
    </row>
    <row r="905" spans="1:15">
      <c r="A905" s="7">
        <v>170210</v>
      </c>
      <c r="B905" s="7">
        <v>4.3250000000000002</v>
      </c>
      <c r="C905" s="18" t="s">
        <v>832</v>
      </c>
      <c r="D905" s="19">
        <v>0</v>
      </c>
      <c r="E905" s="20">
        <v>9.9205479452054792</v>
      </c>
      <c r="F905" s="21">
        <v>4.3324999999999996</v>
      </c>
      <c r="G905" s="21">
        <v>-0.7499999999999396</v>
      </c>
      <c r="H905" s="21">
        <v>4.3849</v>
      </c>
      <c r="I905" s="21">
        <v>-5.2400000000000446</v>
      </c>
      <c r="J905" s="19" t="s">
        <v>17</v>
      </c>
      <c r="K905" s="19" t="s">
        <v>19</v>
      </c>
      <c r="L905" s="13">
        <v>4.04</v>
      </c>
      <c r="M905" s="14" t="s">
        <v>833</v>
      </c>
      <c r="N905" s="14" t="s">
        <v>825</v>
      </c>
      <c r="O905" s="4">
        <v>42867</v>
      </c>
    </row>
    <row r="906" spans="1:15">
      <c r="A906" s="7">
        <v>170210</v>
      </c>
      <c r="B906" s="7">
        <v>4.3250000000000002</v>
      </c>
      <c r="C906" s="18" t="s">
        <v>832</v>
      </c>
      <c r="D906" s="19">
        <v>0</v>
      </c>
      <c r="E906" s="20">
        <v>9.9205479452054792</v>
      </c>
      <c r="F906" s="21">
        <v>4.3324999999999996</v>
      </c>
      <c r="G906" s="21">
        <v>-0.7499999999999396</v>
      </c>
      <c r="H906" s="21">
        <v>4.3849</v>
      </c>
      <c r="I906" s="21">
        <v>-5.2400000000000446</v>
      </c>
      <c r="J906" s="19" t="s">
        <v>17</v>
      </c>
      <c r="K906" s="19" t="s">
        <v>19</v>
      </c>
      <c r="L906" s="13">
        <v>4.04</v>
      </c>
      <c r="M906" s="14" t="s">
        <v>833</v>
      </c>
      <c r="N906" s="14" t="s">
        <v>825</v>
      </c>
      <c r="O906" s="4">
        <v>42867</v>
      </c>
    </row>
    <row r="907" spans="1:15">
      <c r="A907" s="7">
        <v>170210</v>
      </c>
      <c r="B907" s="7">
        <v>4.3250000000000002</v>
      </c>
      <c r="C907" s="18" t="s">
        <v>832</v>
      </c>
      <c r="D907" s="19">
        <v>0</v>
      </c>
      <c r="E907" s="20">
        <v>9.9205479452054792</v>
      </c>
      <c r="F907" s="21">
        <v>4.3324999999999996</v>
      </c>
      <c r="G907" s="21">
        <v>-0.7499999999999396</v>
      </c>
      <c r="H907" s="21">
        <v>4.3849</v>
      </c>
      <c r="I907" s="21">
        <v>-5.2400000000000446</v>
      </c>
      <c r="J907" s="19" t="s">
        <v>17</v>
      </c>
      <c r="K907" s="19" t="s">
        <v>19</v>
      </c>
      <c r="L907" s="13">
        <v>4.04</v>
      </c>
      <c r="M907" s="14" t="s">
        <v>833</v>
      </c>
      <c r="N907" s="14" t="s">
        <v>825</v>
      </c>
      <c r="O907" s="4">
        <v>42867</v>
      </c>
    </row>
    <row r="908" spans="1:15">
      <c r="A908" s="7">
        <v>170210</v>
      </c>
      <c r="B908" s="7">
        <v>4.3250000000000002</v>
      </c>
      <c r="C908" s="18" t="s">
        <v>832</v>
      </c>
      <c r="D908" s="19">
        <v>0</v>
      </c>
      <c r="E908" s="20">
        <v>9.9205479452054792</v>
      </c>
      <c r="F908" s="21">
        <v>4.3324999999999996</v>
      </c>
      <c r="G908" s="21">
        <v>-0.7499999999999396</v>
      </c>
      <c r="H908" s="21">
        <v>4.3849</v>
      </c>
      <c r="I908" s="21">
        <v>-5.2400000000000446</v>
      </c>
      <c r="J908" s="19" t="s">
        <v>17</v>
      </c>
      <c r="K908" s="19" t="s">
        <v>19</v>
      </c>
      <c r="L908" s="13">
        <v>4.04</v>
      </c>
      <c r="M908" s="14" t="s">
        <v>833</v>
      </c>
      <c r="N908" s="14" t="s">
        <v>825</v>
      </c>
      <c r="O908" s="4">
        <v>42867</v>
      </c>
    </row>
    <row r="909" spans="1:15">
      <c r="A909" s="7">
        <v>170210</v>
      </c>
      <c r="B909" s="7">
        <v>4.3250000000000002</v>
      </c>
      <c r="C909" s="18" t="s">
        <v>832</v>
      </c>
      <c r="D909" s="19">
        <v>0</v>
      </c>
      <c r="E909" s="20">
        <v>9.9205479452054792</v>
      </c>
      <c r="F909" s="21">
        <v>4.3324999999999996</v>
      </c>
      <c r="G909" s="21">
        <v>-0.7499999999999396</v>
      </c>
      <c r="H909" s="21">
        <v>4.3849</v>
      </c>
      <c r="I909" s="21">
        <v>-5.2400000000000446</v>
      </c>
      <c r="J909" s="19" t="s">
        <v>17</v>
      </c>
      <c r="K909" s="19" t="s">
        <v>19</v>
      </c>
      <c r="L909" s="13">
        <v>4.04</v>
      </c>
      <c r="M909" s="14" t="s">
        <v>833</v>
      </c>
      <c r="N909" s="14" t="s">
        <v>825</v>
      </c>
      <c r="O909" s="4">
        <v>42867</v>
      </c>
    </row>
    <row r="910" spans="1:15">
      <c r="A910" s="7">
        <v>170210</v>
      </c>
      <c r="B910" s="7">
        <v>4.3250000000000002</v>
      </c>
      <c r="C910" s="18" t="s">
        <v>832</v>
      </c>
      <c r="D910" s="19">
        <v>0</v>
      </c>
      <c r="E910" s="20">
        <v>9.9205479452054792</v>
      </c>
      <c r="F910" s="21">
        <v>4.3324999999999996</v>
      </c>
      <c r="G910" s="21">
        <v>-0.7499999999999396</v>
      </c>
      <c r="H910" s="21">
        <v>4.3849</v>
      </c>
      <c r="I910" s="21">
        <v>-5.2400000000000446</v>
      </c>
      <c r="J910" s="19" t="s">
        <v>17</v>
      </c>
      <c r="K910" s="19" t="s">
        <v>19</v>
      </c>
      <c r="L910" s="13">
        <v>4.04</v>
      </c>
      <c r="M910" s="14" t="s">
        <v>833</v>
      </c>
      <c r="N910" s="14" t="s">
        <v>825</v>
      </c>
      <c r="O910" s="4">
        <v>42867</v>
      </c>
    </row>
    <row r="911" spans="1:15">
      <c r="A911" s="7">
        <v>170210</v>
      </c>
      <c r="B911" s="7">
        <v>4.3250000000000002</v>
      </c>
      <c r="C911" s="18" t="s">
        <v>832</v>
      </c>
      <c r="D911" s="19">
        <v>0</v>
      </c>
      <c r="E911" s="20">
        <v>9.9205479452054792</v>
      </c>
      <c r="F911" s="21">
        <v>4.3324999999999996</v>
      </c>
      <c r="G911" s="21">
        <v>-0.7499999999999396</v>
      </c>
      <c r="H911" s="21">
        <v>4.3849</v>
      </c>
      <c r="I911" s="21">
        <v>-5.2400000000000446</v>
      </c>
      <c r="J911" s="19" t="s">
        <v>17</v>
      </c>
      <c r="K911" s="19" t="s">
        <v>19</v>
      </c>
      <c r="L911" s="13">
        <v>4.04</v>
      </c>
      <c r="M911" s="14" t="s">
        <v>833</v>
      </c>
      <c r="N911" s="14" t="s">
        <v>825</v>
      </c>
      <c r="O911" s="4">
        <v>42867</v>
      </c>
    </row>
    <row r="912" spans="1:15">
      <c r="A912" s="7">
        <v>170210</v>
      </c>
      <c r="B912" s="7">
        <v>4.3224999999999998</v>
      </c>
      <c r="C912" s="18" t="s">
        <v>832</v>
      </c>
      <c r="D912" s="19">
        <v>0</v>
      </c>
      <c r="E912" s="20">
        <v>9.9205479452054792</v>
      </c>
      <c r="F912" s="21">
        <v>4.3324999999999996</v>
      </c>
      <c r="G912" s="21">
        <v>-0.99999999999997868</v>
      </c>
      <c r="H912" s="21">
        <v>4.3849</v>
      </c>
      <c r="I912" s="21">
        <v>-5.2400000000000446</v>
      </c>
      <c r="J912" s="19" t="s">
        <v>17</v>
      </c>
      <c r="K912" s="19" t="s">
        <v>19</v>
      </c>
      <c r="L912" s="13">
        <v>4.04</v>
      </c>
      <c r="M912" s="14" t="s">
        <v>833</v>
      </c>
      <c r="N912" s="14" t="s">
        <v>825</v>
      </c>
      <c r="O912" s="4">
        <v>42867</v>
      </c>
    </row>
    <row r="913" spans="1:15">
      <c r="A913" s="7">
        <v>170210</v>
      </c>
      <c r="B913" s="7">
        <v>4.3224999999999998</v>
      </c>
      <c r="C913" s="18" t="s">
        <v>832</v>
      </c>
      <c r="D913" s="19">
        <v>0</v>
      </c>
      <c r="E913" s="20">
        <v>9.9205479452054792</v>
      </c>
      <c r="F913" s="21">
        <v>4.3324999999999996</v>
      </c>
      <c r="G913" s="21">
        <v>-0.99999999999997868</v>
      </c>
      <c r="H913" s="21">
        <v>4.3849</v>
      </c>
      <c r="I913" s="21">
        <v>-5.2400000000000446</v>
      </c>
      <c r="J913" s="19" t="s">
        <v>17</v>
      </c>
      <c r="K913" s="19" t="s">
        <v>19</v>
      </c>
      <c r="L913" s="13">
        <v>4.04</v>
      </c>
      <c r="M913" s="14" t="s">
        <v>833</v>
      </c>
      <c r="N913" s="14" t="s">
        <v>825</v>
      </c>
      <c r="O913" s="4">
        <v>42867</v>
      </c>
    </row>
    <row r="914" spans="1:15">
      <c r="A914" s="7">
        <v>170210</v>
      </c>
      <c r="B914" s="7">
        <v>4.3224999999999998</v>
      </c>
      <c r="C914" s="18" t="s">
        <v>832</v>
      </c>
      <c r="D914" s="19">
        <v>0</v>
      </c>
      <c r="E914" s="20">
        <v>9.9205479452054792</v>
      </c>
      <c r="F914" s="21">
        <v>4.3324999999999996</v>
      </c>
      <c r="G914" s="21">
        <v>-0.99999999999997868</v>
      </c>
      <c r="H914" s="21">
        <v>4.3849</v>
      </c>
      <c r="I914" s="21">
        <v>-5.2400000000000446</v>
      </c>
      <c r="J914" s="19" t="s">
        <v>17</v>
      </c>
      <c r="K914" s="19" t="s">
        <v>19</v>
      </c>
      <c r="L914" s="13">
        <v>4.04</v>
      </c>
      <c r="M914" s="14" t="s">
        <v>833</v>
      </c>
      <c r="N914" s="14" t="s">
        <v>825</v>
      </c>
      <c r="O914" s="4">
        <v>42867</v>
      </c>
    </row>
    <row r="915" spans="1:15">
      <c r="A915" s="7">
        <v>170210</v>
      </c>
      <c r="B915" s="7">
        <v>4.3224999999999998</v>
      </c>
      <c r="C915" s="18" t="s">
        <v>832</v>
      </c>
      <c r="D915" s="19">
        <v>0</v>
      </c>
      <c r="E915" s="20">
        <v>9.9205479452054792</v>
      </c>
      <c r="F915" s="21">
        <v>4.3324999999999996</v>
      </c>
      <c r="G915" s="21">
        <v>-0.99999999999997868</v>
      </c>
      <c r="H915" s="21">
        <v>4.3849</v>
      </c>
      <c r="I915" s="21">
        <v>-5.2400000000000446</v>
      </c>
      <c r="J915" s="19" t="s">
        <v>17</v>
      </c>
      <c r="K915" s="19" t="s">
        <v>19</v>
      </c>
      <c r="L915" s="13">
        <v>4.04</v>
      </c>
      <c r="M915" s="14" t="s">
        <v>833</v>
      </c>
      <c r="N915" s="14" t="s">
        <v>825</v>
      </c>
      <c r="O915" s="4">
        <v>42867</v>
      </c>
    </row>
    <row r="916" spans="1:15">
      <c r="A916" s="7">
        <v>170210</v>
      </c>
      <c r="B916" s="7">
        <v>4.32</v>
      </c>
      <c r="C916" s="18" t="s">
        <v>832</v>
      </c>
      <c r="D916" s="19">
        <v>0</v>
      </c>
      <c r="E916" s="20">
        <v>9.9205479452054792</v>
      </c>
      <c r="F916" s="21">
        <v>4.3324999999999996</v>
      </c>
      <c r="G916" s="21">
        <v>-1.2499999999999289</v>
      </c>
      <c r="H916" s="21">
        <v>4.3849</v>
      </c>
      <c r="I916" s="21">
        <v>-5.2400000000000446</v>
      </c>
      <c r="J916" s="19" t="s">
        <v>17</v>
      </c>
      <c r="K916" s="19" t="s">
        <v>19</v>
      </c>
      <c r="L916" s="13">
        <v>4.04</v>
      </c>
      <c r="M916" s="14" t="s">
        <v>833</v>
      </c>
      <c r="N916" s="14" t="s">
        <v>825</v>
      </c>
      <c r="O916" s="4">
        <v>42867</v>
      </c>
    </row>
    <row r="917" spans="1:15">
      <c r="A917" s="7">
        <v>170210</v>
      </c>
      <c r="B917" s="7">
        <v>4.32</v>
      </c>
      <c r="C917" s="18" t="s">
        <v>832</v>
      </c>
      <c r="D917" s="19">
        <v>0</v>
      </c>
      <c r="E917" s="20">
        <v>9.9205479452054792</v>
      </c>
      <c r="F917" s="21">
        <v>4.3324999999999996</v>
      </c>
      <c r="G917" s="21">
        <v>-1.2499999999999289</v>
      </c>
      <c r="H917" s="21">
        <v>4.3849</v>
      </c>
      <c r="I917" s="21">
        <v>-5.2400000000000446</v>
      </c>
      <c r="J917" s="19" t="s">
        <v>17</v>
      </c>
      <c r="K917" s="19" t="s">
        <v>19</v>
      </c>
      <c r="L917" s="13">
        <v>4.04</v>
      </c>
      <c r="M917" s="14" t="s">
        <v>833</v>
      </c>
      <c r="N917" s="14" t="s">
        <v>825</v>
      </c>
      <c r="O917" s="4">
        <v>42867</v>
      </c>
    </row>
    <row r="918" spans="1:15">
      <c r="A918" s="7">
        <v>170210</v>
      </c>
      <c r="B918" s="7">
        <v>4.32</v>
      </c>
      <c r="C918" s="18" t="s">
        <v>832</v>
      </c>
      <c r="D918" s="19">
        <v>0</v>
      </c>
      <c r="E918" s="20">
        <v>9.9205479452054792</v>
      </c>
      <c r="F918" s="21">
        <v>4.3324999999999996</v>
      </c>
      <c r="G918" s="21">
        <v>-1.2499999999999289</v>
      </c>
      <c r="H918" s="21">
        <v>4.3849</v>
      </c>
      <c r="I918" s="21">
        <v>-5.2400000000000446</v>
      </c>
      <c r="J918" s="19" t="s">
        <v>17</v>
      </c>
      <c r="K918" s="19" t="s">
        <v>19</v>
      </c>
      <c r="L918" s="13">
        <v>4.04</v>
      </c>
      <c r="M918" s="14" t="s">
        <v>833</v>
      </c>
      <c r="N918" s="14" t="s">
        <v>825</v>
      </c>
      <c r="O918" s="4">
        <v>42867</v>
      </c>
    </row>
    <row r="919" spans="1:15">
      <c r="A919" s="7">
        <v>170210</v>
      </c>
      <c r="B919" s="7">
        <v>4.32</v>
      </c>
      <c r="C919" s="18" t="s">
        <v>832</v>
      </c>
      <c r="D919" s="19">
        <v>0</v>
      </c>
      <c r="E919" s="20">
        <v>9.9205479452054792</v>
      </c>
      <c r="F919" s="21">
        <v>4.3324999999999996</v>
      </c>
      <c r="G919" s="21">
        <v>-1.2499999999999289</v>
      </c>
      <c r="H919" s="21">
        <v>4.3849</v>
      </c>
      <c r="I919" s="21">
        <v>-5.2400000000000446</v>
      </c>
      <c r="J919" s="19" t="s">
        <v>17</v>
      </c>
      <c r="K919" s="19" t="s">
        <v>19</v>
      </c>
      <c r="L919" s="13">
        <v>4.04</v>
      </c>
      <c r="M919" s="14" t="s">
        <v>833</v>
      </c>
      <c r="N919" s="14" t="s">
        <v>825</v>
      </c>
      <c r="O919" s="4">
        <v>42867</v>
      </c>
    </row>
    <row r="920" spans="1:15">
      <c r="A920" s="7">
        <v>170210</v>
      </c>
      <c r="B920" s="7">
        <v>4.32</v>
      </c>
      <c r="C920" s="18" t="s">
        <v>832</v>
      </c>
      <c r="D920" s="19">
        <v>0</v>
      </c>
      <c r="E920" s="20">
        <v>9.9205479452054792</v>
      </c>
      <c r="F920" s="21">
        <v>4.3324999999999996</v>
      </c>
      <c r="G920" s="21">
        <v>-1.2499999999999289</v>
      </c>
      <c r="H920" s="21">
        <v>4.3849</v>
      </c>
      <c r="I920" s="21">
        <v>-5.2400000000000446</v>
      </c>
      <c r="J920" s="19" t="s">
        <v>17</v>
      </c>
      <c r="K920" s="19" t="s">
        <v>19</v>
      </c>
      <c r="L920" s="13">
        <v>4.04</v>
      </c>
      <c r="M920" s="14" t="s">
        <v>833</v>
      </c>
      <c r="N920" s="14" t="s">
        <v>825</v>
      </c>
      <c r="O920" s="4">
        <v>42867</v>
      </c>
    </row>
    <row r="921" spans="1:15">
      <c r="A921" s="7">
        <v>170210</v>
      </c>
      <c r="B921" s="7">
        <v>4.32</v>
      </c>
      <c r="C921" s="18" t="s">
        <v>832</v>
      </c>
      <c r="D921" s="19">
        <v>0</v>
      </c>
      <c r="E921" s="20">
        <v>9.9205479452054792</v>
      </c>
      <c r="F921" s="21">
        <v>4.3324999999999996</v>
      </c>
      <c r="G921" s="21">
        <v>-1.2499999999999289</v>
      </c>
      <c r="H921" s="21">
        <v>4.3849</v>
      </c>
      <c r="I921" s="21">
        <v>-5.2400000000000446</v>
      </c>
      <c r="J921" s="19" t="s">
        <v>17</v>
      </c>
      <c r="K921" s="19" t="s">
        <v>19</v>
      </c>
      <c r="L921" s="13">
        <v>4.04</v>
      </c>
      <c r="M921" s="14" t="s">
        <v>833</v>
      </c>
      <c r="N921" s="14" t="s">
        <v>825</v>
      </c>
      <c r="O921" s="4">
        <v>42867</v>
      </c>
    </row>
    <row r="922" spans="1:15">
      <c r="A922" s="7">
        <v>170210</v>
      </c>
      <c r="B922" s="7">
        <v>4.32</v>
      </c>
      <c r="C922" s="18" t="s">
        <v>832</v>
      </c>
      <c r="D922" s="19">
        <v>0</v>
      </c>
      <c r="E922" s="20">
        <v>9.9205479452054792</v>
      </c>
      <c r="F922" s="21">
        <v>4.3324999999999996</v>
      </c>
      <c r="G922" s="21">
        <v>-1.2499999999999289</v>
      </c>
      <c r="H922" s="21">
        <v>4.3849</v>
      </c>
      <c r="I922" s="21">
        <v>-5.2400000000000446</v>
      </c>
      <c r="J922" s="19" t="s">
        <v>17</v>
      </c>
      <c r="K922" s="19" t="s">
        <v>19</v>
      </c>
      <c r="L922" s="13">
        <v>4.04</v>
      </c>
      <c r="M922" s="14" t="s">
        <v>833</v>
      </c>
      <c r="N922" s="14" t="s">
        <v>825</v>
      </c>
      <c r="O922" s="4">
        <v>42867</v>
      </c>
    </row>
    <row r="923" spans="1:15">
      <c r="A923" s="7">
        <v>170210</v>
      </c>
      <c r="B923" s="7">
        <v>4.32</v>
      </c>
      <c r="C923" s="18" t="s">
        <v>832</v>
      </c>
      <c r="D923" s="19">
        <v>0</v>
      </c>
      <c r="E923" s="20">
        <v>9.9205479452054792</v>
      </c>
      <c r="F923" s="21">
        <v>4.3324999999999996</v>
      </c>
      <c r="G923" s="21">
        <v>-1.2499999999999289</v>
      </c>
      <c r="H923" s="21">
        <v>4.3849</v>
      </c>
      <c r="I923" s="21">
        <v>-5.2400000000000446</v>
      </c>
      <c r="J923" s="19" t="s">
        <v>17</v>
      </c>
      <c r="K923" s="19" t="s">
        <v>19</v>
      </c>
      <c r="L923" s="13">
        <v>4.04</v>
      </c>
      <c r="M923" s="14" t="s">
        <v>833</v>
      </c>
      <c r="N923" s="14" t="s">
        <v>825</v>
      </c>
      <c r="O923" s="4">
        <v>42867</v>
      </c>
    </row>
    <row r="924" spans="1:15">
      <c r="A924" s="7">
        <v>170210</v>
      </c>
      <c r="B924" s="7">
        <v>4.32</v>
      </c>
      <c r="C924" s="18" t="s">
        <v>832</v>
      </c>
      <c r="D924" s="19">
        <v>0</v>
      </c>
      <c r="E924" s="20">
        <v>9.9205479452054792</v>
      </c>
      <c r="F924" s="21">
        <v>4.3324999999999996</v>
      </c>
      <c r="G924" s="21">
        <v>-1.2499999999999289</v>
      </c>
      <c r="H924" s="21">
        <v>4.3849</v>
      </c>
      <c r="I924" s="21">
        <v>-5.2400000000000446</v>
      </c>
      <c r="J924" s="19" t="s">
        <v>17</v>
      </c>
      <c r="K924" s="19" t="s">
        <v>19</v>
      </c>
      <c r="L924" s="13">
        <v>4.04</v>
      </c>
      <c r="M924" s="14" t="s">
        <v>833</v>
      </c>
      <c r="N924" s="14" t="s">
        <v>825</v>
      </c>
      <c r="O924" s="4">
        <v>42867</v>
      </c>
    </row>
    <row r="925" spans="1:15">
      <c r="A925" s="7">
        <v>170210</v>
      </c>
      <c r="B925" s="7">
        <v>4.32</v>
      </c>
      <c r="C925" s="18" t="s">
        <v>832</v>
      </c>
      <c r="D925" s="19">
        <v>0</v>
      </c>
      <c r="E925" s="20">
        <v>9.9205479452054792</v>
      </c>
      <c r="F925" s="21">
        <v>4.3324999999999996</v>
      </c>
      <c r="G925" s="21">
        <v>-1.2499999999999289</v>
      </c>
      <c r="H925" s="21">
        <v>4.3849</v>
      </c>
      <c r="I925" s="21">
        <v>-5.2400000000000446</v>
      </c>
      <c r="J925" s="19" t="s">
        <v>17</v>
      </c>
      <c r="K925" s="19" t="s">
        <v>19</v>
      </c>
      <c r="L925" s="13">
        <v>4.04</v>
      </c>
      <c r="M925" s="14" t="s">
        <v>833</v>
      </c>
      <c r="N925" s="14" t="s">
        <v>825</v>
      </c>
      <c r="O925" s="4">
        <v>42867</v>
      </c>
    </row>
    <row r="926" spans="1:15">
      <c r="A926" s="7">
        <v>170210</v>
      </c>
      <c r="B926" s="7">
        <v>4.32</v>
      </c>
      <c r="C926" s="18" t="s">
        <v>832</v>
      </c>
      <c r="D926" s="19">
        <v>0</v>
      </c>
      <c r="E926" s="20">
        <v>9.9205479452054792</v>
      </c>
      <c r="F926" s="21">
        <v>4.3324999999999996</v>
      </c>
      <c r="G926" s="21">
        <v>-1.2499999999999289</v>
      </c>
      <c r="H926" s="21">
        <v>4.3849</v>
      </c>
      <c r="I926" s="21">
        <v>-5.2400000000000446</v>
      </c>
      <c r="J926" s="19" t="s">
        <v>17</v>
      </c>
      <c r="K926" s="19" t="s">
        <v>19</v>
      </c>
      <c r="L926" s="13">
        <v>4.04</v>
      </c>
      <c r="M926" s="14" t="s">
        <v>833</v>
      </c>
      <c r="N926" s="14" t="s">
        <v>825</v>
      </c>
      <c r="O926" s="4">
        <v>42867</v>
      </c>
    </row>
    <row r="927" spans="1:15">
      <c r="A927" s="7">
        <v>170210</v>
      </c>
      <c r="B927" s="7">
        <v>4.32</v>
      </c>
      <c r="C927" s="18" t="s">
        <v>832</v>
      </c>
      <c r="D927" s="19">
        <v>0</v>
      </c>
      <c r="E927" s="20">
        <v>9.9205479452054792</v>
      </c>
      <c r="F927" s="21">
        <v>4.3324999999999996</v>
      </c>
      <c r="G927" s="21">
        <v>-1.2499999999999289</v>
      </c>
      <c r="H927" s="21">
        <v>4.3849</v>
      </c>
      <c r="I927" s="21">
        <v>-5.2400000000000446</v>
      </c>
      <c r="J927" s="19" t="s">
        <v>17</v>
      </c>
      <c r="K927" s="19" t="s">
        <v>19</v>
      </c>
      <c r="L927" s="13">
        <v>4.04</v>
      </c>
      <c r="M927" s="14" t="s">
        <v>833</v>
      </c>
      <c r="N927" s="14" t="s">
        <v>825</v>
      </c>
      <c r="O927" s="4">
        <v>42867</v>
      </c>
    </row>
    <row r="928" spans="1:15">
      <c r="A928" s="7">
        <v>170210</v>
      </c>
      <c r="B928" s="7">
        <v>4.32</v>
      </c>
      <c r="C928" s="18" t="s">
        <v>832</v>
      </c>
      <c r="D928" s="19">
        <v>0</v>
      </c>
      <c r="E928" s="20">
        <v>9.9205479452054792</v>
      </c>
      <c r="F928" s="21">
        <v>4.3324999999999996</v>
      </c>
      <c r="G928" s="21">
        <v>-1.2499999999999289</v>
      </c>
      <c r="H928" s="21">
        <v>4.3849</v>
      </c>
      <c r="I928" s="21">
        <v>-5.2400000000000446</v>
      </c>
      <c r="J928" s="19" t="s">
        <v>17</v>
      </c>
      <c r="K928" s="19" t="s">
        <v>19</v>
      </c>
      <c r="L928" s="13">
        <v>4.04</v>
      </c>
      <c r="M928" s="14" t="s">
        <v>833</v>
      </c>
      <c r="N928" s="14" t="s">
        <v>825</v>
      </c>
      <c r="O928" s="4">
        <v>42867</v>
      </c>
    </row>
    <row r="929" spans="1:15">
      <c r="A929" s="7">
        <v>170210</v>
      </c>
      <c r="B929" s="7">
        <v>4.32</v>
      </c>
      <c r="C929" s="18" t="s">
        <v>832</v>
      </c>
      <c r="D929" s="19">
        <v>0</v>
      </c>
      <c r="E929" s="20">
        <v>9.9205479452054792</v>
      </c>
      <c r="F929" s="21">
        <v>4.3324999999999996</v>
      </c>
      <c r="G929" s="21">
        <v>-1.2499999999999289</v>
      </c>
      <c r="H929" s="21">
        <v>4.3849</v>
      </c>
      <c r="I929" s="21">
        <v>-5.2400000000000446</v>
      </c>
      <c r="J929" s="19" t="s">
        <v>17</v>
      </c>
      <c r="K929" s="19" t="s">
        <v>19</v>
      </c>
      <c r="L929" s="13">
        <v>4.04</v>
      </c>
      <c r="M929" s="14" t="s">
        <v>833</v>
      </c>
      <c r="N929" s="14" t="s">
        <v>825</v>
      </c>
      <c r="O929" s="4">
        <v>42867</v>
      </c>
    </row>
    <row r="930" spans="1:15">
      <c r="A930" s="7">
        <v>170210</v>
      </c>
      <c r="B930" s="7">
        <v>4.32</v>
      </c>
      <c r="C930" s="18" t="s">
        <v>832</v>
      </c>
      <c r="D930" s="19">
        <v>0</v>
      </c>
      <c r="E930" s="20">
        <v>9.9205479452054792</v>
      </c>
      <c r="F930" s="21">
        <v>4.3324999999999996</v>
      </c>
      <c r="G930" s="21">
        <v>-1.2499999999999289</v>
      </c>
      <c r="H930" s="21">
        <v>4.3849</v>
      </c>
      <c r="I930" s="21">
        <v>-5.2400000000000446</v>
      </c>
      <c r="J930" s="19" t="s">
        <v>17</v>
      </c>
      <c r="K930" s="19" t="s">
        <v>19</v>
      </c>
      <c r="L930" s="13">
        <v>4.04</v>
      </c>
      <c r="M930" s="14" t="s">
        <v>833</v>
      </c>
      <c r="N930" s="14" t="s">
        <v>825</v>
      </c>
      <c r="O930" s="4">
        <v>42867</v>
      </c>
    </row>
    <row r="931" spans="1:15">
      <c r="A931" s="7">
        <v>170210</v>
      </c>
      <c r="B931" s="7">
        <v>4.32</v>
      </c>
      <c r="C931" s="18" t="s">
        <v>832</v>
      </c>
      <c r="D931" s="19">
        <v>0</v>
      </c>
      <c r="E931" s="20">
        <v>9.9205479452054792</v>
      </c>
      <c r="F931" s="21">
        <v>4.3324999999999996</v>
      </c>
      <c r="G931" s="21">
        <v>-1.2499999999999289</v>
      </c>
      <c r="H931" s="21">
        <v>4.3849</v>
      </c>
      <c r="I931" s="21">
        <v>-5.2400000000000446</v>
      </c>
      <c r="J931" s="19" t="s">
        <v>17</v>
      </c>
      <c r="K931" s="19" t="s">
        <v>19</v>
      </c>
      <c r="L931" s="13">
        <v>4.04</v>
      </c>
      <c r="M931" s="14" t="s">
        <v>833</v>
      </c>
      <c r="N931" s="14" t="s">
        <v>825</v>
      </c>
      <c r="O931" s="4">
        <v>42867</v>
      </c>
    </row>
    <row r="932" spans="1:15">
      <c r="A932" s="7">
        <v>170210</v>
      </c>
      <c r="B932" s="7">
        <v>4.32</v>
      </c>
      <c r="C932" s="18" t="s">
        <v>832</v>
      </c>
      <c r="D932" s="19">
        <v>0</v>
      </c>
      <c r="E932" s="20">
        <v>9.9205479452054792</v>
      </c>
      <c r="F932" s="21">
        <v>4.3324999999999996</v>
      </c>
      <c r="G932" s="21">
        <v>-1.2499999999999289</v>
      </c>
      <c r="H932" s="21">
        <v>4.3849</v>
      </c>
      <c r="I932" s="21">
        <v>-5.2400000000000446</v>
      </c>
      <c r="J932" s="19" t="s">
        <v>17</v>
      </c>
      <c r="K932" s="19" t="s">
        <v>19</v>
      </c>
      <c r="L932" s="13">
        <v>4.04</v>
      </c>
      <c r="M932" s="14" t="s">
        <v>833</v>
      </c>
      <c r="N932" s="14" t="s">
        <v>825</v>
      </c>
      <c r="O932" s="4">
        <v>42867</v>
      </c>
    </row>
    <row r="933" spans="1:15">
      <c r="A933" s="7">
        <v>170210</v>
      </c>
      <c r="B933" s="7">
        <v>4.32</v>
      </c>
      <c r="C933" s="18" t="s">
        <v>832</v>
      </c>
      <c r="D933" s="19">
        <v>0</v>
      </c>
      <c r="E933" s="20">
        <v>9.9205479452054792</v>
      </c>
      <c r="F933" s="21">
        <v>4.3324999999999996</v>
      </c>
      <c r="G933" s="21">
        <v>-1.2499999999999289</v>
      </c>
      <c r="H933" s="21">
        <v>4.3849</v>
      </c>
      <c r="I933" s="21">
        <v>-5.2400000000000446</v>
      </c>
      <c r="J933" s="19" t="s">
        <v>17</v>
      </c>
      <c r="K933" s="19" t="s">
        <v>19</v>
      </c>
      <c r="L933" s="13">
        <v>4.04</v>
      </c>
      <c r="M933" s="14" t="s">
        <v>833</v>
      </c>
      <c r="N933" s="14" t="s">
        <v>825</v>
      </c>
      <c r="O933" s="4">
        <v>42867</v>
      </c>
    </row>
    <row r="934" spans="1:15">
      <c r="A934" s="7">
        <v>170210</v>
      </c>
      <c r="B934" s="7">
        <v>4.32</v>
      </c>
      <c r="C934" s="18" t="s">
        <v>832</v>
      </c>
      <c r="D934" s="19">
        <v>0</v>
      </c>
      <c r="E934" s="20">
        <v>9.9205479452054792</v>
      </c>
      <c r="F934" s="21">
        <v>4.3324999999999996</v>
      </c>
      <c r="G934" s="21">
        <v>-1.2499999999999289</v>
      </c>
      <c r="H934" s="21">
        <v>4.3849</v>
      </c>
      <c r="I934" s="21">
        <v>-5.2400000000000446</v>
      </c>
      <c r="J934" s="19" t="s">
        <v>17</v>
      </c>
      <c r="K934" s="19" t="s">
        <v>19</v>
      </c>
      <c r="L934" s="13">
        <v>4.04</v>
      </c>
      <c r="M934" s="14" t="s">
        <v>833</v>
      </c>
      <c r="N934" s="14" t="s">
        <v>825</v>
      </c>
      <c r="O934" s="4">
        <v>42867</v>
      </c>
    </row>
    <row r="935" spans="1:15">
      <c r="A935" s="7">
        <v>170210</v>
      </c>
      <c r="B935" s="7">
        <v>4.32</v>
      </c>
      <c r="C935" s="18" t="s">
        <v>832</v>
      </c>
      <c r="D935" s="19">
        <v>0</v>
      </c>
      <c r="E935" s="20">
        <v>9.9205479452054792</v>
      </c>
      <c r="F935" s="21">
        <v>4.3324999999999996</v>
      </c>
      <c r="G935" s="21">
        <v>-1.2499999999999289</v>
      </c>
      <c r="H935" s="21">
        <v>4.3849</v>
      </c>
      <c r="I935" s="21">
        <v>-5.2400000000000446</v>
      </c>
      <c r="J935" s="19" t="s">
        <v>17</v>
      </c>
      <c r="K935" s="19" t="s">
        <v>19</v>
      </c>
      <c r="L935" s="13">
        <v>4.04</v>
      </c>
      <c r="M935" s="14" t="s">
        <v>833</v>
      </c>
      <c r="N935" s="14" t="s">
        <v>825</v>
      </c>
      <c r="O935" s="4">
        <v>42867</v>
      </c>
    </row>
    <row r="936" spans="1:15">
      <c r="A936" s="7">
        <v>170210</v>
      </c>
      <c r="B936" s="7">
        <v>4.32</v>
      </c>
      <c r="C936" s="18" t="s">
        <v>832</v>
      </c>
      <c r="D936" s="19">
        <v>0</v>
      </c>
      <c r="E936" s="20">
        <v>9.9205479452054792</v>
      </c>
      <c r="F936" s="21">
        <v>4.3324999999999996</v>
      </c>
      <c r="G936" s="21">
        <v>-1.2499999999999289</v>
      </c>
      <c r="H936" s="21">
        <v>4.3849</v>
      </c>
      <c r="I936" s="21">
        <v>-5.2400000000000446</v>
      </c>
      <c r="J936" s="19" t="s">
        <v>17</v>
      </c>
      <c r="K936" s="19" t="s">
        <v>19</v>
      </c>
      <c r="L936" s="13">
        <v>4.04</v>
      </c>
      <c r="M936" s="14" t="s">
        <v>833</v>
      </c>
      <c r="N936" s="14" t="s">
        <v>825</v>
      </c>
      <c r="O936" s="4">
        <v>42867</v>
      </c>
    </row>
    <row r="937" spans="1:15">
      <c r="A937" s="7">
        <v>170210</v>
      </c>
      <c r="B937" s="7">
        <v>4.32</v>
      </c>
      <c r="C937" s="18" t="s">
        <v>832</v>
      </c>
      <c r="D937" s="19">
        <v>0</v>
      </c>
      <c r="E937" s="20">
        <v>9.9205479452054792</v>
      </c>
      <c r="F937" s="21">
        <v>4.3324999999999996</v>
      </c>
      <c r="G937" s="21">
        <v>-1.2499999999999289</v>
      </c>
      <c r="H937" s="21">
        <v>4.3849</v>
      </c>
      <c r="I937" s="21">
        <v>-5.2400000000000446</v>
      </c>
      <c r="J937" s="19" t="s">
        <v>17</v>
      </c>
      <c r="K937" s="19" t="s">
        <v>19</v>
      </c>
      <c r="L937" s="13">
        <v>4.04</v>
      </c>
      <c r="M937" s="14" t="s">
        <v>833</v>
      </c>
      <c r="N937" s="14" t="s">
        <v>825</v>
      </c>
      <c r="O937" s="4">
        <v>42867</v>
      </c>
    </row>
    <row r="938" spans="1:15">
      <c r="A938" s="7">
        <v>170210</v>
      </c>
      <c r="B938" s="7">
        <v>4.32</v>
      </c>
      <c r="C938" s="18" t="s">
        <v>832</v>
      </c>
      <c r="D938" s="19">
        <v>0</v>
      </c>
      <c r="E938" s="20">
        <v>9.9205479452054792</v>
      </c>
      <c r="F938" s="21">
        <v>4.3324999999999996</v>
      </c>
      <c r="G938" s="21">
        <v>-1.2499999999999289</v>
      </c>
      <c r="H938" s="21">
        <v>4.3849</v>
      </c>
      <c r="I938" s="21">
        <v>-5.2400000000000446</v>
      </c>
      <c r="J938" s="19" t="s">
        <v>17</v>
      </c>
      <c r="K938" s="19" t="s">
        <v>19</v>
      </c>
      <c r="L938" s="13">
        <v>4.04</v>
      </c>
      <c r="M938" s="14" t="s">
        <v>833</v>
      </c>
      <c r="N938" s="14" t="s">
        <v>825</v>
      </c>
      <c r="O938" s="4">
        <v>42867</v>
      </c>
    </row>
    <row r="939" spans="1:15">
      <c r="A939" s="7">
        <v>170210</v>
      </c>
      <c r="B939" s="7">
        <v>4.32</v>
      </c>
      <c r="C939" s="18" t="s">
        <v>832</v>
      </c>
      <c r="D939" s="19">
        <v>0</v>
      </c>
      <c r="E939" s="20">
        <v>9.9205479452054792</v>
      </c>
      <c r="F939" s="21">
        <v>4.3324999999999996</v>
      </c>
      <c r="G939" s="21">
        <v>-1.2499999999999289</v>
      </c>
      <c r="H939" s="21">
        <v>4.3849</v>
      </c>
      <c r="I939" s="21">
        <v>-5.2400000000000446</v>
      </c>
      <c r="J939" s="19" t="s">
        <v>17</v>
      </c>
      <c r="K939" s="19" t="s">
        <v>19</v>
      </c>
      <c r="L939" s="13">
        <v>4.04</v>
      </c>
      <c r="M939" s="14" t="s">
        <v>833</v>
      </c>
      <c r="N939" s="14" t="s">
        <v>825</v>
      </c>
      <c r="O939" s="4">
        <v>42867</v>
      </c>
    </row>
    <row r="940" spans="1:15">
      <c r="A940" s="7">
        <v>170210</v>
      </c>
      <c r="B940" s="7">
        <v>4.32</v>
      </c>
      <c r="C940" s="18" t="s">
        <v>832</v>
      </c>
      <c r="D940" s="19">
        <v>0</v>
      </c>
      <c r="E940" s="20">
        <v>9.9205479452054792</v>
      </c>
      <c r="F940" s="21">
        <v>4.3324999999999996</v>
      </c>
      <c r="G940" s="21">
        <v>-1.2499999999999289</v>
      </c>
      <c r="H940" s="21">
        <v>4.3849</v>
      </c>
      <c r="I940" s="21">
        <v>-5.2400000000000446</v>
      </c>
      <c r="J940" s="19" t="s">
        <v>17</v>
      </c>
      <c r="K940" s="19" t="s">
        <v>19</v>
      </c>
      <c r="L940" s="13">
        <v>4.04</v>
      </c>
      <c r="M940" s="14" t="s">
        <v>833</v>
      </c>
      <c r="N940" s="14" t="s">
        <v>825</v>
      </c>
      <c r="O940" s="4">
        <v>42867</v>
      </c>
    </row>
    <row r="941" spans="1:15">
      <c r="A941" s="7">
        <v>170210</v>
      </c>
      <c r="B941" s="7">
        <v>4.32</v>
      </c>
      <c r="C941" s="18" t="s">
        <v>832</v>
      </c>
      <c r="D941" s="19">
        <v>0</v>
      </c>
      <c r="E941" s="20">
        <v>9.9205479452054792</v>
      </c>
      <c r="F941" s="21">
        <v>4.3324999999999996</v>
      </c>
      <c r="G941" s="21">
        <v>-1.2499999999999289</v>
      </c>
      <c r="H941" s="21">
        <v>4.3849</v>
      </c>
      <c r="I941" s="21">
        <v>-5.2400000000000446</v>
      </c>
      <c r="J941" s="19" t="s">
        <v>17</v>
      </c>
      <c r="K941" s="19" t="s">
        <v>19</v>
      </c>
      <c r="L941" s="13">
        <v>4.04</v>
      </c>
      <c r="M941" s="14" t="s">
        <v>833</v>
      </c>
      <c r="N941" s="14" t="s">
        <v>825</v>
      </c>
      <c r="O941" s="4">
        <v>42867</v>
      </c>
    </row>
    <row r="942" spans="1:15">
      <c r="A942" s="7">
        <v>170210</v>
      </c>
      <c r="B942" s="7">
        <v>4.32</v>
      </c>
      <c r="C942" s="18" t="s">
        <v>832</v>
      </c>
      <c r="D942" s="19">
        <v>0</v>
      </c>
      <c r="E942" s="20">
        <v>9.9205479452054792</v>
      </c>
      <c r="F942" s="21">
        <v>4.3324999999999996</v>
      </c>
      <c r="G942" s="21">
        <v>-1.2499999999999289</v>
      </c>
      <c r="H942" s="21">
        <v>4.3849</v>
      </c>
      <c r="I942" s="21">
        <v>-5.2400000000000446</v>
      </c>
      <c r="J942" s="19" t="s">
        <v>17</v>
      </c>
      <c r="K942" s="19" t="s">
        <v>19</v>
      </c>
      <c r="L942" s="13">
        <v>4.04</v>
      </c>
      <c r="M942" s="14" t="s">
        <v>833</v>
      </c>
      <c r="N942" s="14" t="s">
        <v>825</v>
      </c>
      <c r="O942" s="4">
        <v>42867</v>
      </c>
    </row>
    <row r="943" spans="1:15">
      <c r="A943" s="7">
        <v>170210</v>
      </c>
      <c r="B943" s="7">
        <v>4.32</v>
      </c>
      <c r="C943" s="18" t="s">
        <v>832</v>
      </c>
      <c r="D943" s="19">
        <v>0</v>
      </c>
      <c r="E943" s="20">
        <v>9.9205479452054792</v>
      </c>
      <c r="F943" s="21">
        <v>4.3324999999999996</v>
      </c>
      <c r="G943" s="21">
        <v>-1.2499999999999289</v>
      </c>
      <c r="H943" s="21">
        <v>4.3849</v>
      </c>
      <c r="I943" s="21">
        <v>-5.2400000000000446</v>
      </c>
      <c r="J943" s="19" t="s">
        <v>17</v>
      </c>
      <c r="K943" s="19" t="s">
        <v>19</v>
      </c>
      <c r="L943" s="13">
        <v>4.04</v>
      </c>
      <c r="M943" s="14" t="s">
        <v>833</v>
      </c>
      <c r="N943" s="14" t="s">
        <v>825</v>
      </c>
      <c r="O943" s="4">
        <v>42867</v>
      </c>
    </row>
    <row r="944" spans="1:15">
      <c r="A944" s="7">
        <v>170210</v>
      </c>
      <c r="B944" s="7">
        <v>4.32</v>
      </c>
      <c r="C944" s="18" t="s">
        <v>832</v>
      </c>
      <c r="D944" s="19">
        <v>0</v>
      </c>
      <c r="E944" s="20">
        <v>9.9205479452054792</v>
      </c>
      <c r="F944" s="21">
        <v>4.3324999999999996</v>
      </c>
      <c r="G944" s="21">
        <v>-1.2499999999999289</v>
      </c>
      <c r="H944" s="21">
        <v>4.3849</v>
      </c>
      <c r="I944" s="21">
        <v>-5.2400000000000446</v>
      </c>
      <c r="J944" s="19" t="s">
        <v>17</v>
      </c>
      <c r="K944" s="19" t="s">
        <v>19</v>
      </c>
      <c r="L944" s="13">
        <v>4.04</v>
      </c>
      <c r="M944" s="14" t="s">
        <v>833</v>
      </c>
      <c r="N944" s="14" t="s">
        <v>825</v>
      </c>
      <c r="O944" s="4">
        <v>42867</v>
      </c>
    </row>
    <row r="945" spans="1:15">
      <c r="A945" s="7">
        <v>170210</v>
      </c>
      <c r="B945" s="7">
        <v>4.32</v>
      </c>
      <c r="C945" s="18" t="s">
        <v>832</v>
      </c>
      <c r="D945" s="19">
        <v>0</v>
      </c>
      <c r="E945" s="20">
        <v>9.9205479452054792</v>
      </c>
      <c r="F945" s="21">
        <v>4.3324999999999996</v>
      </c>
      <c r="G945" s="21">
        <v>-1.2499999999999289</v>
      </c>
      <c r="H945" s="21">
        <v>4.3849</v>
      </c>
      <c r="I945" s="21">
        <v>-5.2400000000000446</v>
      </c>
      <c r="J945" s="19" t="s">
        <v>17</v>
      </c>
      <c r="K945" s="19" t="s">
        <v>19</v>
      </c>
      <c r="L945" s="13">
        <v>4.04</v>
      </c>
      <c r="M945" s="14" t="s">
        <v>833</v>
      </c>
      <c r="N945" s="14" t="s">
        <v>825</v>
      </c>
      <c r="O945" s="4">
        <v>42867</v>
      </c>
    </row>
    <row r="946" spans="1:15">
      <c r="A946" s="7">
        <v>170210</v>
      </c>
      <c r="B946" s="7">
        <v>4.32</v>
      </c>
      <c r="C946" s="18" t="s">
        <v>832</v>
      </c>
      <c r="D946" s="19">
        <v>0</v>
      </c>
      <c r="E946" s="20">
        <v>9.9205479452054792</v>
      </c>
      <c r="F946" s="21">
        <v>4.3324999999999996</v>
      </c>
      <c r="G946" s="21">
        <v>-1.2499999999999289</v>
      </c>
      <c r="H946" s="21">
        <v>4.3849</v>
      </c>
      <c r="I946" s="21">
        <v>-5.2400000000000446</v>
      </c>
      <c r="J946" s="19" t="s">
        <v>17</v>
      </c>
      <c r="K946" s="19" t="s">
        <v>19</v>
      </c>
      <c r="L946" s="13">
        <v>4.04</v>
      </c>
      <c r="M946" s="14" t="s">
        <v>833</v>
      </c>
      <c r="N946" s="14" t="s">
        <v>825</v>
      </c>
      <c r="O946" s="4">
        <v>42867</v>
      </c>
    </row>
    <row r="947" spans="1:15">
      <c r="A947" s="7">
        <v>170210</v>
      </c>
      <c r="B947" s="7">
        <v>4.32</v>
      </c>
      <c r="C947" s="18" t="s">
        <v>832</v>
      </c>
      <c r="D947" s="19">
        <v>0</v>
      </c>
      <c r="E947" s="20">
        <v>9.9205479452054792</v>
      </c>
      <c r="F947" s="21">
        <v>4.3324999999999996</v>
      </c>
      <c r="G947" s="21">
        <v>-1.2499999999999289</v>
      </c>
      <c r="H947" s="21">
        <v>4.3849</v>
      </c>
      <c r="I947" s="21">
        <v>-5.2400000000000446</v>
      </c>
      <c r="J947" s="19" t="s">
        <v>17</v>
      </c>
      <c r="K947" s="19" t="s">
        <v>19</v>
      </c>
      <c r="L947" s="13">
        <v>4.04</v>
      </c>
      <c r="M947" s="14" t="s">
        <v>833</v>
      </c>
      <c r="N947" s="14" t="s">
        <v>825</v>
      </c>
      <c r="O947" s="4">
        <v>42867</v>
      </c>
    </row>
    <row r="948" spans="1:15">
      <c r="A948" s="7">
        <v>170210</v>
      </c>
      <c r="B948" s="7">
        <v>4.32</v>
      </c>
      <c r="C948" s="18" t="s">
        <v>832</v>
      </c>
      <c r="D948" s="19">
        <v>0</v>
      </c>
      <c r="E948" s="20">
        <v>9.9205479452054792</v>
      </c>
      <c r="F948" s="21">
        <v>4.3324999999999996</v>
      </c>
      <c r="G948" s="21">
        <v>-1.2499999999999289</v>
      </c>
      <c r="H948" s="21">
        <v>4.3849</v>
      </c>
      <c r="I948" s="21">
        <v>-5.2400000000000446</v>
      </c>
      <c r="J948" s="19" t="s">
        <v>17</v>
      </c>
      <c r="K948" s="19" t="s">
        <v>19</v>
      </c>
      <c r="L948" s="13">
        <v>4.04</v>
      </c>
      <c r="M948" s="14" t="s">
        <v>833</v>
      </c>
      <c r="N948" s="14" t="s">
        <v>825</v>
      </c>
      <c r="O948" s="4">
        <v>42867</v>
      </c>
    </row>
    <row r="949" spans="1:15">
      <c r="A949" s="7">
        <v>170210</v>
      </c>
      <c r="B949" s="7">
        <v>4.32</v>
      </c>
      <c r="C949" s="18" t="s">
        <v>832</v>
      </c>
      <c r="D949" s="19">
        <v>0</v>
      </c>
      <c r="E949" s="20">
        <v>9.9205479452054792</v>
      </c>
      <c r="F949" s="21">
        <v>4.3324999999999996</v>
      </c>
      <c r="G949" s="21">
        <v>-1.2499999999999289</v>
      </c>
      <c r="H949" s="21">
        <v>4.3849</v>
      </c>
      <c r="I949" s="21">
        <v>-5.2400000000000446</v>
      </c>
      <c r="J949" s="19" t="s">
        <v>17</v>
      </c>
      <c r="K949" s="19" t="s">
        <v>19</v>
      </c>
      <c r="L949" s="13">
        <v>4.04</v>
      </c>
      <c r="M949" s="14" t="s">
        <v>833</v>
      </c>
      <c r="N949" s="14" t="s">
        <v>825</v>
      </c>
      <c r="O949" s="4">
        <v>42867</v>
      </c>
    </row>
    <row r="950" spans="1:15">
      <c r="A950" s="7">
        <v>170210</v>
      </c>
      <c r="B950" s="7">
        <v>4.32</v>
      </c>
      <c r="C950" s="18" t="s">
        <v>832</v>
      </c>
      <c r="D950" s="19">
        <v>0</v>
      </c>
      <c r="E950" s="20">
        <v>9.9205479452054792</v>
      </c>
      <c r="F950" s="21">
        <v>4.3324999999999996</v>
      </c>
      <c r="G950" s="21">
        <v>-1.2499999999999289</v>
      </c>
      <c r="H950" s="21">
        <v>4.3849</v>
      </c>
      <c r="I950" s="21">
        <v>-5.2400000000000446</v>
      </c>
      <c r="J950" s="19" t="s">
        <v>17</v>
      </c>
      <c r="K950" s="19" t="s">
        <v>19</v>
      </c>
      <c r="L950" s="13">
        <v>4.04</v>
      </c>
      <c r="M950" s="14" t="s">
        <v>833</v>
      </c>
      <c r="N950" s="14" t="s">
        <v>825</v>
      </c>
      <c r="O950" s="4">
        <v>42867</v>
      </c>
    </row>
    <row r="951" spans="1:15">
      <c r="A951" s="7">
        <v>170210</v>
      </c>
      <c r="B951" s="7">
        <v>4.32</v>
      </c>
      <c r="C951" s="18" t="s">
        <v>832</v>
      </c>
      <c r="D951" s="19">
        <v>0</v>
      </c>
      <c r="E951" s="20">
        <v>9.9205479452054792</v>
      </c>
      <c r="F951" s="21">
        <v>4.3324999999999996</v>
      </c>
      <c r="G951" s="21">
        <v>-1.2499999999999289</v>
      </c>
      <c r="H951" s="21">
        <v>4.3849</v>
      </c>
      <c r="I951" s="21">
        <v>-5.2400000000000446</v>
      </c>
      <c r="J951" s="19" t="s">
        <v>17</v>
      </c>
      <c r="K951" s="19" t="s">
        <v>19</v>
      </c>
      <c r="L951" s="13">
        <v>4.04</v>
      </c>
      <c r="M951" s="14" t="s">
        <v>833</v>
      </c>
      <c r="N951" s="14" t="s">
        <v>825</v>
      </c>
      <c r="O951" s="4">
        <v>42867</v>
      </c>
    </row>
    <row r="952" spans="1:15">
      <c r="A952" s="7">
        <v>170210</v>
      </c>
      <c r="B952" s="7">
        <v>4.32</v>
      </c>
      <c r="C952" s="18" t="s">
        <v>832</v>
      </c>
      <c r="D952" s="19">
        <v>0</v>
      </c>
      <c r="E952" s="20">
        <v>9.9205479452054792</v>
      </c>
      <c r="F952" s="21">
        <v>4.3324999999999996</v>
      </c>
      <c r="G952" s="21">
        <v>-1.2499999999999289</v>
      </c>
      <c r="H952" s="21">
        <v>4.3849</v>
      </c>
      <c r="I952" s="21">
        <v>-5.2400000000000446</v>
      </c>
      <c r="J952" s="19" t="s">
        <v>17</v>
      </c>
      <c r="K952" s="19" t="s">
        <v>19</v>
      </c>
      <c r="L952" s="13">
        <v>4.04</v>
      </c>
      <c r="M952" s="14" t="s">
        <v>833</v>
      </c>
      <c r="N952" s="14" t="s">
        <v>825</v>
      </c>
      <c r="O952" s="4">
        <v>42867</v>
      </c>
    </row>
    <row r="953" spans="1:15">
      <c r="A953" s="7">
        <v>170210</v>
      </c>
      <c r="B953" s="7">
        <v>4.32</v>
      </c>
      <c r="C953" s="18" t="s">
        <v>832</v>
      </c>
      <c r="D953" s="19">
        <v>0</v>
      </c>
      <c r="E953" s="20">
        <v>9.9205479452054792</v>
      </c>
      <c r="F953" s="21">
        <v>4.3324999999999996</v>
      </c>
      <c r="G953" s="21">
        <v>-1.2499999999999289</v>
      </c>
      <c r="H953" s="21">
        <v>4.3849</v>
      </c>
      <c r="I953" s="21">
        <v>-5.2400000000000446</v>
      </c>
      <c r="J953" s="19" t="s">
        <v>17</v>
      </c>
      <c r="K953" s="19" t="s">
        <v>19</v>
      </c>
      <c r="L953" s="13">
        <v>4.04</v>
      </c>
      <c r="M953" s="14" t="s">
        <v>833</v>
      </c>
      <c r="N953" s="14" t="s">
        <v>825</v>
      </c>
      <c r="O953" s="4">
        <v>42867</v>
      </c>
    </row>
    <row r="954" spans="1:15">
      <c r="A954" s="7">
        <v>170210</v>
      </c>
      <c r="B954" s="7">
        <v>4.32</v>
      </c>
      <c r="C954" s="18" t="s">
        <v>832</v>
      </c>
      <c r="D954" s="19">
        <v>0</v>
      </c>
      <c r="E954" s="20">
        <v>9.9205479452054792</v>
      </c>
      <c r="F954" s="21">
        <v>4.3324999999999996</v>
      </c>
      <c r="G954" s="21">
        <v>-1.2499999999999289</v>
      </c>
      <c r="H954" s="21">
        <v>4.3849</v>
      </c>
      <c r="I954" s="21">
        <v>-5.2400000000000446</v>
      </c>
      <c r="J954" s="19" t="s">
        <v>17</v>
      </c>
      <c r="K954" s="19" t="s">
        <v>19</v>
      </c>
      <c r="L954" s="13">
        <v>4.04</v>
      </c>
      <c r="M954" s="14" t="s">
        <v>833</v>
      </c>
      <c r="N954" s="14" t="s">
        <v>825</v>
      </c>
      <c r="O954" s="4">
        <v>42867</v>
      </c>
    </row>
    <row r="955" spans="1:15">
      <c r="A955" s="7">
        <v>170210</v>
      </c>
      <c r="B955" s="7">
        <v>4.32</v>
      </c>
      <c r="C955" s="18" t="s">
        <v>832</v>
      </c>
      <c r="D955" s="19">
        <v>0</v>
      </c>
      <c r="E955" s="20">
        <v>9.9205479452054792</v>
      </c>
      <c r="F955" s="21">
        <v>4.3324999999999996</v>
      </c>
      <c r="G955" s="21">
        <v>-1.2499999999999289</v>
      </c>
      <c r="H955" s="21">
        <v>4.3849</v>
      </c>
      <c r="I955" s="21">
        <v>-5.2400000000000446</v>
      </c>
      <c r="J955" s="19" t="s">
        <v>17</v>
      </c>
      <c r="K955" s="19" t="s">
        <v>19</v>
      </c>
      <c r="L955" s="13">
        <v>4.04</v>
      </c>
      <c r="M955" s="14" t="s">
        <v>833</v>
      </c>
      <c r="N955" s="14" t="s">
        <v>825</v>
      </c>
      <c r="O955" s="4">
        <v>42867</v>
      </c>
    </row>
    <row r="956" spans="1:15">
      <c r="A956" s="7">
        <v>170210</v>
      </c>
      <c r="B956" s="7">
        <v>4.32</v>
      </c>
      <c r="C956" s="18" t="s">
        <v>832</v>
      </c>
      <c r="D956" s="19">
        <v>0</v>
      </c>
      <c r="E956" s="20">
        <v>9.9205479452054792</v>
      </c>
      <c r="F956" s="21">
        <v>4.3324999999999996</v>
      </c>
      <c r="G956" s="21">
        <v>-1.2499999999999289</v>
      </c>
      <c r="H956" s="21">
        <v>4.3849</v>
      </c>
      <c r="I956" s="21">
        <v>-5.2400000000000446</v>
      </c>
      <c r="J956" s="19" t="s">
        <v>17</v>
      </c>
      <c r="K956" s="19" t="s">
        <v>19</v>
      </c>
      <c r="L956" s="13">
        <v>4.04</v>
      </c>
      <c r="M956" s="14" t="s">
        <v>833</v>
      </c>
      <c r="N956" s="14" t="s">
        <v>825</v>
      </c>
      <c r="O956" s="4">
        <v>42867</v>
      </c>
    </row>
    <row r="957" spans="1:15">
      <c r="A957" s="7">
        <v>170210</v>
      </c>
      <c r="B957" s="7">
        <v>4.32</v>
      </c>
      <c r="C957" s="18" t="s">
        <v>832</v>
      </c>
      <c r="D957" s="19">
        <v>0</v>
      </c>
      <c r="E957" s="20">
        <v>9.9205479452054792</v>
      </c>
      <c r="F957" s="21">
        <v>4.3324999999999996</v>
      </c>
      <c r="G957" s="21">
        <v>-1.2499999999999289</v>
      </c>
      <c r="H957" s="21">
        <v>4.3849</v>
      </c>
      <c r="I957" s="21">
        <v>-5.2400000000000446</v>
      </c>
      <c r="J957" s="19" t="s">
        <v>17</v>
      </c>
      <c r="K957" s="19" t="s">
        <v>19</v>
      </c>
      <c r="L957" s="13">
        <v>4.04</v>
      </c>
      <c r="M957" s="14" t="s">
        <v>833</v>
      </c>
      <c r="N957" s="14" t="s">
        <v>825</v>
      </c>
      <c r="O957" s="4">
        <v>42867</v>
      </c>
    </row>
    <row r="958" spans="1:15">
      <c r="A958" s="7">
        <v>170210</v>
      </c>
      <c r="B958" s="7">
        <v>4.32</v>
      </c>
      <c r="C958" s="18" t="s">
        <v>832</v>
      </c>
      <c r="D958" s="19">
        <v>0</v>
      </c>
      <c r="E958" s="20">
        <v>9.9205479452054792</v>
      </c>
      <c r="F958" s="21">
        <v>4.3324999999999996</v>
      </c>
      <c r="G958" s="21">
        <v>-1.2499999999999289</v>
      </c>
      <c r="H958" s="21">
        <v>4.3849</v>
      </c>
      <c r="I958" s="21">
        <v>-5.2400000000000446</v>
      </c>
      <c r="J958" s="19" t="s">
        <v>17</v>
      </c>
      <c r="K958" s="19" t="s">
        <v>19</v>
      </c>
      <c r="L958" s="13">
        <v>4.04</v>
      </c>
      <c r="M958" s="14" t="s">
        <v>833</v>
      </c>
      <c r="N958" s="14" t="s">
        <v>825</v>
      </c>
      <c r="O958" s="4">
        <v>42867</v>
      </c>
    </row>
    <row r="959" spans="1:15">
      <c r="A959" s="7">
        <v>170210</v>
      </c>
      <c r="B959" s="7">
        <v>4.32</v>
      </c>
      <c r="C959" s="18" t="s">
        <v>832</v>
      </c>
      <c r="D959" s="19">
        <v>0</v>
      </c>
      <c r="E959" s="20">
        <v>9.9205479452054792</v>
      </c>
      <c r="F959" s="21">
        <v>4.3324999999999996</v>
      </c>
      <c r="G959" s="21">
        <v>-1.2499999999999289</v>
      </c>
      <c r="H959" s="21">
        <v>4.3849</v>
      </c>
      <c r="I959" s="21">
        <v>-5.2400000000000446</v>
      </c>
      <c r="J959" s="19" t="s">
        <v>17</v>
      </c>
      <c r="K959" s="19" t="s">
        <v>19</v>
      </c>
      <c r="L959" s="13">
        <v>4.04</v>
      </c>
      <c r="M959" s="14" t="s">
        <v>833</v>
      </c>
      <c r="N959" s="14" t="s">
        <v>825</v>
      </c>
      <c r="O959" s="4">
        <v>42867</v>
      </c>
    </row>
    <row r="960" spans="1:15">
      <c r="A960" s="7">
        <v>170210</v>
      </c>
      <c r="B960" s="7">
        <v>4.32</v>
      </c>
      <c r="C960" s="18" t="s">
        <v>832</v>
      </c>
      <c r="D960" s="19">
        <v>0</v>
      </c>
      <c r="E960" s="20">
        <v>9.9205479452054792</v>
      </c>
      <c r="F960" s="21">
        <v>4.3324999999999996</v>
      </c>
      <c r="G960" s="21">
        <v>-1.2499999999999289</v>
      </c>
      <c r="H960" s="21">
        <v>4.3849</v>
      </c>
      <c r="I960" s="21">
        <v>-5.2400000000000446</v>
      </c>
      <c r="J960" s="19" t="s">
        <v>17</v>
      </c>
      <c r="K960" s="19" t="s">
        <v>19</v>
      </c>
      <c r="L960" s="13">
        <v>4.04</v>
      </c>
      <c r="M960" s="14" t="s">
        <v>833</v>
      </c>
      <c r="N960" s="14" t="s">
        <v>825</v>
      </c>
      <c r="O960" s="4">
        <v>42867</v>
      </c>
    </row>
    <row r="961" spans="1:15">
      <c r="A961" s="7">
        <v>170210</v>
      </c>
      <c r="B961" s="7">
        <v>4.32</v>
      </c>
      <c r="C961" s="18" t="s">
        <v>832</v>
      </c>
      <c r="D961" s="19">
        <v>0</v>
      </c>
      <c r="E961" s="20">
        <v>9.9205479452054792</v>
      </c>
      <c r="F961" s="21">
        <v>4.3324999999999996</v>
      </c>
      <c r="G961" s="21">
        <v>-1.2499999999999289</v>
      </c>
      <c r="H961" s="21">
        <v>4.3849</v>
      </c>
      <c r="I961" s="21">
        <v>-5.2400000000000446</v>
      </c>
      <c r="J961" s="19" t="s">
        <v>17</v>
      </c>
      <c r="K961" s="19" t="s">
        <v>19</v>
      </c>
      <c r="L961" s="13">
        <v>4.04</v>
      </c>
      <c r="M961" s="14" t="s">
        <v>833</v>
      </c>
      <c r="N961" s="14" t="s">
        <v>825</v>
      </c>
      <c r="O961" s="4">
        <v>42867</v>
      </c>
    </row>
    <row r="962" spans="1:15">
      <c r="A962" s="7">
        <v>170210</v>
      </c>
      <c r="B962" s="7">
        <v>4.32</v>
      </c>
      <c r="C962" s="18" t="s">
        <v>832</v>
      </c>
      <c r="D962" s="19">
        <v>0</v>
      </c>
      <c r="E962" s="20">
        <v>9.9205479452054792</v>
      </c>
      <c r="F962" s="21">
        <v>4.3324999999999996</v>
      </c>
      <c r="G962" s="21">
        <v>-1.2499999999999289</v>
      </c>
      <c r="H962" s="21">
        <v>4.3849</v>
      </c>
      <c r="I962" s="21">
        <v>-5.2400000000000446</v>
      </c>
      <c r="J962" s="19" t="s">
        <v>17</v>
      </c>
      <c r="K962" s="19" t="s">
        <v>19</v>
      </c>
      <c r="L962" s="13">
        <v>4.04</v>
      </c>
      <c r="M962" s="14" t="s">
        <v>833</v>
      </c>
      <c r="N962" s="14" t="s">
        <v>825</v>
      </c>
      <c r="O962" s="4">
        <v>42867</v>
      </c>
    </row>
    <row r="963" spans="1:15">
      <c r="A963" s="7">
        <v>170210</v>
      </c>
      <c r="B963" s="7">
        <v>4.32</v>
      </c>
      <c r="C963" s="18" t="s">
        <v>832</v>
      </c>
      <c r="D963" s="19">
        <v>0</v>
      </c>
      <c r="E963" s="20">
        <v>9.9205479452054792</v>
      </c>
      <c r="F963" s="21">
        <v>4.3324999999999996</v>
      </c>
      <c r="G963" s="21">
        <v>-1.2499999999999289</v>
      </c>
      <c r="H963" s="21">
        <v>4.3849</v>
      </c>
      <c r="I963" s="21">
        <v>-5.2400000000000446</v>
      </c>
      <c r="J963" s="19" t="s">
        <v>17</v>
      </c>
      <c r="K963" s="19" t="s">
        <v>19</v>
      </c>
      <c r="L963" s="13">
        <v>4.04</v>
      </c>
      <c r="M963" s="14" t="s">
        <v>833</v>
      </c>
      <c r="N963" s="14" t="s">
        <v>825</v>
      </c>
      <c r="O963" s="4">
        <v>42867</v>
      </c>
    </row>
    <row r="964" spans="1:15">
      <c r="A964" s="7">
        <v>170210</v>
      </c>
      <c r="B964" s="7">
        <v>4.32</v>
      </c>
      <c r="C964" s="18" t="s">
        <v>832</v>
      </c>
      <c r="D964" s="19">
        <v>0</v>
      </c>
      <c r="E964" s="20">
        <v>9.9205479452054792</v>
      </c>
      <c r="F964" s="21">
        <v>4.3324999999999996</v>
      </c>
      <c r="G964" s="21">
        <v>-1.2499999999999289</v>
      </c>
      <c r="H964" s="21">
        <v>4.3849</v>
      </c>
      <c r="I964" s="21">
        <v>-5.2400000000000446</v>
      </c>
      <c r="J964" s="19" t="s">
        <v>17</v>
      </c>
      <c r="K964" s="19" t="s">
        <v>19</v>
      </c>
      <c r="L964" s="13">
        <v>4.04</v>
      </c>
      <c r="M964" s="14" t="s">
        <v>833</v>
      </c>
      <c r="N964" s="14" t="s">
        <v>825</v>
      </c>
      <c r="O964" s="4">
        <v>42867</v>
      </c>
    </row>
    <row r="965" spans="1:15">
      <c r="A965" s="7">
        <v>170210</v>
      </c>
      <c r="B965" s="7">
        <v>4.32</v>
      </c>
      <c r="C965" s="18" t="s">
        <v>832</v>
      </c>
      <c r="D965" s="19">
        <v>0</v>
      </c>
      <c r="E965" s="20">
        <v>9.9205479452054792</v>
      </c>
      <c r="F965" s="21">
        <v>4.3324999999999996</v>
      </c>
      <c r="G965" s="21">
        <v>-1.2499999999999289</v>
      </c>
      <c r="H965" s="21">
        <v>4.3849</v>
      </c>
      <c r="I965" s="21">
        <v>-5.2400000000000446</v>
      </c>
      <c r="J965" s="19" t="s">
        <v>17</v>
      </c>
      <c r="K965" s="19" t="s">
        <v>19</v>
      </c>
      <c r="L965" s="13">
        <v>4.04</v>
      </c>
      <c r="M965" s="14" t="s">
        <v>833</v>
      </c>
      <c r="N965" s="14" t="s">
        <v>825</v>
      </c>
      <c r="O965" s="4">
        <v>42867</v>
      </c>
    </row>
    <row r="966" spans="1:15">
      <c r="A966" s="7">
        <v>170210</v>
      </c>
      <c r="B966" s="7">
        <v>4.32</v>
      </c>
      <c r="C966" s="18" t="s">
        <v>832</v>
      </c>
      <c r="D966" s="19">
        <v>0</v>
      </c>
      <c r="E966" s="20">
        <v>9.9205479452054792</v>
      </c>
      <c r="F966" s="21">
        <v>4.3324999999999996</v>
      </c>
      <c r="G966" s="21">
        <v>-1.2499999999999289</v>
      </c>
      <c r="H966" s="21">
        <v>4.3849</v>
      </c>
      <c r="I966" s="21">
        <v>-5.2400000000000446</v>
      </c>
      <c r="J966" s="19" t="s">
        <v>17</v>
      </c>
      <c r="K966" s="19" t="s">
        <v>19</v>
      </c>
      <c r="L966" s="13">
        <v>4.04</v>
      </c>
      <c r="M966" s="14" t="s">
        <v>833</v>
      </c>
      <c r="N966" s="14" t="s">
        <v>825</v>
      </c>
      <c r="O966" s="4">
        <v>42867</v>
      </c>
    </row>
    <row r="967" spans="1:15">
      <c r="A967" s="7">
        <v>170210</v>
      </c>
      <c r="B967" s="7">
        <v>4.32</v>
      </c>
      <c r="C967" s="18" t="s">
        <v>832</v>
      </c>
      <c r="D967" s="19">
        <v>0</v>
      </c>
      <c r="E967" s="20">
        <v>9.9205479452054792</v>
      </c>
      <c r="F967" s="21">
        <v>4.3324999999999996</v>
      </c>
      <c r="G967" s="21">
        <v>-1.2499999999999289</v>
      </c>
      <c r="H967" s="21">
        <v>4.3849</v>
      </c>
      <c r="I967" s="21">
        <v>-5.2400000000000446</v>
      </c>
      <c r="J967" s="19" t="s">
        <v>17</v>
      </c>
      <c r="K967" s="19" t="s">
        <v>19</v>
      </c>
      <c r="L967" s="13">
        <v>4.04</v>
      </c>
      <c r="M967" s="14" t="s">
        <v>833</v>
      </c>
      <c r="N967" s="14" t="s">
        <v>825</v>
      </c>
      <c r="O967" s="4">
        <v>42867</v>
      </c>
    </row>
    <row r="968" spans="1:15">
      <c r="A968" s="7">
        <v>170210</v>
      </c>
      <c r="B968" s="7">
        <v>4.32</v>
      </c>
      <c r="C968" s="18" t="s">
        <v>832</v>
      </c>
      <c r="D968" s="19">
        <v>0</v>
      </c>
      <c r="E968" s="20">
        <v>9.9205479452054792</v>
      </c>
      <c r="F968" s="21">
        <v>4.3324999999999996</v>
      </c>
      <c r="G968" s="21">
        <v>-1.2499999999999289</v>
      </c>
      <c r="H968" s="21">
        <v>4.3849</v>
      </c>
      <c r="I968" s="21">
        <v>-5.2400000000000446</v>
      </c>
      <c r="J968" s="19" t="s">
        <v>17</v>
      </c>
      <c r="K968" s="19" t="s">
        <v>19</v>
      </c>
      <c r="L968" s="13">
        <v>4.04</v>
      </c>
      <c r="M968" s="14" t="s">
        <v>833</v>
      </c>
      <c r="N968" s="14" t="s">
        <v>825</v>
      </c>
      <c r="O968" s="4">
        <v>42867</v>
      </c>
    </row>
    <row r="969" spans="1:15">
      <c r="A969" s="7">
        <v>170210</v>
      </c>
      <c r="B969" s="7">
        <v>4.32</v>
      </c>
      <c r="C969" s="18" t="s">
        <v>832</v>
      </c>
      <c r="D969" s="19">
        <v>0</v>
      </c>
      <c r="E969" s="20">
        <v>9.9205479452054792</v>
      </c>
      <c r="F969" s="21">
        <v>4.3324999999999996</v>
      </c>
      <c r="G969" s="21">
        <v>-1.2499999999999289</v>
      </c>
      <c r="H969" s="21">
        <v>4.3849</v>
      </c>
      <c r="I969" s="21">
        <v>-5.2400000000000446</v>
      </c>
      <c r="J969" s="19" t="s">
        <v>17</v>
      </c>
      <c r="K969" s="19" t="s">
        <v>19</v>
      </c>
      <c r="L969" s="13">
        <v>4.04</v>
      </c>
      <c r="M969" s="14" t="s">
        <v>833</v>
      </c>
      <c r="N969" s="14" t="s">
        <v>825</v>
      </c>
      <c r="O969" s="4">
        <v>42867</v>
      </c>
    </row>
    <row r="970" spans="1:15">
      <c r="A970" s="7">
        <v>170210</v>
      </c>
      <c r="B970" s="7">
        <v>4.32</v>
      </c>
      <c r="C970" s="18" t="s">
        <v>832</v>
      </c>
      <c r="D970" s="19">
        <v>0</v>
      </c>
      <c r="E970" s="20">
        <v>9.9205479452054792</v>
      </c>
      <c r="F970" s="21">
        <v>4.3324999999999996</v>
      </c>
      <c r="G970" s="21">
        <v>-1.2499999999999289</v>
      </c>
      <c r="H970" s="21">
        <v>4.3849</v>
      </c>
      <c r="I970" s="21">
        <v>-5.2400000000000446</v>
      </c>
      <c r="J970" s="19" t="s">
        <v>17</v>
      </c>
      <c r="K970" s="19" t="s">
        <v>19</v>
      </c>
      <c r="L970" s="13">
        <v>4.04</v>
      </c>
      <c r="M970" s="14" t="s">
        <v>833</v>
      </c>
      <c r="N970" s="14" t="s">
        <v>825</v>
      </c>
      <c r="O970" s="4">
        <v>42867</v>
      </c>
    </row>
    <row r="971" spans="1:15">
      <c r="A971" s="7">
        <v>160215</v>
      </c>
      <c r="B971" s="7">
        <v>4.32</v>
      </c>
      <c r="C971" s="18" t="s">
        <v>608</v>
      </c>
      <c r="D971" s="19">
        <v>0</v>
      </c>
      <c r="E971" s="20">
        <v>2.4438356164383563</v>
      </c>
      <c r="F971" s="21">
        <v>4.2866</v>
      </c>
      <c r="G971" s="21">
        <v>3.3400000000000318</v>
      </c>
      <c r="H971" s="21">
        <v>4.2464000000000004</v>
      </c>
      <c r="I971" s="21">
        <v>4.0199999999999569</v>
      </c>
      <c r="J971" s="19" t="s">
        <v>17</v>
      </c>
      <c r="K971" s="19" t="s">
        <v>19</v>
      </c>
      <c r="L971" s="13">
        <v>2.65</v>
      </c>
      <c r="M971" s="14" t="s">
        <v>551</v>
      </c>
      <c r="N971" s="14" t="s">
        <v>546</v>
      </c>
      <c r="O971" s="4">
        <v>42867</v>
      </c>
    </row>
    <row r="972" spans="1:15">
      <c r="A972" s="7" t="s">
        <v>945</v>
      </c>
      <c r="B972" s="7">
        <v>4.3</v>
      </c>
      <c r="C972" s="18" t="s">
        <v>814</v>
      </c>
      <c r="D972" s="19">
        <v>0</v>
      </c>
      <c r="E972" s="20">
        <v>4.095890410958904</v>
      </c>
      <c r="F972" s="21">
        <v>4.1878000000000002</v>
      </c>
      <c r="G972" s="21">
        <v>11.219999999999963</v>
      </c>
      <c r="H972" s="21">
        <v>4.1795</v>
      </c>
      <c r="I972" s="21">
        <v>0.83000000000001961</v>
      </c>
      <c r="J972" s="19">
        <v>0</v>
      </c>
      <c r="K972" s="19" t="s">
        <v>68</v>
      </c>
      <c r="L972" s="13">
        <v>2.96</v>
      </c>
      <c r="M972" s="14" t="s">
        <v>394</v>
      </c>
      <c r="N972" s="14" t="s">
        <v>393</v>
      </c>
      <c r="O972" s="4">
        <v>42867</v>
      </c>
    </row>
    <row r="973" spans="1:15">
      <c r="A973" s="7">
        <v>111793806</v>
      </c>
      <c r="B973" s="7">
        <v>4.3</v>
      </c>
      <c r="C973" s="18" t="s">
        <v>919</v>
      </c>
      <c r="D973" s="19" t="s">
        <v>36</v>
      </c>
      <c r="E973" s="20">
        <v>9.3150684931506855E-2</v>
      </c>
      <c r="F973" s="21">
        <v>4.4912000000000001</v>
      </c>
      <c r="G973" s="21">
        <v>-19.120000000000026</v>
      </c>
      <c r="H973" s="21">
        <v>4.4485000000000001</v>
      </c>
      <c r="I973" s="21">
        <v>4.269999999999996</v>
      </c>
      <c r="J973" s="19" t="s">
        <v>12</v>
      </c>
      <c r="K973" s="19" t="s">
        <v>56</v>
      </c>
      <c r="L973" s="13">
        <v>4.5999999999999996</v>
      </c>
      <c r="M973" s="14" t="s">
        <v>764</v>
      </c>
      <c r="N973" s="14" t="s">
        <v>763</v>
      </c>
      <c r="O973" s="4">
        <v>42867</v>
      </c>
    </row>
    <row r="974" spans="1:15">
      <c r="A974" s="7">
        <v>111793806</v>
      </c>
      <c r="B974" s="7">
        <v>4.3</v>
      </c>
      <c r="C974" s="18" t="s">
        <v>919</v>
      </c>
      <c r="D974" s="19" t="s">
        <v>36</v>
      </c>
      <c r="E974" s="20">
        <v>9.3150684931506855E-2</v>
      </c>
      <c r="F974" s="21">
        <v>4.4912000000000001</v>
      </c>
      <c r="G974" s="21">
        <v>-19.120000000000026</v>
      </c>
      <c r="H974" s="21">
        <v>4.4485000000000001</v>
      </c>
      <c r="I974" s="21">
        <v>4.269999999999996</v>
      </c>
      <c r="J974" s="19" t="s">
        <v>12</v>
      </c>
      <c r="K974" s="19" t="s">
        <v>56</v>
      </c>
      <c r="L974" s="13">
        <v>4.5999999999999996</v>
      </c>
      <c r="M974" s="14" t="s">
        <v>764</v>
      </c>
      <c r="N974" s="14" t="s">
        <v>763</v>
      </c>
      <c r="O974" s="4">
        <v>42867</v>
      </c>
    </row>
    <row r="975" spans="1:15">
      <c r="A975" s="7">
        <v>111793806</v>
      </c>
      <c r="B975" s="7">
        <v>4.3</v>
      </c>
      <c r="C975" s="18" t="s">
        <v>919</v>
      </c>
      <c r="D975" s="19" t="s">
        <v>36</v>
      </c>
      <c r="E975" s="20">
        <v>9.3150684931506855E-2</v>
      </c>
      <c r="F975" s="21">
        <v>4.4912000000000001</v>
      </c>
      <c r="G975" s="21">
        <v>-19.120000000000026</v>
      </c>
      <c r="H975" s="21">
        <v>4.4485000000000001</v>
      </c>
      <c r="I975" s="21">
        <v>4.269999999999996</v>
      </c>
      <c r="J975" s="19" t="s">
        <v>12</v>
      </c>
      <c r="K975" s="19" t="s">
        <v>56</v>
      </c>
      <c r="L975" s="13">
        <v>4.5999999999999996</v>
      </c>
      <c r="M975" s="14" t="s">
        <v>764</v>
      </c>
      <c r="N975" s="14" t="s">
        <v>763</v>
      </c>
      <c r="O975" s="4">
        <v>42867</v>
      </c>
    </row>
    <row r="976" spans="1:15">
      <c r="A976" s="7">
        <v>111720038</v>
      </c>
      <c r="B976" s="7">
        <v>4.3</v>
      </c>
      <c r="C976" s="18" t="s">
        <v>1001</v>
      </c>
      <c r="D976" s="19" t="s">
        <v>11</v>
      </c>
      <c r="E976" s="20">
        <v>0.10136986301369863</v>
      </c>
      <c r="F976" s="21">
        <v>4.359</v>
      </c>
      <c r="G976" s="21">
        <v>-5.9000000000000163</v>
      </c>
      <c r="H976" s="21">
        <v>4.2733999999999996</v>
      </c>
      <c r="I976" s="21">
        <v>8.5600000000000342</v>
      </c>
      <c r="J976" s="19" t="s">
        <v>12</v>
      </c>
      <c r="K976" s="19" t="s">
        <v>56</v>
      </c>
      <c r="L976" s="13">
        <v>4.45</v>
      </c>
      <c r="M976" s="14" t="s">
        <v>778</v>
      </c>
      <c r="N976" s="14" t="s">
        <v>773</v>
      </c>
      <c r="O976" s="4">
        <v>42867</v>
      </c>
    </row>
    <row r="977" spans="1:15">
      <c r="A977" s="7">
        <v>1605168</v>
      </c>
      <c r="B977" s="7">
        <v>4.3</v>
      </c>
      <c r="C977" s="18" t="s">
        <v>1002</v>
      </c>
      <c r="D977" s="19">
        <v>0</v>
      </c>
      <c r="E977" s="20">
        <v>4.0164383561643833</v>
      </c>
      <c r="F977" s="21">
        <v>4.1822999999999997</v>
      </c>
      <c r="G977" s="21">
        <v>11.770000000000014</v>
      </c>
      <c r="H977" s="21">
        <v>4.1718999999999999</v>
      </c>
      <c r="I977" s="21">
        <v>1.0399999999999743</v>
      </c>
      <c r="J977" s="19">
        <v>0</v>
      </c>
      <c r="K977" s="19" t="s">
        <v>68</v>
      </c>
      <c r="L977" s="13">
        <v>2.78</v>
      </c>
      <c r="M977" s="14" t="s">
        <v>379</v>
      </c>
      <c r="N977" s="14" t="s">
        <v>377</v>
      </c>
      <c r="O977" s="4">
        <v>42867</v>
      </c>
    </row>
    <row r="978" spans="1:15">
      <c r="A978" s="7">
        <v>160215</v>
      </c>
      <c r="B978" s="7">
        <v>4.3</v>
      </c>
      <c r="C978" s="18" t="s">
        <v>608</v>
      </c>
      <c r="D978" s="19">
        <v>0</v>
      </c>
      <c r="E978" s="20">
        <v>2.4438356164383563</v>
      </c>
      <c r="F978" s="21">
        <v>4.2866</v>
      </c>
      <c r="G978" s="21">
        <v>1.3399999999999856</v>
      </c>
      <c r="H978" s="21">
        <v>4.2464000000000004</v>
      </c>
      <c r="I978" s="21">
        <v>4.0199999999999569</v>
      </c>
      <c r="J978" s="19" t="s">
        <v>17</v>
      </c>
      <c r="K978" s="19" t="s">
        <v>19</v>
      </c>
      <c r="L978" s="13">
        <v>2.65</v>
      </c>
      <c r="M978" s="14" t="s">
        <v>551</v>
      </c>
      <c r="N978" s="14" t="s">
        <v>546</v>
      </c>
      <c r="O978" s="4">
        <v>42867</v>
      </c>
    </row>
    <row r="979" spans="1:15">
      <c r="A979" s="7">
        <v>150208</v>
      </c>
      <c r="B979" s="7">
        <v>4.29</v>
      </c>
      <c r="C979" s="18" t="s">
        <v>84</v>
      </c>
      <c r="D979" s="19">
        <v>0</v>
      </c>
      <c r="E979" s="20">
        <v>2.9260273972602739</v>
      </c>
      <c r="F979" s="21">
        <v>4.2930000000000001</v>
      </c>
      <c r="G979" s="21">
        <v>-0.30000000000001137</v>
      </c>
      <c r="H979" s="21">
        <v>4.2548000000000004</v>
      </c>
      <c r="I979" s="21">
        <v>3.819999999999979</v>
      </c>
      <c r="J979" s="19" t="s">
        <v>17</v>
      </c>
      <c r="K979" s="19" t="s">
        <v>19</v>
      </c>
      <c r="L979" s="13">
        <v>4.13</v>
      </c>
      <c r="M979" s="14" t="s">
        <v>85</v>
      </c>
      <c r="N979" s="14" t="s">
        <v>86</v>
      </c>
      <c r="O979" s="4">
        <v>42867</v>
      </c>
    </row>
    <row r="980" spans="1:15">
      <c r="A980" s="7">
        <v>160215</v>
      </c>
      <c r="B980" s="7">
        <v>4.2850000000000001</v>
      </c>
      <c r="C980" s="18" t="s">
        <v>608</v>
      </c>
      <c r="D980" s="19">
        <v>0</v>
      </c>
      <c r="E980" s="20">
        <v>2.4438356164383563</v>
      </c>
      <c r="F980" s="21">
        <v>4.2866</v>
      </c>
      <c r="G980" s="21">
        <v>-0.15999999999998238</v>
      </c>
      <c r="H980" s="21">
        <v>4.2464000000000004</v>
      </c>
      <c r="I980" s="21">
        <v>4.0199999999999569</v>
      </c>
      <c r="J980" s="19" t="s">
        <v>17</v>
      </c>
      <c r="K980" s="19" t="s">
        <v>19</v>
      </c>
      <c r="L980" s="13">
        <v>2.65</v>
      </c>
      <c r="M980" s="14" t="s">
        <v>551</v>
      </c>
      <c r="N980" s="14" t="s">
        <v>546</v>
      </c>
      <c r="O980" s="4">
        <v>42867</v>
      </c>
    </row>
    <row r="981" spans="1:15">
      <c r="A981" s="7">
        <v>160208</v>
      </c>
      <c r="B981" s="7">
        <v>4.2649999999999997</v>
      </c>
      <c r="C981" s="18" t="s">
        <v>77</v>
      </c>
      <c r="D981" s="19">
        <v>0</v>
      </c>
      <c r="E981" s="20">
        <v>1.810958904109589</v>
      </c>
      <c r="F981" s="21">
        <v>4.2477999999999998</v>
      </c>
      <c r="G981" s="21">
        <v>1.7199999999999882</v>
      </c>
      <c r="H981" s="21">
        <v>4.1978</v>
      </c>
      <c r="I981" s="21">
        <v>4.9999999999999822</v>
      </c>
      <c r="J981" s="19">
        <v>0</v>
      </c>
      <c r="K981" s="19" t="s">
        <v>19</v>
      </c>
      <c r="L981" s="13">
        <v>2.72</v>
      </c>
      <c r="M981" s="14" t="s">
        <v>78</v>
      </c>
      <c r="N981" s="14" t="s">
        <v>79</v>
      </c>
      <c r="O981" s="4">
        <v>42867</v>
      </c>
    </row>
    <row r="982" spans="1:15">
      <c r="A982" s="7">
        <v>160402</v>
      </c>
      <c r="B982" s="7">
        <v>4.26</v>
      </c>
      <c r="C982" s="18" t="s">
        <v>226</v>
      </c>
      <c r="D982" s="19">
        <v>0</v>
      </c>
      <c r="E982" s="20">
        <v>1.6575342465753424</v>
      </c>
      <c r="F982" s="21">
        <v>4.2484000000000002</v>
      </c>
      <c r="G982" s="21">
        <v>1.1599999999999611</v>
      </c>
      <c r="H982" s="21">
        <v>4.1999000000000004</v>
      </c>
      <c r="I982" s="21">
        <v>4.8499999999999766</v>
      </c>
      <c r="J982" s="19">
        <v>0</v>
      </c>
      <c r="K982" s="19" t="s">
        <v>19</v>
      </c>
      <c r="L982" s="13">
        <v>2.77</v>
      </c>
      <c r="M982" s="14" t="s">
        <v>87</v>
      </c>
      <c r="N982" s="14" t="s">
        <v>88</v>
      </c>
      <c r="O982" s="4">
        <v>42867</v>
      </c>
    </row>
    <row r="983" spans="1:15">
      <c r="A983" s="7">
        <v>160208</v>
      </c>
      <c r="B983" s="7">
        <v>4.26</v>
      </c>
      <c r="C983" s="18" t="s">
        <v>77</v>
      </c>
      <c r="D983" s="19">
        <v>0</v>
      </c>
      <c r="E983" s="20">
        <v>1.810958904109589</v>
      </c>
      <c r="F983" s="21">
        <v>4.2477999999999998</v>
      </c>
      <c r="G983" s="21">
        <v>1.2199999999999989</v>
      </c>
      <c r="H983" s="21">
        <v>4.1978</v>
      </c>
      <c r="I983" s="21">
        <v>4.9999999999999822</v>
      </c>
      <c r="J983" s="19">
        <v>0</v>
      </c>
      <c r="K983" s="19" t="s">
        <v>19</v>
      </c>
      <c r="L983" s="13">
        <v>2.72</v>
      </c>
      <c r="M983" s="14" t="s">
        <v>78</v>
      </c>
      <c r="N983" s="14" t="s">
        <v>79</v>
      </c>
      <c r="O983" s="4">
        <v>42867</v>
      </c>
    </row>
    <row r="984" spans="1:15">
      <c r="A984" s="7">
        <v>140402</v>
      </c>
      <c r="B984" s="7">
        <v>4.26</v>
      </c>
      <c r="C984" s="18" t="s">
        <v>297</v>
      </c>
      <c r="D984" s="19">
        <v>0</v>
      </c>
      <c r="E984" s="20">
        <v>1.6876712328767123</v>
      </c>
      <c r="F984" s="21">
        <v>4.2514000000000003</v>
      </c>
      <c r="G984" s="21">
        <v>0.85999999999994969</v>
      </c>
      <c r="H984" s="21">
        <v>4.2026000000000003</v>
      </c>
      <c r="I984" s="21">
        <v>4.8799999999999955</v>
      </c>
      <c r="J984" s="19" t="s">
        <v>17</v>
      </c>
      <c r="K984" s="19" t="s">
        <v>19</v>
      </c>
      <c r="L984" s="13">
        <v>5.78</v>
      </c>
      <c r="M984" s="14" t="s">
        <v>325</v>
      </c>
      <c r="N984" s="14" t="s">
        <v>365</v>
      </c>
      <c r="O984" s="4">
        <v>42867</v>
      </c>
    </row>
    <row r="985" spans="1:15">
      <c r="A985" s="7">
        <v>140402</v>
      </c>
      <c r="B985" s="7">
        <v>4.2549999999999999</v>
      </c>
      <c r="C985" s="18" t="s">
        <v>297</v>
      </c>
      <c r="D985" s="19">
        <v>0</v>
      </c>
      <c r="E985" s="20">
        <v>1.6876712328767123</v>
      </c>
      <c r="F985" s="21">
        <v>4.2514000000000003</v>
      </c>
      <c r="G985" s="21">
        <v>0.35999999999996035</v>
      </c>
      <c r="H985" s="21">
        <v>4.2026000000000003</v>
      </c>
      <c r="I985" s="21">
        <v>4.8799999999999955</v>
      </c>
      <c r="J985" s="19" t="s">
        <v>17</v>
      </c>
      <c r="K985" s="19" t="s">
        <v>19</v>
      </c>
      <c r="L985" s="13">
        <v>5.78</v>
      </c>
      <c r="M985" s="14" t="s">
        <v>325</v>
      </c>
      <c r="N985" s="14" t="s">
        <v>365</v>
      </c>
      <c r="O985" s="4">
        <v>42867</v>
      </c>
    </row>
    <row r="986" spans="1:15">
      <c r="A986" s="7">
        <v>111794683</v>
      </c>
      <c r="B986" s="7">
        <v>4.25</v>
      </c>
      <c r="C986" s="18" t="s">
        <v>920</v>
      </c>
      <c r="D986" s="19" t="s">
        <v>25</v>
      </c>
      <c r="E986" s="20">
        <v>0.12876712328767123</v>
      </c>
      <c r="F986" s="21">
        <v>4.7293000000000003</v>
      </c>
      <c r="G986" s="21">
        <v>-47.930000000000028</v>
      </c>
      <c r="H986" s="21">
        <v>4.6531000000000002</v>
      </c>
      <c r="I986" s="21">
        <v>7.6200000000000045</v>
      </c>
      <c r="J986" s="19" t="s">
        <v>12</v>
      </c>
      <c r="K986" s="19" t="s">
        <v>56</v>
      </c>
      <c r="L986" s="13">
        <v>4.75</v>
      </c>
      <c r="M986" s="14" t="s">
        <v>795</v>
      </c>
      <c r="N986" s="14" t="s">
        <v>797</v>
      </c>
      <c r="O986" s="4">
        <v>42867</v>
      </c>
    </row>
    <row r="987" spans="1:15">
      <c r="A987" s="7">
        <v>111694110</v>
      </c>
      <c r="B987" s="7">
        <v>4.25</v>
      </c>
      <c r="C987" s="18" t="s">
        <v>740</v>
      </c>
      <c r="D987" s="19" t="s">
        <v>36</v>
      </c>
      <c r="E987" s="20">
        <v>7.1232876712328766E-2</v>
      </c>
      <c r="F987" s="21">
        <v>4.1753999999999998</v>
      </c>
      <c r="G987" s="21">
        <v>7.4600000000000222</v>
      </c>
      <c r="H987" s="21">
        <v>4.1714000000000002</v>
      </c>
      <c r="I987" s="21">
        <v>0.39999999999995595</v>
      </c>
      <c r="J987" s="19" t="s">
        <v>12</v>
      </c>
      <c r="K987" s="19" t="s">
        <v>56</v>
      </c>
      <c r="L987" s="13">
        <v>3.3</v>
      </c>
      <c r="M987" s="14" t="s">
        <v>386</v>
      </c>
      <c r="N987" s="14" t="s">
        <v>388</v>
      </c>
      <c r="O987" s="4">
        <v>42867</v>
      </c>
    </row>
    <row r="988" spans="1:15">
      <c r="A988" s="7">
        <v>1553007</v>
      </c>
      <c r="B988" s="7">
        <v>4.25</v>
      </c>
      <c r="C988" s="18" t="s">
        <v>1003</v>
      </c>
      <c r="D988" s="19">
        <v>0</v>
      </c>
      <c r="E988" s="20">
        <v>5.1753424657534248</v>
      </c>
      <c r="F988" s="21">
        <v>4.2152000000000003</v>
      </c>
      <c r="G988" s="21">
        <v>3.479999999999972</v>
      </c>
      <c r="H988" s="21">
        <v>4.2487000000000004</v>
      </c>
      <c r="I988" s="21">
        <v>-3.3500000000000085</v>
      </c>
      <c r="J988" s="19">
        <v>0</v>
      </c>
      <c r="K988" s="19" t="s">
        <v>68</v>
      </c>
      <c r="L988" s="13">
        <v>3.46</v>
      </c>
      <c r="M988" s="14" t="s">
        <v>135</v>
      </c>
      <c r="N988" s="14" t="s">
        <v>181</v>
      </c>
      <c r="O988" s="4">
        <v>42867</v>
      </c>
    </row>
    <row r="989" spans="1:15">
      <c r="A989" s="7">
        <v>160402</v>
      </c>
      <c r="B989" s="7">
        <v>4.25</v>
      </c>
      <c r="C989" s="18" t="s">
        <v>226</v>
      </c>
      <c r="D989" s="19">
        <v>0</v>
      </c>
      <c r="E989" s="20">
        <v>1.6575342465753424</v>
      </c>
      <c r="F989" s="21">
        <v>4.2484000000000002</v>
      </c>
      <c r="G989" s="21">
        <v>0.15999999999998238</v>
      </c>
      <c r="H989" s="21">
        <v>4.1999000000000004</v>
      </c>
      <c r="I989" s="21">
        <v>4.8499999999999766</v>
      </c>
      <c r="J989" s="19">
        <v>0</v>
      </c>
      <c r="K989" s="19" t="s">
        <v>19</v>
      </c>
      <c r="L989" s="13">
        <v>2.77</v>
      </c>
      <c r="M989" s="14" t="s">
        <v>87</v>
      </c>
      <c r="N989" s="14" t="s">
        <v>88</v>
      </c>
      <c r="O989" s="4">
        <v>42867</v>
      </c>
    </row>
    <row r="990" spans="1:15">
      <c r="A990" s="7">
        <v>160208</v>
      </c>
      <c r="B990" s="7">
        <v>4.25</v>
      </c>
      <c r="C990" s="18" t="s">
        <v>77</v>
      </c>
      <c r="D990" s="19">
        <v>0</v>
      </c>
      <c r="E990" s="20">
        <v>1.810958904109589</v>
      </c>
      <c r="F990" s="21">
        <v>4.2477999999999998</v>
      </c>
      <c r="G990" s="21">
        <v>0.22000000000002018</v>
      </c>
      <c r="H990" s="21">
        <v>4.1978</v>
      </c>
      <c r="I990" s="21">
        <v>4.9999999999999822</v>
      </c>
      <c r="J990" s="19">
        <v>0</v>
      </c>
      <c r="K990" s="19" t="s">
        <v>19</v>
      </c>
      <c r="L990" s="13">
        <v>2.72</v>
      </c>
      <c r="M990" s="14" t="s">
        <v>78</v>
      </c>
      <c r="N990" s="14" t="s">
        <v>79</v>
      </c>
      <c r="O990" s="4">
        <v>42867</v>
      </c>
    </row>
    <row r="991" spans="1:15">
      <c r="A991" s="7">
        <v>160208</v>
      </c>
      <c r="B991" s="7">
        <v>4.25</v>
      </c>
      <c r="C991" s="18" t="s">
        <v>77</v>
      </c>
      <c r="D991" s="19">
        <v>0</v>
      </c>
      <c r="E991" s="20">
        <v>1.810958904109589</v>
      </c>
      <c r="F991" s="21">
        <v>4.2477999999999998</v>
      </c>
      <c r="G991" s="21">
        <v>0.22000000000002018</v>
      </c>
      <c r="H991" s="21">
        <v>4.1978</v>
      </c>
      <c r="I991" s="21">
        <v>4.9999999999999822</v>
      </c>
      <c r="J991" s="19">
        <v>0</v>
      </c>
      <c r="K991" s="19" t="s">
        <v>19</v>
      </c>
      <c r="L991" s="13">
        <v>2.72</v>
      </c>
      <c r="M991" s="14" t="s">
        <v>78</v>
      </c>
      <c r="N991" s="14" t="s">
        <v>79</v>
      </c>
      <c r="O991" s="4">
        <v>42867</v>
      </c>
    </row>
    <row r="992" spans="1:15">
      <c r="A992" s="7">
        <v>160208</v>
      </c>
      <c r="B992" s="7">
        <v>4.25</v>
      </c>
      <c r="C992" s="18" t="s">
        <v>77</v>
      </c>
      <c r="D992" s="19">
        <v>0</v>
      </c>
      <c r="E992" s="20">
        <v>1.810958904109589</v>
      </c>
      <c r="F992" s="21">
        <v>4.2477999999999998</v>
      </c>
      <c r="G992" s="21">
        <v>0.22000000000002018</v>
      </c>
      <c r="H992" s="21">
        <v>4.1978</v>
      </c>
      <c r="I992" s="21">
        <v>4.9999999999999822</v>
      </c>
      <c r="J992" s="19">
        <v>0</v>
      </c>
      <c r="K992" s="19" t="s">
        <v>19</v>
      </c>
      <c r="L992" s="13">
        <v>2.72</v>
      </c>
      <c r="M992" s="14" t="s">
        <v>78</v>
      </c>
      <c r="N992" s="14" t="s">
        <v>79</v>
      </c>
      <c r="O992" s="4">
        <v>42867</v>
      </c>
    </row>
    <row r="993" spans="1:15">
      <c r="A993" s="7">
        <v>160208</v>
      </c>
      <c r="B993" s="7">
        <v>4.25</v>
      </c>
      <c r="C993" s="18" t="s">
        <v>77</v>
      </c>
      <c r="D993" s="19">
        <v>0</v>
      </c>
      <c r="E993" s="20">
        <v>1.810958904109589</v>
      </c>
      <c r="F993" s="21">
        <v>4.2477999999999998</v>
      </c>
      <c r="G993" s="21">
        <v>0.22000000000002018</v>
      </c>
      <c r="H993" s="21">
        <v>4.1978</v>
      </c>
      <c r="I993" s="21">
        <v>4.9999999999999822</v>
      </c>
      <c r="J993" s="19">
        <v>0</v>
      </c>
      <c r="K993" s="19" t="s">
        <v>19</v>
      </c>
      <c r="L993" s="13">
        <v>2.72</v>
      </c>
      <c r="M993" s="14" t="s">
        <v>78</v>
      </c>
      <c r="N993" s="14" t="s">
        <v>79</v>
      </c>
      <c r="O993" s="4">
        <v>42867</v>
      </c>
    </row>
    <row r="994" spans="1:15">
      <c r="A994" s="7">
        <v>160208</v>
      </c>
      <c r="B994" s="7">
        <v>4.25</v>
      </c>
      <c r="C994" s="18" t="s">
        <v>77</v>
      </c>
      <c r="D994" s="19">
        <v>0</v>
      </c>
      <c r="E994" s="20">
        <v>1.810958904109589</v>
      </c>
      <c r="F994" s="21">
        <v>4.2477999999999998</v>
      </c>
      <c r="G994" s="21">
        <v>0.22000000000002018</v>
      </c>
      <c r="H994" s="21">
        <v>4.1978</v>
      </c>
      <c r="I994" s="21">
        <v>4.9999999999999822</v>
      </c>
      <c r="J994" s="19">
        <v>0</v>
      </c>
      <c r="K994" s="19" t="s">
        <v>19</v>
      </c>
      <c r="L994" s="13">
        <v>2.72</v>
      </c>
      <c r="M994" s="14" t="s">
        <v>78</v>
      </c>
      <c r="N994" s="14" t="s">
        <v>79</v>
      </c>
      <c r="O994" s="4">
        <v>42867</v>
      </c>
    </row>
    <row r="995" spans="1:15">
      <c r="A995" s="7">
        <v>160208</v>
      </c>
      <c r="B995" s="7">
        <v>4.25</v>
      </c>
      <c r="C995" s="18" t="s">
        <v>77</v>
      </c>
      <c r="D995" s="19">
        <v>0</v>
      </c>
      <c r="E995" s="20">
        <v>1.810958904109589</v>
      </c>
      <c r="F995" s="21">
        <v>4.2477999999999998</v>
      </c>
      <c r="G995" s="21">
        <v>0.22000000000002018</v>
      </c>
      <c r="H995" s="21">
        <v>4.1978</v>
      </c>
      <c r="I995" s="21">
        <v>4.9999999999999822</v>
      </c>
      <c r="J995" s="19">
        <v>0</v>
      </c>
      <c r="K995" s="19" t="s">
        <v>19</v>
      </c>
      <c r="L995" s="13">
        <v>2.72</v>
      </c>
      <c r="M995" s="14" t="s">
        <v>78</v>
      </c>
      <c r="N995" s="14" t="s">
        <v>79</v>
      </c>
      <c r="O995" s="4">
        <v>42867</v>
      </c>
    </row>
    <row r="996" spans="1:15">
      <c r="A996" s="7">
        <v>111617322</v>
      </c>
      <c r="B996" s="7">
        <v>4.22</v>
      </c>
      <c r="C996" s="18" t="s">
        <v>837</v>
      </c>
      <c r="D996" s="19" t="s">
        <v>11</v>
      </c>
      <c r="E996" s="20">
        <v>0.13150684931506848</v>
      </c>
      <c r="F996" s="21">
        <v>4.5640000000000001</v>
      </c>
      <c r="G996" s="21">
        <v>-34.400000000000034</v>
      </c>
      <c r="H996" s="21">
        <v>4.4889000000000001</v>
      </c>
      <c r="I996" s="21">
        <v>7.5099999999999945</v>
      </c>
      <c r="J996" s="19" t="s">
        <v>17</v>
      </c>
      <c r="K996" s="19" t="s">
        <v>56</v>
      </c>
      <c r="L996" s="13">
        <v>4.2</v>
      </c>
      <c r="M996" s="14" t="s">
        <v>625</v>
      </c>
      <c r="N996" s="14" t="s">
        <v>629</v>
      </c>
      <c r="O996" s="4">
        <v>42867</v>
      </c>
    </row>
    <row r="997" spans="1:15">
      <c r="A997" s="7">
        <v>1553007</v>
      </c>
      <c r="B997" s="7">
        <v>4.22</v>
      </c>
      <c r="C997" s="18" t="s">
        <v>1003</v>
      </c>
      <c r="D997" s="19">
        <v>0</v>
      </c>
      <c r="E997" s="20">
        <v>5.1753424657534248</v>
      </c>
      <c r="F997" s="21">
        <v>4.2152000000000003</v>
      </c>
      <c r="G997" s="21">
        <v>0.47999999999994714</v>
      </c>
      <c r="H997" s="21">
        <v>4.2487000000000004</v>
      </c>
      <c r="I997" s="21">
        <v>-3.3500000000000085</v>
      </c>
      <c r="J997" s="19">
        <v>0</v>
      </c>
      <c r="K997" s="19" t="s">
        <v>68</v>
      </c>
      <c r="L997" s="13">
        <v>3.46</v>
      </c>
      <c r="M997" s="14" t="s">
        <v>135</v>
      </c>
      <c r="N997" s="14" t="s">
        <v>181</v>
      </c>
      <c r="O997" s="4">
        <v>42867</v>
      </c>
    </row>
    <row r="998" spans="1:15">
      <c r="A998" s="7">
        <v>111609501</v>
      </c>
      <c r="B998" s="7">
        <v>4.21</v>
      </c>
      <c r="C998" s="18" t="s">
        <v>618</v>
      </c>
      <c r="D998" s="19" t="s">
        <v>11</v>
      </c>
      <c r="E998" s="20">
        <v>0.12602739726027398</v>
      </c>
      <c r="F998" s="21">
        <v>4.5392000000000001</v>
      </c>
      <c r="G998" s="21">
        <v>-32.920000000000016</v>
      </c>
      <c r="H998" s="21">
        <v>4.4592999999999998</v>
      </c>
      <c r="I998" s="21">
        <v>7.9900000000000304</v>
      </c>
      <c r="J998" s="19" t="s">
        <v>55</v>
      </c>
      <c r="K998" s="19" t="s">
        <v>56</v>
      </c>
      <c r="L998" s="13">
        <v>4.8</v>
      </c>
      <c r="M998" s="14" t="s">
        <v>619</v>
      </c>
      <c r="N998" s="14" t="s">
        <v>620</v>
      </c>
      <c r="O998" s="4">
        <v>42867</v>
      </c>
    </row>
    <row r="999" spans="1:15">
      <c r="A999" s="7">
        <v>111609500</v>
      </c>
      <c r="B999" s="7">
        <v>4.21</v>
      </c>
      <c r="C999" s="18" t="s">
        <v>643</v>
      </c>
      <c r="D999" s="19" t="s">
        <v>11</v>
      </c>
      <c r="E999" s="20">
        <v>0.11780821917808219</v>
      </c>
      <c r="F999" s="21">
        <v>4.4923999999999999</v>
      </c>
      <c r="G999" s="21">
        <v>-28.24</v>
      </c>
      <c r="H999" s="21">
        <v>4.407</v>
      </c>
      <c r="I999" s="21">
        <v>8.539999999999992</v>
      </c>
      <c r="J999" s="19" t="s">
        <v>55</v>
      </c>
      <c r="K999" s="19" t="s">
        <v>56</v>
      </c>
      <c r="L999" s="13">
        <v>4.8</v>
      </c>
      <c r="M999" s="14" t="s">
        <v>620</v>
      </c>
      <c r="N999" s="14" t="s">
        <v>621</v>
      </c>
      <c r="O999" s="4">
        <v>42867</v>
      </c>
    </row>
    <row r="1000" spans="1:15">
      <c r="A1000" s="7">
        <v>111710144</v>
      </c>
      <c r="B1000" s="7">
        <v>4.2</v>
      </c>
      <c r="C1000" s="18" t="s">
        <v>804</v>
      </c>
      <c r="D1000" s="19" t="s">
        <v>11</v>
      </c>
      <c r="E1000" s="20">
        <v>0.11780821917808219</v>
      </c>
      <c r="F1000" s="21">
        <v>4.4923999999999999</v>
      </c>
      <c r="G1000" s="21">
        <v>-29.239999999999977</v>
      </c>
      <c r="H1000" s="21">
        <v>4.407</v>
      </c>
      <c r="I1000" s="21">
        <v>8.539999999999992</v>
      </c>
      <c r="J1000" s="19" t="s">
        <v>55</v>
      </c>
      <c r="K1000" s="19" t="s">
        <v>56</v>
      </c>
      <c r="L1000" s="13">
        <v>4.6501000000000001</v>
      </c>
      <c r="M1000" s="14" t="s">
        <v>798</v>
      </c>
      <c r="N1000" s="14" t="s">
        <v>788</v>
      </c>
      <c r="O1000" s="4">
        <v>42867</v>
      </c>
    </row>
    <row r="1001" spans="1:15">
      <c r="A1001" s="7">
        <v>111710144</v>
      </c>
      <c r="B1001" s="7">
        <v>4.2</v>
      </c>
      <c r="C1001" s="18" t="s">
        <v>804</v>
      </c>
      <c r="D1001" s="19" t="s">
        <v>11</v>
      </c>
      <c r="E1001" s="20">
        <v>0.11780821917808219</v>
      </c>
      <c r="F1001" s="21">
        <v>4.4923999999999999</v>
      </c>
      <c r="G1001" s="21">
        <v>-29.239999999999977</v>
      </c>
      <c r="H1001" s="21">
        <v>4.407</v>
      </c>
      <c r="I1001" s="21">
        <v>8.539999999999992</v>
      </c>
      <c r="J1001" s="19" t="s">
        <v>55</v>
      </c>
      <c r="K1001" s="19" t="s">
        <v>56</v>
      </c>
      <c r="L1001" s="13">
        <v>4.6501000000000001</v>
      </c>
      <c r="M1001" s="14" t="s">
        <v>798</v>
      </c>
      <c r="N1001" s="14" t="s">
        <v>788</v>
      </c>
      <c r="O1001" s="4">
        <v>42867</v>
      </c>
    </row>
    <row r="1002" spans="1:15">
      <c r="A1002" s="7">
        <v>111710144</v>
      </c>
      <c r="B1002" s="7">
        <v>4.2</v>
      </c>
      <c r="C1002" s="18" t="s">
        <v>804</v>
      </c>
      <c r="D1002" s="19" t="s">
        <v>11</v>
      </c>
      <c r="E1002" s="20">
        <v>0.11780821917808219</v>
      </c>
      <c r="F1002" s="21">
        <v>4.4923999999999999</v>
      </c>
      <c r="G1002" s="21">
        <v>-29.239999999999977</v>
      </c>
      <c r="H1002" s="21">
        <v>4.407</v>
      </c>
      <c r="I1002" s="21">
        <v>8.539999999999992</v>
      </c>
      <c r="J1002" s="19" t="s">
        <v>55</v>
      </c>
      <c r="K1002" s="19" t="s">
        <v>56</v>
      </c>
      <c r="L1002" s="13">
        <v>4.6501000000000001</v>
      </c>
      <c r="M1002" s="14" t="s">
        <v>798</v>
      </c>
      <c r="N1002" s="14" t="s">
        <v>788</v>
      </c>
      <c r="O1002" s="4">
        <v>42867</v>
      </c>
    </row>
    <row r="1003" spans="1:15">
      <c r="A1003" s="7">
        <v>111709121</v>
      </c>
      <c r="B1003" s="7">
        <v>4.2</v>
      </c>
      <c r="C1003" s="18" t="s">
        <v>806</v>
      </c>
      <c r="D1003" s="19" t="s">
        <v>11</v>
      </c>
      <c r="E1003" s="20">
        <v>0.12876712328767123</v>
      </c>
      <c r="F1003" s="21">
        <v>4.5522</v>
      </c>
      <c r="G1003" s="21">
        <v>-35.219999999999985</v>
      </c>
      <c r="H1003" s="21">
        <v>4.4745999999999997</v>
      </c>
      <c r="I1003" s="21">
        <v>7.7600000000000335</v>
      </c>
      <c r="J1003" s="19" t="s">
        <v>55</v>
      </c>
      <c r="K1003" s="19" t="s">
        <v>56</v>
      </c>
      <c r="L1003" s="13">
        <v>4.6002000000000001</v>
      </c>
      <c r="M1003" s="14" t="s">
        <v>795</v>
      </c>
      <c r="N1003" s="14" t="s">
        <v>797</v>
      </c>
      <c r="O1003" s="4">
        <v>42867</v>
      </c>
    </row>
    <row r="1004" spans="1:15">
      <c r="A1004" s="7">
        <v>111709121</v>
      </c>
      <c r="B1004" s="7">
        <v>4.2</v>
      </c>
      <c r="C1004" s="18" t="s">
        <v>806</v>
      </c>
      <c r="D1004" s="19" t="s">
        <v>11</v>
      </c>
      <c r="E1004" s="20">
        <v>0.12876712328767123</v>
      </c>
      <c r="F1004" s="21">
        <v>4.5522</v>
      </c>
      <c r="G1004" s="21">
        <v>-35.219999999999985</v>
      </c>
      <c r="H1004" s="21">
        <v>4.4745999999999997</v>
      </c>
      <c r="I1004" s="21">
        <v>7.7600000000000335</v>
      </c>
      <c r="J1004" s="19" t="s">
        <v>55</v>
      </c>
      <c r="K1004" s="19" t="s">
        <v>56</v>
      </c>
      <c r="L1004" s="13">
        <v>4.6002000000000001</v>
      </c>
      <c r="M1004" s="14" t="s">
        <v>795</v>
      </c>
      <c r="N1004" s="14" t="s">
        <v>797</v>
      </c>
      <c r="O1004" s="4">
        <v>42867</v>
      </c>
    </row>
    <row r="1005" spans="1:15">
      <c r="A1005" s="7">
        <v>111709121</v>
      </c>
      <c r="B1005" s="7">
        <v>4.2</v>
      </c>
      <c r="C1005" s="18" t="s">
        <v>806</v>
      </c>
      <c r="D1005" s="19" t="s">
        <v>11</v>
      </c>
      <c r="E1005" s="20">
        <v>0.12876712328767123</v>
      </c>
      <c r="F1005" s="21">
        <v>4.5522</v>
      </c>
      <c r="G1005" s="21">
        <v>-35.219999999999985</v>
      </c>
      <c r="H1005" s="21">
        <v>4.4745999999999997</v>
      </c>
      <c r="I1005" s="21">
        <v>7.7600000000000335</v>
      </c>
      <c r="J1005" s="19" t="s">
        <v>55</v>
      </c>
      <c r="K1005" s="19" t="s">
        <v>56</v>
      </c>
      <c r="L1005" s="13">
        <v>4.6002000000000001</v>
      </c>
      <c r="M1005" s="14" t="s">
        <v>795</v>
      </c>
      <c r="N1005" s="14" t="s">
        <v>797</v>
      </c>
      <c r="O1005" s="4">
        <v>42867</v>
      </c>
    </row>
    <row r="1006" spans="1:15">
      <c r="A1006" s="7">
        <v>111708081</v>
      </c>
      <c r="B1006" s="7">
        <v>4.2</v>
      </c>
      <c r="C1006" s="18" t="s">
        <v>822</v>
      </c>
      <c r="D1006" s="19" t="s">
        <v>11</v>
      </c>
      <c r="E1006" s="20">
        <v>0.11506849315068493</v>
      </c>
      <c r="F1006" s="21">
        <v>4.4740000000000002</v>
      </c>
      <c r="G1006" s="21">
        <v>-27.400000000000002</v>
      </c>
      <c r="H1006" s="21">
        <v>4.3874000000000004</v>
      </c>
      <c r="I1006" s="21">
        <v>8.6599999999999788</v>
      </c>
      <c r="J1006" s="19" t="s">
        <v>17</v>
      </c>
      <c r="K1006" s="19" t="s">
        <v>56</v>
      </c>
      <c r="L1006" s="13">
        <v>4.5999999999999996</v>
      </c>
      <c r="M1006" s="14" t="s">
        <v>788</v>
      </c>
      <c r="N1006" s="14" t="s">
        <v>787</v>
      </c>
      <c r="O1006" s="4">
        <v>42867</v>
      </c>
    </row>
    <row r="1007" spans="1:15">
      <c r="A1007" s="7">
        <v>111617322</v>
      </c>
      <c r="B1007" s="7">
        <v>4.2</v>
      </c>
      <c r="C1007" s="18" t="s">
        <v>837</v>
      </c>
      <c r="D1007" s="19" t="s">
        <v>11</v>
      </c>
      <c r="E1007" s="20">
        <v>0.13150684931506848</v>
      </c>
      <c r="F1007" s="21">
        <v>4.5640000000000001</v>
      </c>
      <c r="G1007" s="21">
        <v>-36.399999999999991</v>
      </c>
      <c r="H1007" s="21">
        <v>4.4889000000000001</v>
      </c>
      <c r="I1007" s="21">
        <v>7.5099999999999945</v>
      </c>
      <c r="J1007" s="19" t="s">
        <v>17</v>
      </c>
      <c r="K1007" s="19" t="s">
        <v>56</v>
      </c>
      <c r="L1007" s="13">
        <v>4.2</v>
      </c>
      <c r="M1007" s="14" t="s">
        <v>625</v>
      </c>
      <c r="N1007" s="14" t="s">
        <v>629</v>
      </c>
      <c r="O1007" s="4">
        <v>42867</v>
      </c>
    </row>
    <row r="1008" spans="1:15">
      <c r="A1008" s="7">
        <v>111615387</v>
      </c>
      <c r="B1008" s="7">
        <v>4.2</v>
      </c>
      <c r="C1008" s="18" t="s">
        <v>655</v>
      </c>
      <c r="D1008" s="19" t="s">
        <v>11</v>
      </c>
      <c r="E1008" s="20">
        <v>0.12602739726027398</v>
      </c>
      <c r="F1008" s="21">
        <v>4.5392000000000001</v>
      </c>
      <c r="G1008" s="21">
        <v>-33.919999999999995</v>
      </c>
      <c r="H1008" s="21">
        <v>4.4592999999999998</v>
      </c>
      <c r="I1008" s="21">
        <v>7.9900000000000304</v>
      </c>
      <c r="J1008" s="19" t="s">
        <v>55</v>
      </c>
      <c r="K1008" s="19" t="s">
        <v>56</v>
      </c>
      <c r="L1008" s="13">
        <v>4.6500000000000004</v>
      </c>
      <c r="M1008" s="14" t="s">
        <v>619</v>
      </c>
      <c r="N1008" s="14" t="s">
        <v>620</v>
      </c>
      <c r="O1008" s="4">
        <v>42867</v>
      </c>
    </row>
    <row r="1009" spans="1:15">
      <c r="A1009" s="7">
        <v>111610528</v>
      </c>
      <c r="B1009" s="7">
        <v>4.2</v>
      </c>
      <c r="C1009" s="18" t="s">
        <v>716</v>
      </c>
      <c r="D1009" s="19" t="s">
        <v>11</v>
      </c>
      <c r="E1009" s="20">
        <v>0.11780821917808219</v>
      </c>
      <c r="F1009" s="21">
        <v>4.4923999999999999</v>
      </c>
      <c r="G1009" s="21">
        <v>-29.239999999999977</v>
      </c>
      <c r="H1009" s="21">
        <v>4.407</v>
      </c>
      <c r="I1009" s="21">
        <v>8.539999999999992</v>
      </c>
      <c r="J1009" s="19" t="s">
        <v>55</v>
      </c>
      <c r="K1009" s="19" t="s">
        <v>56</v>
      </c>
      <c r="L1009" s="13">
        <v>3</v>
      </c>
      <c r="M1009" s="14" t="s">
        <v>511</v>
      </c>
      <c r="N1009" s="14" t="s">
        <v>514</v>
      </c>
      <c r="O1009" s="4">
        <v>42867</v>
      </c>
    </row>
    <row r="1010" spans="1:15">
      <c r="A1010" s="7">
        <v>11698426</v>
      </c>
      <c r="B1010" s="7">
        <v>4.2</v>
      </c>
      <c r="C1010" s="18" t="s">
        <v>786</v>
      </c>
      <c r="D1010" s="19" t="s">
        <v>25</v>
      </c>
      <c r="E1010" s="20">
        <v>6.8493150684931503E-2</v>
      </c>
      <c r="F1010" s="21">
        <v>4.1784999999999997</v>
      </c>
      <c r="G1010" s="21">
        <v>2.1500000000000519</v>
      </c>
      <c r="H1010" s="21">
        <v>4.1311999999999998</v>
      </c>
      <c r="I1010" s="21">
        <v>4.7299999999999898</v>
      </c>
      <c r="J1010" s="19" t="s">
        <v>28</v>
      </c>
      <c r="K1010" s="19" t="s">
        <v>13</v>
      </c>
      <c r="L1010" s="13">
        <v>2.98</v>
      </c>
      <c r="M1010" s="14" t="s">
        <v>492</v>
      </c>
      <c r="N1010" s="14" t="s">
        <v>489</v>
      </c>
      <c r="O1010" s="4">
        <v>42867</v>
      </c>
    </row>
    <row r="1011" spans="1:15">
      <c r="A1011" s="7">
        <v>11698426</v>
      </c>
      <c r="B1011" s="7">
        <v>4.2</v>
      </c>
      <c r="C1011" s="18" t="s">
        <v>786</v>
      </c>
      <c r="D1011" s="19" t="s">
        <v>25</v>
      </c>
      <c r="E1011" s="20">
        <v>6.8493150684931503E-2</v>
      </c>
      <c r="F1011" s="21">
        <v>4.1784999999999997</v>
      </c>
      <c r="G1011" s="21">
        <v>2.1500000000000519</v>
      </c>
      <c r="H1011" s="21">
        <v>4.1311999999999998</v>
      </c>
      <c r="I1011" s="21">
        <v>4.7299999999999898</v>
      </c>
      <c r="J1011" s="19" t="s">
        <v>28</v>
      </c>
      <c r="K1011" s="19" t="s">
        <v>13</v>
      </c>
      <c r="L1011" s="13">
        <v>2.98</v>
      </c>
      <c r="M1011" s="14" t="s">
        <v>492</v>
      </c>
      <c r="N1011" s="14" t="s">
        <v>489</v>
      </c>
      <c r="O1011" s="4">
        <v>42867</v>
      </c>
    </row>
    <row r="1012" spans="1:15">
      <c r="A1012" s="7">
        <v>11698426</v>
      </c>
      <c r="B1012" s="7">
        <v>4.2</v>
      </c>
      <c r="C1012" s="18" t="s">
        <v>786</v>
      </c>
      <c r="D1012" s="19" t="s">
        <v>25</v>
      </c>
      <c r="E1012" s="20">
        <v>6.8493150684931503E-2</v>
      </c>
      <c r="F1012" s="21">
        <v>4.1784999999999997</v>
      </c>
      <c r="G1012" s="21">
        <v>2.1500000000000519</v>
      </c>
      <c r="H1012" s="21">
        <v>4.1311999999999998</v>
      </c>
      <c r="I1012" s="21">
        <v>4.7299999999999898</v>
      </c>
      <c r="J1012" s="19" t="s">
        <v>28</v>
      </c>
      <c r="K1012" s="19" t="s">
        <v>13</v>
      </c>
      <c r="L1012" s="13">
        <v>2.98</v>
      </c>
      <c r="M1012" s="14" t="s">
        <v>492</v>
      </c>
      <c r="N1012" s="14" t="s">
        <v>489</v>
      </c>
      <c r="O1012" s="4">
        <v>42867</v>
      </c>
    </row>
    <row r="1013" spans="1:15">
      <c r="A1013" s="7">
        <v>150223</v>
      </c>
      <c r="B1013" s="7">
        <v>4.2</v>
      </c>
      <c r="C1013" s="18" t="s">
        <v>75</v>
      </c>
      <c r="D1013" s="19">
        <v>0</v>
      </c>
      <c r="E1013" s="20">
        <v>1.484931506849315</v>
      </c>
      <c r="F1013" s="21">
        <v>4.1745999999999999</v>
      </c>
      <c r="G1013" s="21">
        <v>2.5400000000000311</v>
      </c>
      <c r="H1013" s="21">
        <v>4.0980999999999996</v>
      </c>
      <c r="I1013" s="21">
        <v>7.6500000000000234</v>
      </c>
      <c r="J1013" s="19" t="s">
        <v>17</v>
      </c>
      <c r="K1013" s="19" t="s">
        <v>19</v>
      </c>
      <c r="L1013" s="13">
        <v>2.98</v>
      </c>
      <c r="M1013" s="14" t="s">
        <v>76</v>
      </c>
      <c r="N1013" s="14" t="s">
        <v>32</v>
      </c>
      <c r="O1013" s="4">
        <v>42867</v>
      </c>
    </row>
    <row r="1014" spans="1:15">
      <c r="A1014" s="7">
        <v>130238</v>
      </c>
      <c r="B1014" s="7">
        <v>4.2</v>
      </c>
      <c r="C1014" s="18" t="s">
        <v>470</v>
      </c>
      <c r="D1014" s="19">
        <v>0</v>
      </c>
      <c r="E1014" s="20">
        <v>1.3013698630136987</v>
      </c>
      <c r="F1014" s="21">
        <v>4.2154999999999996</v>
      </c>
      <c r="G1014" s="21">
        <v>-1.5499999999999403</v>
      </c>
      <c r="H1014" s="21">
        <v>4.1222000000000003</v>
      </c>
      <c r="I1014" s="21">
        <v>9.3299999999999272</v>
      </c>
      <c r="J1014" s="19" t="s">
        <v>17</v>
      </c>
      <c r="K1014" s="19" t="s">
        <v>19</v>
      </c>
      <c r="L1014" s="13">
        <v>4.58</v>
      </c>
      <c r="M1014" s="14" t="s">
        <v>314</v>
      </c>
      <c r="N1014" s="14" t="s">
        <v>316</v>
      </c>
      <c r="O1014" s="4">
        <v>42867</v>
      </c>
    </row>
    <row r="1015" spans="1:15">
      <c r="A1015" s="7">
        <v>111720040</v>
      </c>
      <c r="B1015" s="7">
        <v>4.1500000000000004</v>
      </c>
      <c r="C1015" s="18" t="s">
        <v>905</v>
      </c>
      <c r="D1015" s="19" t="s">
        <v>11</v>
      </c>
      <c r="E1015" s="20">
        <v>0.1095890410958904</v>
      </c>
      <c r="F1015" s="21">
        <v>4.4326999999999996</v>
      </c>
      <c r="G1015" s="21">
        <v>-28.269999999999929</v>
      </c>
      <c r="H1015" s="21">
        <v>4.3451000000000004</v>
      </c>
      <c r="I1015" s="21">
        <v>8.7599999999999234</v>
      </c>
      <c r="J1015" s="19" t="s">
        <v>12</v>
      </c>
      <c r="K1015" s="19" t="s">
        <v>56</v>
      </c>
      <c r="L1015" s="13">
        <v>4.55</v>
      </c>
      <c r="M1015" s="14" t="s">
        <v>780</v>
      </c>
      <c r="N1015" s="14" t="s">
        <v>778</v>
      </c>
      <c r="O1015" s="4">
        <v>42867</v>
      </c>
    </row>
    <row r="1016" spans="1:15">
      <c r="A1016" s="7">
        <v>111709084</v>
      </c>
      <c r="B1016" s="7">
        <v>4.1500000000000004</v>
      </c>
      <c r="C1016" s="18" t="s">
        <v>746</v>
      </c>
      <c r="D1016" s="19" t="s">
        <v>11</v>
      </c>
      <c r="E1016" s="20">
        <v>7.3972602739726029E-2</v>
      </c>
      <c r="F1016" s="21">
        <v>3.9986999999999999</v>
      </c>
      <c r="G1016" s="21">
        <v>15.130000000000043</v>
      </c>
      <c r="H1016" s="21">
        <v>3.964</v>
      </c>
      <c r="I1016" s="21">
        <v>3.4699999999999953</v>
      </c>
      <c r="J1016" s="19" t="s">
        <v>55</v>
      </c>
      <c r="K1016" s="19" t="s">
        <v>56</v>
      </c>
      <c r="L1016" s="13">
        <v>4.4001000000000001</v>
      </c>
      <c r="M1016" s="14" t="s">
        <v>747</v>
      </c>
      <c r="N1016" s="14" t="s">
        <v>741</v>
      </c>
      <c r="O1016" s="4">
        <v>42867</v>
      </c>
    </row>
    <row r="1017" spans="1:15">
      <c r="A1017" s="7">
        <v>111609504</v>
      </c>
      <c r="B1017" s="7">
        <v>4.1500000000000004</v>
      </c>
      <c r="C1017" s="18" t="s">
        <v>628</v>
      </c>
      <c r="D1017" s="19" t="s">
        <v>11</v>
      </c>
      <c r="E1017" s="20">
        <v>0.12876712328767123</v>
      </c>
      <c r="F1017" s="21">
        <v>4.5522</v>
      </c>
      <c r="G1017" s="21">
        <v>-40.21999999999997</v>
      </c>
      <c r="H1017" s="21">
        <v>4.4745999999999997</v>
      </c>
      <c r="I1017" s="21">
        <v>7.7600000000000335</v>
      </c>
      <c r="J1017" s="19" t="s">
        <v>55</v>
      </c>
      <c r="K1017" s="19" t="s">
        <v>56</v>
      </c>
      <c r="L1017" s="13">
        <v>4.4001000000000001</v>
      </c>
      <c r="M1017" s="14" t="s">
        <v>629</v>
      </c>
      <c r="N1017" s="14" t="s">
        <v>619</v>
      </c>
      <c r="O1017" s="4">
        <v>42867</v>
      </c>
    </row>
    <row r="1018" spans="1:15">
      <c r="A1018" s="7">
        <v>11698498</v>
      </c>
      <c r="B1018" s="7">
        <v>4.0999999999999996</v>
      </c>
      <c r="C1018" s="18" t="s">
        <v>538</v>
      </c>
      <c r="D1018" s="19" t="s">
        <v>11</v>
      </c>
      <c r="E1018" s="20">
        <v>0.1095890410958904</v>
      </c>
      <c r="F1018" s="21">
        <v>4.3270999999999997</v>
      </c>
      <c r="G1018" s="21">
        <v>-22.710000000000008</v>
      </c>
      <c r="H1018" s="21">
        <v>4.2618999999999998</v>
      </c>
      <c r="I1018" s="21">
        <v>6.5199999999999925</v>
      </c>
      <c r="J1018" s="19" t="s">
        <v>12</v>
      </c>
      <c r="K1018" s="19" t="s">
        <v>13</v>
      </c>
      <c r="L1018" s="13">
        <v>2.9</v>
      </c>
      <c r="M1018" s="14" t="s">
        <v>516</v>
      </c>
      <c r="N1018" s="14" t="s">
        <v>514</v>
      </c>
      <c r="O1018" s="4">
        <v>42867</v>
      </c>
    </row>
    <row r="1019" spans="1:15">
      <c r="A1019" s="7">
        <v>11698498</v>
      </c>
      <c r="B1019" s="7">
        <v>4.0999999999999996</v>
      </c>
      <c r="C1019" s="18" t="s">
        <v>538</v>
      </c>
      <c r="D1019" s="19" t="s">
        <v>11</v>
      </c>
      <c r="E1019" s="20">
        <v>0.1095890410958904</v>
      </c>
      <c r="F1019" s="21">
        <v>4.3270999999999997</v>
      </c>
      <c r="G1019" s="21">
        <v>-22.710000000000008</v>
      </c>
      <c r="H1019" s="21">
        <v>4.2618999999999998</v>
      </c>
      <c r="I1019" s="21">
        <v>6.5199999999999925</v>
      </c>
      <c r="J1019" s="19" t="s">
        <v>12</v>
      </c>
      <c r="K1019" s="19" t="s">
        <v>13</v>
      </c>
      <c r="L1019" s="13">
        <v>2.9</v>
      </c>
      <c r="M1019" s="14" t="s">
        <v>516</v>
      </c>
      <c r="N1019" s="14" t="s">
        <v>514</v>
      </c>
      <c r="O1019" s="4">
        <v>42867</v>
      </c>
    </row>
    <row r="1020" spans="1:15">
      <c r="A1020" s="7">
        <v>170408</v>
      </c>
      <c r="B1020" s="7">
        <v>4.07</v>
      </c>
      <c r="C1020" s="18" t="s">
        <v>866</v>
      </c>
      <c r="D1020" s="19">
        <v>0</v>
      </c>
      <c r="E1020" s="20">
        <v>0.9452054794520548</v>
      </c>
      <c r="F1020" s="21">
        <v>4.0246000000000004</v>
      </c>
      <c r="G1020" s="21">
        <v>4.5399999999999885</v>
      </c>
      <c r="H1020" s="21">
        <v>3.9992000000000001</v>
      </c>
      <c r="I1020" s="21">
        <v>2.5400000000000311</v>
      </c>
      <c r="J1020" s="19" t="s">
        <v>17</v>
      </c>
      <c r="K1020" s="19" t="s">
        <v>19</v>
      </c>
      <c r="L1020" s="13">
        <v>3.61</v>
      </c>
      <c r="M1020" s="14" t="s">
        <v>867</v>
      </c>
      <c r="N1020" s="14" t="s">
        <v>845</v>
      </c>
      <c r="O1020" s="4">
        <v>42867</v>
      </c>
    </row>
    <row r="1021" spans="1:15">
      <c r="A1021" s="7">
        <v>170408</v>
      </c>
      <c r="B1021" s="7">
        <v>4.0599999999999996</v>
      </c>
      <c r="C1021" s="18" t="s">
        <v>866</v>
      </c>
      <c r="D1021" s="19">
        <v>0</v>
      </c>
      <c r="E1021" s="20">
        <v>0.9452054794520548</v>
      </c>
      <c r="F1021" s="21">
        <v>4.0246000000000004</v>
      </c>
      <c r="G1021" s="21">
        <v>3.539999999999921</v>
      </c>
      <c r="H1021" s="21">
        <v>3.9992000000000001</v>
      </c>
      <c r="I1021" s="21">
        <v>2.5400000000000311</v>
      </c>
      <c r="J1021" s="19" t="s">
        <v>17</v>
      </c>
      <c r="K1021" s="19" t="s">
        <v>19</v>
      </c>
      <c r="L1021" s="13">
        <v>3.61</v>
      </c>
      <c r="M1021" s="14" t="s">
        <v>867</v>
      </c>
      <c r="N1021" s="14" t="s">
        <v>845</v>
      </c>
      <c r="O1021" s="4">
        <v>42867</v>
      </c>
    </row>
    <row r="1022" spans="1:15">
      <c r="A1022" s="7">
        <v>170306</v>
      </c>
      <c r="B1022" s="7">
        <v>4.0599999999999996</v>
      </c>
      <c r="C1022" s="18" t="s">
        <v>1004</v>
      </c>
      <c r="D1022" s="19">
        <v>0</v>
      </c>
      <c r="E1022" s="20">
        <v>0.99178082191780825</v>
      </c>
      <c r="F1022" s="21">
        <v>4.0693000000000001</v>
      </c>
      <c r="G1022" s="21">
        <v>-0.93000000000005301</v>
      </c>
      <c r="H1022" s="21">
        <v>4.0052000000000003</v>
      </c>
      <c r="I1022" s="21">
        <v>6.4099999999999824</v>
      </c>
      <c r="J1022" s="19" t="s">
        <v>17</v>
      </c>
      <c r="K1022" s="19" t="s">
        <v>19</v>
      </c>
      <c r="L1022" s="13">
        <v>3.79</v>
      </c>
      <c r="M1022" s="14" t="s">
        <v>913</v>
      </c>
      <c r="N1022" s="14" t="s">
        <v>886</v>
      </c>
      <c r="O1022" s="4">
        <v>42867</v>
      </c>
    </row>
    <row r="1023" spans="1:15">
      <c r="A1023" s="7">
        <v>111710102</v>
      </c>
      <c r="B1023" s="7">
        <v>4.05</v>
      </c>
      <c r="C1023" s="18" t="s">
        <v>735</v>
      </c>
      <c r="D1023" s="19" t="s">
        <v>11</v>
      </c>
      <c r="E1023" s="20">
        <v>6.0273972602739728E-2</v>
      </c>
      <c r="F1023" s="21">
        <v>3.7818999999999998</v>
      </c>
      <c r="G1023" s="21">
        <v>26.810000000000002</v>
      </c>
      <c r="H1023" s="21">
        <v>3.7858999999999998</v>
      </c>
      <c r="I1023" s="21">
        <v>-0.40000000000000036</v>
      </c>
      <c r="J1023" s="19" t="s">
        <v>55</v>
      </c>
      <c r="K1023" s="19" t="s">
        <v>56</v>
      </c>
      <c r="L1023" s="13">
        <v>4.4001000000000001</v>
      </c>
      <c r="M1023" s="14" t="s">
        <v>733</v>
      </c>
      <c r="N1023" s="14" t="s">
        <v>731</v>
      </c>
      <c r="O1023" s="4">
        <v>42867</v>
      </c>
    </row>
    <row r="1024" spans="1:15">
      <c r="A1024" s="7">
        <v>111710102</v>
      </c>
      <c r="B1024" s="7">
        <v>4</v>
      </c>
      <c r="C1024" s="18" t="s">
        <v>735</v>
      </c>
      <c r="D1024" s="19" t="s">
        <v>11</v>
      </c>
      <c r="E1024" s="20">
        <v>6.0273972602739728E-2</v>
      </c>
      <c r="F1024" s="21">
        <v>3.7818999999999998</v>
      </c>
      <c r="G1024" s="21">
        <v>21.810000000000016</v>
      </c>
      <c r="H1024" s="21">
        <v>3.7858999999999998</v>
      </c>
      <c r="I1024" s="21">
        <v>-0.40000000000000036</v>
      </c>
      <c r="J1024" s="19" t="s">
        <v>55</v>
      </c>
      <c r="K1024" s="19" t="s">
        <v>56</v>
      </c>
      <c r="L1024" s="13">
        <v>4.4001000000000001</v>
      </c>
      <c r="M1024" s="14" t="s">
        <v>733</v>
      </c>
      <c r="N1024" s="14" t="s">
        <v>731</v>
      </c>
      <c r="O1024" s="4">
        <v>42867</v>
      </c>
    </row>
    <row r="1025" spans="1:15">
      <c r="A1025" s="7">
        <v>111693882</v>
      </c>
      <c r="B1025" s="7">
        <v>4</v>
      </c>
      <c r="C1025" s="18" t="s">
        <v>701</v>
      </c>
      <c r="D1025" s="19" t="s">
        <v>25</v>
      </c>
      <c r="E1025" s="20">
        <v>4.3835616438356165E-2</v>
      </c>
      <c r="F1025" s="21">
        <v>3.7117</v>
      </c>
      <c r="G1025" s="21">
        <v>28.83</v>
      </c>
      <c r="H1025" s="21">
        <v>3.7410000000000001</v>
      </c>
      <c r="I1025" s="21">
        <v>-2.9300000000000104</v>
      </c>
      <c r="J1025" s="19" t="s">
        <v>12</v>
      </c>
      <c r="K1025" s="19" t="s">
        <v>56</v>
      </c>
      <c r="L1025" s="13">
        <v>3.25</v>
      </c>
      <c r="M1025" s="14" t="s">
        <v>382</v>
      </c>
      <c r="N1025" s="14" t="s">
        <v>383</v>
      </c>
      <c r="O1025" s="4">
        <v>42867</v>
      </c>
    </row>
    <row r="1026" spans="1:15">
      <c r="A1026" s="7">
        <v>170204</v>
      </c>
      <c r="B1026" s="7">
        <v>4</v>
      </c>
      <c r="C1026" s="18" t="s">
        <v>771</v>
      </c>
      <c r="D1026" s="19">
        <v>0</v>
      </c>
      <c r="E1026" s="20">
        <v>0.83835616438356164</v>
      </c>
      <c r="F1026" s="21">
        <v>3.9803999999999999</v>
      </c>
      <c r="G1026" s="21">
        <v>1.9600000000000062</v>
      </c>
      <c r="H1026" s="21">
        <v>3.9479000000000002</v>
      </c>
      <c r="I1026" s="21">
        <v>3.2499999999999751</v>
      </c>
      <c r="J1026" s="19" t="s">
        <v>17</v>
      </c>
      <c r="K1026" s="19" t="s">
        <v>19</v>
      </c>
      <c r="L1026" s="13">
        <v>3.2</v>
      </c>
      <c r="M1026" s="14" t="s">
        <v>761</v>
      </c>
      <c r="N1026" s="14" t="s">
        <v>747</v>
      </c>
      <c r="O1026" s="4">
        <v>42867</v>
      </c>
    </row>
    <row r="1027" spans="1:15">
      <c r="A1027" s="7">
        <v>170204</v>
      </c>
      <c r="B1027" s="7">
        <v>4</v>
      </c>
      <c r="C1027" s="18" t="s">
        <v>771</v>
      </c>
      <c r="D1027" s="19">
        <v>0</v>
      </c>
      <c r="E1027" s="20">
        <v>0.83835616438356164</v>
      </c>
      <c r="F1027" s="21">
        <v>3.9803999999999999</v>
      </c>
      <c r="G1027" s="21">
        <v>1.9600000000000062</v>
      </c>
      <c r="H1027" s="21">
        <v>3.9479000000000002</v>
      </c>
      <c r="I1027" s="21">
        <v>3.2499999999999751</v>
      </c>
      <c r="J1027" s="19" t="s">
        <v>17</v>
      </c>
      <c r="K1027" s="19" t="s">
        <v>19</v>
      </c>
      <c r="L1027" s="13">
        <v>3.2</v>
      </c>
      <c r="M1027" s="14" t="s">
        <v>761</v>
      </c>
      <c r="N1027" s="14" t="s">
        <v>747</v>
      </c>
      <c r="O1027" s="4">
        <v>42867</v>
      </c>
    </row>
    <row r="1028" spans="1:15">
      <c r="A1028" s="7">
        <v>150207</v>
      </c>
      <c r="B1028" s="7">
        <v>4</v>
      </c>
      <c r="C1028" s="18" t="s">
        <v>72</v>
      </c>
      <c r="D1028" s="19">
        <v>0</v>
      </c>
      <c r="E1028" s="20">
        <v>0.89589041095890409</v>
      </c>
      <c r="F1028" s="21">
        <v>4.0008999999999997</v>
      </c>
      <c r="G1028" s="21">
        <v>-8.9999999999967883E-2</v>
      </c>
      <c r="H1028" s="21">
        <v>3.9226999999999999</v>
      </c>
      <c r="I1028" s="21">
        <v>7.8199999999999825</v>
      </c>
      <c r="J1028" s="19" t="s">
        <v>17</v>
      </c>
      <c r="K1028" s="19" t="s">
        <v>19</v>
      </c>
      <c r="L1028" s="13">
        <v>4.18</v>
      </c>
      <c r="M1028" s="14" t="s">
        <v>73</v>
      </c>
      <c r="N1028" s="14" t="s">
        <v>74</v>
      </c>
      <c r="O1028" s="4">
        <v>42867</v>
      </c>
    </row>
    <row r="1029" spans="1:15">
      <c r="A1029" s="7">
        <v>170204</v>
      </c>
      <c r="B1029" s="7">
        <v>3.9950000000000001</v>
      </c>
      <c r="C1029" s="18" t="s">
        <v>771</v>
      </c>
      <c r="D1029" s="19">
        <v>0</v>
      </c>
      <c r="E1029" s="20">
        <v>0.83835616438356164</v>
      </c>
      <c r="F1029" s="21">
        <v>3.9803999999999999</v>
      </c>
      <c r="G1029" s="21">
        <v>1.4600000000000168</v>
      </c>
      <c r="H1029" s="21">
        <v>3.9479000000000002</v>
      </c>
      <c r="I1029" s="21">
        <v>3.2499999999999751</v>
      </c>
      <c r="J1029" s="19" t="s">
        <v>17</v>
      </c>
      <c r="K1029" s="19" t="s">
        <v>19</v>
      </c>
      <c r="L1029" s="13">
        <v>3.2</v>
      </c>
      <c r="M1029" s="14" t="s">
        <v>761</v>
      </c>
      <c r="N1029" s="14" t="s">
        <v>747</v>
      </c>
      <c r="O1029" s="4">
        <v>42867</v>
      </c>
    </row>
    <row r="1030" spans="1:15">
      <c r="A1030" s="7">
        <v>170204</v>
      </c>
      <c r="B1030" s="7">
        <v>3.99</v>
      </c>
      <c r="C1030" s="18" t="s">
        <v>771</v>
      </c>
      <c r="D1030" s="19">
        <v>0</v>
      </c>
      <c r="E1030" s="20">
        <v>0.83835616438356164</v>
      </c>
      <c r="F1030" s="21">
        <v>3.9803999999999999</v>
      </c>
      <c r="G1030" s="21">
        <v>0.9600000000000275</v>
      </c>
      <c r="H1030" s="21">
        <v>3.9479000000000002</v>
      </c>
      <c r="I1030" s="21">
        <v>3.2499999999999751</v>
      </c>
      <c r="J1030" s="19" t="s">
        <v>17</v>
      </c>
      <c r="K1030" s="19" t="s">
        <v>19</v>
      </c>
      <c r="L1030" s="13">
        <v>3.2</v>
      </c>
      <c r="M1030" s="14" t="s">
        <v>761</v>
      </c>
      <c r="N1030" s="14" t="s">
        <v>747</v>
      </c>
      <c r="O1030" s="4">
        <v>42867</v>
      </c>
    </row>
    <row r="1031" spans="1:15">
      <c r="A1031" s="7">
        <v>170204</v>
      </c>
      <c r="B1031" s="7">
        <v>3.99</v>
      </c>
      <c r="C1031" s="18" t="s">
        <v>771</v>
      </c>
      <c r="D1031" s="19">
        <v>0</v>
      </c>
      <c r="E1031" s="20">
        <v>0.83835616438356164</v>
      </c>
      <c r="F1031" s="21">
        <v>3.9803999999999999</v>
      </c>
      <c r="G1031" s="21">
        <v>0.9600000000000275</v>
      </c>
      <c r="H1031" s="21">
        <v>3.9479000000000002</v>
      </c>
      <c r="I1031" s="21">
        <v>3.2499999999999751</v>
      </c>
      <c r="J1031" s="19" t="s">
        <v>17</v>
      </c>
      <c r="K1031" s="19" t="s">
        <v>19</v>
      </c>
      <c r="L1031" s="13">
        <v>3.2</v>
      </c>
      <c r="M1031" s="14" t="s">
        <v>761</v>
      </c>
      <c r="N1031" s="14" t="s">
        <v>747</v>
      </c>
      <c r="O1031" s="4">
        <v>42867</v>
      </c>
    </row>
    <row r="1032" spans="1:15">
      <c r="A1032" s="7">
        <v>170204</v>
      </c>
      <c r="B1032" s="7">
        <v>3.99</v>
      </c>
      <c r="C1032" s="18" t="s">
        <v>771</v>
      </c>
      <c r="D1032" s="19">
        <v>0</v>
      </c>
      <c r="E1032" s="20">
        <v>0.83835616438356164</v>
      </c>
      <c r="F1032" s="21">
        <v>3.9803999999999999</v>
      </c>
      <c r="G1032" s="21">
        <v>0.9600000000000275</v>
      </c>
      <c r="H1032" s="21">
        <v>3.9479000000000002</v>
      </c>
      <c r="I1032" s="21">
        <v>3.2499999999999751</v>
      </c>
      <c r="J1032" s="19" t="s">
        <v>17</v>
      </c>
      <c r="K1032" s="19" t="s">
        <v>19</v>
      </c>
      <c r="L1032" s="13">
        <v>3.2</v>
      </c>
      <c r="M1032" s="14" t="s">
        <v>761</v>
      </c>
      <c r="N1032" s="14" t="s">
        <v>747</v>
      </c>
      <c r="O1032" s="4">
        <v>42867</v>
      </c>
    </row>
    <row r="1033" spans="1:15">
      <c r="A1033" s="7">
        <v>170204</v>
      </c>
      <c r="B1033" s="7">
        <v>3.9849999999999999</v>
      </c>
      <c r="C1033" s="18" t="s">
        <v>771</v>
      </c>
      <c r="D1033" s="19">
        <v>0</v>
      </c>
      <c r="E1033" s="20">
        <v>0.83835616438356164</v>
      </c>
      <c r="F1033" s="21">
        <v>3.9803999999999999</v>
      </c>
      <c r="G1033" s="21">
        <v>0.45999999999999375</v>
      </c>
      <c r="H1033" s="21">
        <v>3.9479000000000002</v>
      </c>
      <c r="I1033" s="21">
        <v>3.2499999999999751</v>
      </c>
      <c r="J1033" s="19" t="s">
        <v>17</v>
      </c>
      <c r="K1033" s="19" t="s">
        <v>19</v>
      </c>
      <c r="L1033" s="13">
        <v>3.2</v>
      </c>
      <c r="M1033" s="14" t="s">
        <v>761</v>
      </c>
      <c r="N1033" s="14" t="s">
        <v>747</v>
      </c>
      <c r="O1033" s="4">
        <v>42867</v>
      </c>
    </row>
    <row r="1034" spans="1:15">
      <c r="A1034" s="7">
        <v>170204</v>
      </c>
      <c r="B1034" s="7">
        <v>3.98</v>
      </c>
      <c r="C1034" s="18" t="s">
        <v>771</v>
      </c>
      <c r="D1034" s="19">
        <v>0</v>
      </c>
      <c r="E1034" s="20">
        <v>0.83835616438356164</v>
      </c>
      <c r="F1034" s="21">
        <v>3.9803999999999999</v>
      </c>
      <c r="G1034" s="21">
        <v>-3.9999999999995595E-2</v>
      </c>
      <c r="H1034" s="21">
        <v>3.9479000000000002</v>
      </c>
      <c r="I1034" s="21">
        <v>3.2499999999999751</v>
      </c>
      <c r="J1034" s="19" t="s">
        <v>17</v>
      </c>
      <c r="K1034" s="19" t="s">
        <v>19</v>
      </c>
      <c r="L1034" s="13">
        <v>3.2</v>
      </c>
      <c r="M1034" s="14" t="s">
        <v>761</v>
      </c>
      <c r="N1034" s="14" t="s">
        <v>747</v>
      </c>
      <c r="O1034" s="4">
        <v>42867</v>
      </c>
    </row>
    <row r="1035" spans="1:15">
      <c r="A1035" s="7">
        <v>170204</v>
      </c>
      <c r="B1035" s="7">
        <v>3.98</v>
      </c>
      <c r="C1035" s="18" t="s">
        <v>771</v>
      </c>
      <c r="D1035" s="19">
        <v>0</v>
      </c>
      <c r="E1035" s="20">
        <v>0.83835616438356164</v>
      </c>
      <c r="F1035" s="21">
        <v>3.9803999999999999</v>
      </c>
      <c r="G1035" s="21">
        <v>-3.9999999999995595E-2</v>
      </c>
      <c r="H1035" s="21">
        <v>3.9479000000000002</v>
      </c>
      <c r="I1035" s="21">
        <v>3.2499999999999751</v>
      </c>
      <c r="J1035" s="19" t="s">
        <v>17</v>
      </c>
      <c r="K1035" s="19" t="s">
        <v>19</v>
      </c>
      <c r="L1035" s="13">
        <v>3.2</v>
      </c>
      <c r="M1035" s="14" t="s">
        <v>761</v>
      </c>
      <c r="N1035" s="14" t="s">
        <v>747</v>
      </c>
      <c r="O1035" s="4">
        <v>42867</v>
      </c>
    </row>
    <row r="1036" spans="1:15">
      <c r="A1036" s="7">
        <v>170204</v>
      </c>
      <c r="B1036" s="7">
        <v>3.98</v>
      </c>
      <c r="C1036" s="18" t="s">
        <v>771</v>
      </c>
      <c r="D1036" s="19">
        <v>0</v>
      </c>
      <c r="E1036" s="20">
        <v>0.83835616438356164</v>
      </c>
      <c r="F1036" s="21">
        <v>3.9803999999999999</v>
      </c>
      <c r="G1036" s="21">
        <v>-3.9999999999995595E-2</v>
      </c>
      <c r="H1036" s="21">
        <v>3.9479000000000002</v>
      </c>
      <c r="I1036" s="21">
        <v>3.2499999999999751</v>
      </c>
      <c r="J1036" s="19" t="s">
        <v>17</v>
      </c>
      <c r="K1036" s="19" t="s">
        <v>19</v>
      </c>
      <c r="L1036" s="13">
        <v>3.2</v>
      </c>
      <c r="M1036" s="14" t="s">
        <v>761</v>
      </c>
      <c r="N1036" s="14" t="s">
        <v>747</v>
      </c>
      <c r="O1036" s="4">
        <v>42867</v>
      </c>
    </row>
    <row r="1037" spans="1:15">
      <c r="A1037" s="7">
        <v>170204</v>
      </c>
      <c r="B1037" s="7">
        <v>3.98</v>
      </c>
      <c r="C1037" s="18" t="s">
        <v>771</v>
      </c>
      <c r="D1037" s="19">
        <v>0</v>
      </c>
      <c r="E1037" s="20">
        <v>0.83835616438356164</v>
      </c>
      <c r="F1037" s="21">
        <v>3.9803999999999999</v>
      </c>
      <c r="G1037" s="21">
        <v>-3.9999999999995595E-2</v>
      </c>
      <c r="H1037" s="21">
        <v>3.9479000000000002</v>
      </c>
      <c r="I1037" s="21">
        <v>3.2499999999999751</v>
      </c>
      <c r="J1037" s="19" t="s">
        <v>17</v>
      </c>
      <c r="K1037" s="19" t="s">
        <v>19</v>
      </c>
      <c r="L1037" s="13">
        <v>3.2</v>
      </c>
      <c r="M1037" s="14" t="s">
        <v>761</v>
      </c>
      <c r="N1037" s="14" t="s">
        <v>747</v>
      </c>
      <c r="O1037" s="4">
        <v>42867</v>
      </c>
    </row>
    <row r="1038" spans="1:15">
      <c r="A1038" s="7">
        <v>170204</v>
      </c>
      <c r="B1038" s="7">
        <v>3.98</v>
      </c>
      <c r="C1038" s="18" t="s">
        <v>771</v>
      </c>
      <c r="D1038" s="19">
        <v>0</v>
      </c>
      <c r="E1038" s="20">
        <v>0.83835616438356164</v>
      </c>
      <c r="F1038" s="21">
        <v>3.9803999999999999</v>
      </c>
      <c r="G1038" s="21">
        <v>-3.9999999999995595E-2</v>
      </c>
      <c r="H1038" s="21">
        <v>3.9479000000000002</v>
      </c>
      <c r="I1038" s="21">
        <v>3.2499999999999751</v>
      </c>
      <c r="J1038" s="19" t="s">
        <v>17</v>
      </c>
      <c r="K1038" s="19" t="s">
        <v>19</v>
      </c>
      <c r="L1038" s="13">
        <v>3.2</v>
      </c>
      <c r="M1038" s="14" t="s">
        <v>761</v>
      </c>
      <c r="N1038" s="14" t="s">
        <v>747</v>
      </c>
      <c r="O1038" s="4">
        <v>42867</v>
      </c>
    </row>
    <row r="1039" spans="1:15">
      <c r="A1039" s="7">
        <v>170204</v>
      </c>
      <c r="B1039" s="7">
        <v>3.98</v>
      </c>
      <c r="C1039" s="18" t="s">
        <v>771</v>
      </c>
      <c r="D1039" s="19">
        <v>0</v>
      </c>
      <c r="E1039" s="20">
        <v>0.83835616438356164</v>
      </c>
      <c r="F1039" s="21">
        <v>3.9803999999999999</v>
      </c>
      <c r="G1039" s="21">
        <v>-3.9999999999995595E-2</v>
      </c>
      <c r="H1039" s="21">
        <v>3.9479000000000002</v>
      </c>
      <c r="I1039" s="21">
        <v>3.2499999999999751</v>
      </c>
      <c r="J1039" s="19" t="s">
        <v>17</v>
      </c>
      <c r="K1039" s="19" t="s">
        <v>19</v>
      </c>
      <c r="L1039" s="13">
        <v>3.2</v>
      </c>
      <c r="M1039" s="14" t="s">
        <v>761</v>
      </c>
      <c r="N1039" s="14" t="s">
        <v>747</v>
      </c>
      <c r="O1039" s="4">
        <v>42867</v>
      </c>
    </row>
    <row r="1040" spans="1:15">
      <c r="A1040" s="7">
        <v>110211</v>
      </c>
      <c r="B1040" s="7">
        <v>3.98</v>
      </c>
      <c r="C1040" s="18" t="s">
        <v>445</v>
      </c>
      <c r="D1040" s="19">
        <v>0</v>
      </c>
      <c r="E1040" s="20">
        <v>0.80821917808219179</v>
      </c>
      <c r="F1040" s="21">
        <v>3.9426000000000001</v>
      </c>
      <c r="G1040" s="21">
        <v>3.7399999999999878</v>
      </c>
      <c r="H1040" s="21">
        <v>3.9369000000000001</v>
      </c>
      <c r="I1040" s="21">
        <v>0.57000000000000384</v>
      </c>
      <c r="J1040" s="19" t="s">
        <v>17</v>
      </c>
      <c r="K1040" s="19" t="s">
        <v>19</v>
      </c>
      <c r="L1040" s="13">
        <v>4.33</v>
      </c>
      <c r="M1040" s="14" t="s">
        <v>268</v>
      </c>
      <c r="N1040" s="14" t="s">
        <v>53</v>
      </c>
      <c r="O1040" s="4">
        <v>42867</v>
      </c>
    </row>
    <row r="1041" spans="1:15">
      <c r="A1041" s="7">
        <v>110211</v>
      </c>
      <c r="B1041" s="7">
        <v>3.98</v>
      </c>
      <c r="C1041" s="18" t="s">
        <v>445</v>
      </c>
      <c r="D1041" s="19">
        <v>0</v>
      </c>
      <c r="E1041" s="20">
        <v>0.80821917808219179</v>
      </c>
      <c r="F1041" s="21">
        <v>3.9426000000000001</v>
      </c>
      <c r="G1041" s="21">
        <v>3.7399999999999878</v>
      </c>
      <c r="H1041" s="21">
        <v>3.9369000000000001</v>
      </c>
      <c r="I1041" s="21">
        <v>0.57000000000000384</v>
      </c>
      <c r="J1041" s="19" t="s">
        <v>17</v>
      </c>
      <c r="K1041" s="19" t="s">
        <v>19</v>
      </c>
      <c r="L1041" s="13">
        <v>4.33</v>
      </c>
      <c r="M1041" s="14" t="s">
        <v>268</v>
      </c>
      <c r="N1041" s="14" t="s">
        <v>53</v>
      </c>
      <c r="O1041" s="4">
        <v>42867</v>
      </c>
    </row>
    <row r="1042" spans="1:15">
      <c r="A1042" s="7">
        <v>170204</v>
      </c>
      <c r="B1042" s="7">
        <v>3.97</v>
      </c>
      <c r="C1042" s="18" t="s">
        <v>771</v>
      </c>
      <c r="D1042" s="19">
        <v>0</v>
      </c>
      <c r="E1042" s="20">
        <v>0.83835616438356164</v>
      </c>
      <c r="F1042" s="21">
        <v>3.9803999999999999</v>
      </c>
      <c r="G1042" s="21">
        <v>-1.0399999999999743</v>
      </c>
      <c r="H1042" s="21">
        <v>3.9479000000000002</v>
      </c>
      <c r="I1042" s="21">
        <v>3.2499999999999751</v>
      </c>
      <c r="J1042" s="19" t="s">
        <v>17</v>
      </c>
      <c r="K1042" s="19" t="s">
        <v>19</v>
      </c>
      <c r="L1042" s="13">
        <v>3.2</v>
      </c>
      <c r="M1042" s="14" t="s">
        <v>761</v>
      </c>
      <c r="N1042" s="14" t="s">
        <v>747</v>
      </c>
      <c r="O1042" s="4">
        <v>42867</v>
      </c>
    </row>
    <row r="1043" spans="1:15">
      <c r="A1043" s="7">
        <v>160008</v>
      </c>
      <c r="B1043" s="7">
        <v>3.97</v>
      </c>
      <c r="C1043" s="18" t="s">
        <v>361</v>
      </c>
      <c r="D1043" s="19">
        <v>0</v>
      </c>
      <c r="E1043" s="20">
        <v>28.975342465753425</v>
      </c>
      <c r="F1043" s="21">
        <v>3.9594999999999998</v>
      </c>
      <c r="G1043" s="21">
        <v>1.0500000000000398</v>
      </c>
      <c r="H1043" s="21">
        <v>3.9803000000000002</v>
      </c>
      <c r="I1043" s="21">
        <v>-2.0800000000000374</v>
      </c>
      <c r="J1043" s="19">
        <v>0</v>
      </c>
      <c r="K1043" s="19" t="s">
        <v>61</v>
      </c>
      <c r="L1043" s="13">
        <v>3.52</v>
      </c>
      <c r="M1043" s="14" t="s">
        <v>199</v>
      </c>
      <c r="N1043" s="14" t="s">
        <v>205</v>
      </c>
      <c r="O1043" s="4">
        <v>42867</v>
      </c>
    </row>
    <row r="1044" spans="1:15">
      <c r="A1044" s="7">
        <v>160019</v>
      </c>
      <c r="B1044" s="7">
        <v>3.96</v>
      </c>
      <c r="C1044" s="18" t="s">
        <v>464</v>
      </c>
      <c r="D1044" s="19">
        <v>0</v>
      </c>
      <c r="E1044" s="20">
        <v>29.301369863013697</v>
      </c>
      <c r="F1044" s="21">
        <v>3.9397000000000002</v>
      </c>
      <c r="G1044" s="21">
        <v>2.0299999999999763</v>
      </c>
      <c r="H1044" s="21">
        <v>3.9605000000000001</v>
      </c>
      <c r="I1044" s="21">
        <v>-2.079999999999993</v>
      </c>
      <c r="J1044" s="19">
        <v>0</v>
      </c>
      <c r="K1044" s="19" t="s">
        <v>61</v>
      </c>
      <c r="L1044" s="13">
        <v>3.27</v>
      </c>
      <c r="M1044" s="14" t="s">
        <v>465</v>
      </c>
      <c r="N1044" s="14" t="s">
        <v>458</v>
      </c>
      <c r="O1044" s="4">
        <v>42867</v>
      </c>
    </row>
    <row r="1045" spans="1:15">
      <c r="A1045" s="7">
        <v>170301</v>
      </c>
      <c r="B1045" s="7">
        <v>3.85</v>
      </c>
      <c r="C1045" s="18" t="s">
        <v>682</v>
      </c>
      <c r="D1045" s="19">
        <v>0</v>
      </c>
      <c r="E1045" s="20">
        <v>0.70684931506849313</v>
      </c>
      <c r="F1045" s="21">
        <v>3.7696999999999998</v>
      </c>
      <c r="G1045" s="21">
        <v>8.030000000000026</v>
      </c>
      <c r="H1045" s="21">
        <v>3.7090999999999998</v>
      </c>
      <c r="I1045" s="21">
        <v>6.0599999999999987</v>
      </c>
      <c r="J1045" s="19" t="s">
        <v>17</v>
      </c>
      <c r="K1045" s="19" t="s">
        <v>19</v>
      </c>
      <c r="L1045" s="13">
        <v>3.04</v>
      </c>
      <c r="M1045" s="14" t="s">
        <v>672</v>
      </c>
      <c r="N1045" s="14" t="s">
        <v>668</v>
      </c>
      <c r="O1045" s="4">
        <v>42867</v>
      </c>
    </row>
    <row r="1046" spans="1:15">
      <c r="A1046" s="7">
        <v>170203</v>
      </c>
      <c r="B1046" s="7">
        <v>3.85</v>
      </c>
      <c r="C1046" s="18" t="s">
        <v>669</v>
      </c>
      <c r="D1046" s="19">
        <v>0</v>
      </c>
      <c r="E1046" s="20">
        <v>0.70410958904109588</v>
      </c>
      <c r="F1046" s="21">
        <v>3.7117</v>
      </c>
      <c r="G1046" s="21">
        <v>13.830000000000009</v>
      </c>
      <c r="H1046" s="21">
        <v>3.7545999999999999</v>
      </c>
      <c r="I1046" s="21">
        <v>-4.2899999999999938</v>
      </c>
      <c r="J1046" s="19" t="s">
        <v>17</v>
      </c>
      <c r="K1046" s="19" t="s">
        <v>19</v>
      </c>
      <c r="L1046" s="13">
        <v>3.2</v>
      </c>
      <c r="M1046" s="14" t="s">
        <v>670</v>
      </c>
      <c r="N1046" s="14" t="s">
        <v>658</v>
      </c>
      <c r="O1046" s="4">
        <v>42867</v>
      </c>
    </row>
    <row r="1047" spans="1:15">
      <c r="A1047" s="7">
        <v>11698402</v>
      </c>
      <c r="B1047" s="7">
        <v>3.7</v>
      </c>
      <c r="C1047" s="18" t="s">
        <v>875</v>
      </c>
      <c r="D1047" s="19" t="s">
        <v>11</v>
      </c>
      <c r="E1047" s="20">
        <v>6.0273972602739728E-2</v>
      </c>
      <c r="F1047" s="21">
        <v>3.7063999999999999</v>
      </c>
      <c r="G1047" s="21">
        <v>-0.63999999999997392</v>
      </c>
      <c r="H1047" s="21">
        <v>3.6446000000000001</v>
      </c>
      <c r="I1047" s="21">
        <v>6.1799999999999855</v>
      </c>
      <c r="J1047" s="19" t="s">
        <v>17</v>
      </c>
      <c r="K1047" s="19" t="s">
        <v>13</v>
      </c>
      <c r="L1047" s="13">
        <v>2.4700000000000002</v>
      </c>
      <c r="M1047" s="14" t="s">
        <v>488</v>
      </c>
      <c r="N1047" s="14" t="s">
        <v>484</v>
      </c>
      <c r="O1047" s="4">
        <v>42867</v>
      </c>
    </row>
    <row r="1048" spans="1:15">
      <c r="A1048" s="7">
        <v>11698402</v>
      </c>
      <c r="B1048" s="7">
        <v>3.7</v>
      </c>
      <c r="C1048" s="18" t="s">
        <v>875</v>
      </c>
      <c r="D1048" s="19" t="s">
        <v>11</v>
      </c>
      <c r="E1048" s="20">
        <v>6.0273972602739728E-2</v>
      </c>
      <c r="F1048" s="21">
        <v>3.7063999999999999</v>
      </c>
      <c r="G1048" s="21">
        <v>-0.63999999999997392</v>
      </c>
      <c r="H1048" s="21">
        <v>3.6446000000000001</v>
      </c>
      <c r="I1048" s="21">
        <v>6.1799999999999855</v>
      </c>
      <c r="J1048" s="19" t="s">
        <v>17</v>
      </c>
      <c r="K1048" s="19" t="s">
        <v>13</v>
      </c>
      <c r="L1048" s="13">
        <v>2.4700000000000002</v>
      </c>
      <c r="M1048" s="14" t="s">
        <v>488</v>
      </c>
      <c r="N1048" s="14" t="s">
        <v>484</v>
      </c>
      <c r="O1048" s="4">
        <v>42867</v>
      </c>
    </row>
    <row r="1049" spans="1:15">
      <c r="A1049" s="7">
        <v>160017</v>
      </c>
      <c r="B1049" s="7">
        <v>3.69</v>
      </c>
      <c r="C1049" s="18" t="s">
        <v>440</v>
      </c>
      <c r="D1049" s="19">
        <v>0</v>
      </c>
      <c r="E1049" s="20">
        <v>9.2383561643835623</v>
      </c>
      <c r="F1049" s="21">
        <v>3.6915</v>
      </c>
      <c r="G1049" s="21">
        <v>-0.15000000000000568</v>
      </c>
      <c r="H1049" s="21">
        <v>3.6913999999999998</v>
      </c>
      <c r="I1049" s="21">
        <v>1.0000000000021103E-2</v>
      </c>
      <c r="J1049" s="19">
        <v>0</v>
      </c>
      <c r="K1049" s="19" t="s">
        <v>61</v>
      </c>
      <c r="L1049" s="13">
        <v>2.74</v>
      </c>
      <c r="M1049" s="14" t="s">
        <v>438</v>
      </c>
      <c r="N1049" s="14" t="s">
        <v>432</v>
      </c>
      <c r="O1049" s="4">
        <v>42867</v>
      </c>
    </row>
    <row r="1050" spans="1:15">
      <c r="A1050" s="7">
        <v>160017</v>
      </c>
      <c r="B1050" s="7">
        <v>3.69</v>
      </c>
      <c r="C1050" s="18" t="s">
        <v>440</v>
      </c>
      <c r="D1050" s="19">
        <v>0</v>
      </c>
      <c r="E1050" s="20">
        <v>9.2383561643835623</v>
      </c>
      <c r="F1050" s="21">
        <v>3.6915</v>
      </c>
      <c r="G1050" s="21">
        <v>-0.15000000000000568</v>
      </c>
      <c r="H1050" s="21">
        <v>3.6913999999999998</v>
      </c>
      <c r="I1050" s="21">
        <v>1.0000000000021103E-2</v>
      </c>
      <c r="J1050" s="19">
        <v>0</v>
      </c>
      <c r="K1050" s="19" t="s">
        <v>61</v>
      </c>
      <c r="L1050" s="13">
        <v>2.74</v>
      </c>
      <c r="M1050" s="14" t="s">
        <v>438</v>
      </c>
      <c r="N1050" s="14" t="s">
        <v>432</v>
      </c>
      <c r="O1050" s="4">
        <v>42867</v>
      </c>
    </row>
    <row r="1051" spans="1:15">
      <c r="A1051" s="7">
        <v>170007</v>
      </c>
      <c r="B1051" s="7">
        <v>3.6850000000000001</v>
      </c>
      <c r="C1051" s="18" t="s">
        <v>846</v>
      </c>
      <c r="D1051" s="19">
        <v>0</v>
      </c>
      <c r="E1051" s="20">
        <v>4.9260273972602739</v>
      </c>
      <c r="F1051" s="21">
        <v>3.6297999999999999</v>
      </c>
      <c r="G1051" s="21">
        <v>5.5200000000000138</v>
      </c>
      <c r="H1051" s="21">
        <v>3.6797</v>
      </c>
      <c r="I1051" s="21">
        <v>-4.9900000000000055</v>
      </c>
      <c r="J1051" s="19">
        <v>0</v>
      </c>
      <c r="K1051" s="19" t="s">
        <v>61</v>
      </c>
      <c r="L1051" s="13">
        <v>3.13</v>
      </c>
      <c r="M1051" s="14" t="s">
        <v>844</v>
      </c>
      <c r="N1051" s="14" t="s">
        <v>833</v>
      </c>
      <c r="O1051" s="4">
        <v>42867</v>
      </c>
    </row>
    <row r="1052" spans="1:15">
      <c r="A1052" s="7">
        <v>170007</v>
      </c>
      <c r="B1052" s="7">
        <v>3.68</v>
      </c>
      <c r="C1052" s="18" t="s">
        <v>846</v>
      </c>
      <c r="D1052" s="19">
        <v>0</v>
      </c>
      <c r="E1052" s="20">
        <v>4.9260273972602739</v>
      </c>
      <c r="F1052" s="21">
        <v>3.6297999999999999</v>
      </c>
      <c r="G1052" s="21">
        <v>5.0200000000000244</v>
      </c>
      <c r="H1052" s="21">
        <v>3.6797</v>
      </c>
      <c r="I1052" s="21">
        <v>-4.9900000000000055</v>
      </c>
      <c r="J1052" s="19">
        <v>0</v>
      </c>
      <c r="K1052" s="19" t="s">
        <v>61</v>
      </c>
      <c r="L1052" s="13">
        <v>3.13</v>
      </c>
      <c r="M1052" s="14" t="s">
        <v>844</v>
      </c>
      <c r="N1052" s="14" t="s">
        <v>833</v>
      </c>
      <c r="O1052" s="4">
        <v>42867</v>
      </c>
    </row>
    <row r="1053" spans="1:15">
      <c r="A1053" s="7">
        <v>170007</v>
      </c>
      <c r="B1053" s="7">
        <v>3.68</v>
      </c>
      <c r="C1053" s="18" t="s">
        <v>846</v>
      </c>
      <c r="D1053" s="19">
        <v>0</v>
      </c>
      <c r="E1053" s="20">
        <v>4.9260273972602739</v>
      </c>
      <c r="F1053" s="21">
        <v>3.6297999999999999</v>
      </c>
      <c r="G1053" s="21">
        <v>5.0200000000000244</v>
      </c>
      <c r="H1053" s="21">
        <v>3.6797</v>
      </c>
      <c r="I1053" s="21">
        <v>-4.9900000000000055</v>
      </c>
      <c r="J1053" s="19">
        <v>0</v>
      </c>
      <c r="K1053" s="19" t="s">
        <v>61</v>
      </c>
      <c r="L1053" s="13">
        <v>3.13</v>
      </c>
      <c r="M1053" s="14" t="s">
        <v>844</v>
      </c>
      <c r="N1053" s="14" t="s">
        <v>833</v>
      </c>
      <c r="O1053" s="4">
        <v>42867</v>
      </c>
    </row>
    <row r="1054" spans="1:15">
      <c r="A1054" s="7">
        <v>170007</v>
      </c>
      <c r="B1054" s="7">
        <v>3.68</v>
      </c>
      <c r="C1054" s="18" t="s">
        <v>846</v>
      </c>
      <c r="D1054" s="19">
        <v>0</v>
      </c>
      <c r="E1054" s="20">
        <v>4.9260273972602739</v>
      </c>
      <c r="F1054" s="21">
        <v>3.6297999999999999</v>
      </c>
      <c r="G1054" s="21">
        <v>5.0200000000000244</v>
      </c>
      <c r="H1054" s="21">
        <v>3.6797</v>
      </c>
      <c r="I1054" s="21">
        <v>-4.9900000000000055</v>
      </c>
      <c r="J1054" s="19">
        <v>0</v>
      </c>
      <c r="K1054" s="19" t="s">
        <v>61</v>
      </c>
      <c r="L1054" s="13">
        <v>3.13</v>
      </c>
      <c r="M1054" s="14" t="s">
        <v>844</v>
      </c>
      <c r="N1054" s="14" t="s">
        <v>833</v>
      </c>
      <c r="O1054" s="4">
        <v>42867</v>
      </c>
    </row>
    <row r="1055" spans="1:15">
      <c r="A1055" s="7">
        <v>170007</v>
      </c>
      <c r="B1055" s="7">
        <v>3.68</v>
      </c>
      <c r="C1055" s="18" t="s">
        <v>846</v>
      </c>
      <c r="D1055" s="19">
        <v>0</v>
      </c>
      <c r="E1055" s="20">
        <v>4.9260273972602739</v>
      </c>
      <c r="F1055" s="21">
        <v>3.6297999999999999</v>
      </c>
      <c r="G1055" s="21">
        <v>5.0200000000000244</v>
      </c>
      <c r="H1055" s="21">
        <v>3.6797</v>
      </c>
      <c r="I1055" s="21">
        <v>-4.9900000000000055</v>
      </c>
      <c r="J1055" s="19">
        <v>0</v>
      </c>
      <c r="K1055" s="19" t="s">
        <v>61</v>
      </c>
      <c r="L1055" s="13">
        <v>3.13</v>
      </c>
      <c r="M1055" s="14" t="s">
        <v>844</v>
      </c>
      <c r="N1055" s="14" t="s">
        <v>833</v>
      </c>
      <c r="O1055" s="4">
        <v>42867</v>
      </c>
    </row>
    <row r="1056" spans="1:15">
      <c r="A1056" s="7">
        <v>170007</v>
      </c>
      <c r="B1056" s="7">
        <v>3.68</v>
      </c>
      <c r="C1056" s="18" t="s">
        <v>846</v>
      </c>
      <c r="D1056" s="19">
        <v>0</v>
      </c>
      <c r="E1056" s="20">
        <v>4.9260273972602739</v>
      </c>
      <c r="F1056" s="21">
        <v>3.6297999999999999</v>
      </c>
      <c r="G1056" s="21">
        <v>5.0200000000000244</v>
      </c>
      <c r="H1056" s="21">
        <v>3.6797</v>
      </c>
      <c r="I1056" s="21">
        <v>-4.9900000000000055</v>
      </c>
      <c r="J1056" s="19">
        <v>0</v>
      </c>
      <c r="K1056" s="19" t="s">
        <v>61</v>
      </c>
      <c r="L1056" s="13">
        <v>3.13</v>
      </c>
      <c r="M1056" s="14" t="s">
        <v>844</v>
      </c>
      <c r="N1056" s="14" t="s">
        <v>833</v>
      </c>
      <c r="O1056" s="4">
        <v>42867</v>
      </c>
    </row>
    <row r="1057" spans="1:15">
      <c r="A1057" s="7">
        <v>170007</v>
      </c>
      <c r="B1057" s="7">
        <v>3.67</v>
      </c>
      <c r="C1057" s="18" t="s">
        <v>846</v>
      </c>
      <c r="D1057" s="19">
        <v>0</v>
      </c>
      <c r="E1057" s="20">
        <v>4.9260273972602739</v>
      </c>
      <c r="F1057" s="21">
        <v>3.6297999999999999</v>
      </c>
      <c r="G1057" s="21">
        <v>4.0200000000000014</v>
      </c>
      <c r="H1057" s="21">
        <v>3.6797</v>
      </c>
      <c r="I1057" s="21">
        <v>-4.9900000000000055</v>
      </c>
      <c r="J1057" s="19">
        <v>0</v>
      </c>
      <c r="K1057" s="19" t="s">
        <v>61</v>
      </c>
      <c r="L1057" s="13">
        <v>3.13</v>
      </c>
      <c r="M1057" s="14" t="s">
        <v>844</v>
      </c>
      <c r="N1057" s="14" t="s">
        <v>833</v>
      </c>
      <c r="O1057" s="4">
        <v>42867</v>
      </c>
    </row>
    <row r="1058" spans="1:15">
      <c r="A1058" s="7">
        <v>170007</v>
      </c>
      <c r="B1058" s="7">
        <v>3.67</v>
      </c>
      <c r="C1058" s="18" t="s">
        <v>846</v>
      </c>
      <c r="D1058" s="19">
        <v>0</v>
      </c>
      <c r="E1058" s="20">
        <v>4.9260273972602739</v>
      </c>
      <c r="F1058" s="21">
        <v>3.6297999999999999</v>
      </c>
      <c r="G1058" s="21">
        <v>4.0200000000000014</v>
      </c>
      <c r="H1058" s="21">
        <v>3.6797</v>
      </c>
      <c r="I1058" s="21">
        <v>-4.9900000000000055</v>
      </c>
      <c r="J1058" s="19">
        <v>0</v>
      </c>
      <c r="K1058" s="19" t="s">
        <v>61</v>
      </c>
      <c r="L1058" s="13">
        <v>3.13</v>
      </c>
      <c r="M1058" s="14" t="s">
        <v>844</v>
      </c>
      <c r="N1058" s="14" t="s">
        <v>833</v>
      </c>
      <c r="O1058" s="4">
        <v>42867</v>
      </c>
    </row>
    <row r="1059" spans="1:15">
      <c r="A1059" s="7">
        <v>140021</v>
      </c>
      <c r="B1059" s="7">
        <v>3.67</v>
      </c>
      <c r="C1059" s="18" t="s">
        <v>286</v>
      </c>
      <c r="D1059" s="19">
        <v>0</v>
      </c>
      <c r="E1059" s="20">
        <v>7.3616438356164382</v>
      </c>
      <c r="F1059" s="21">
        <v>3.6494</v>
      </c>
      <c r="G1059" s="21">
        <v>2.0599999999999952</v>
      </c>
      <c r="H1059" s="21">
        <v>3.6490999999999998</v>
      </c>
      <c r="I1059" s="21">
        <v>3.00000000000189E-2</v>
      </c>
      <c r="J1059" s="19">
        <v>0</v>
      </c>
      <c r="K1059" s="19" t="s">
        <v>61</v>
      </c>
      <c r="L1059" s="13">
        <v>4.13</v>
      </c>
      <c r="M1059" s="14" t="s">
        <v>223</v>
      </c>
      <c r="N1059" s="14" t="s">
        <v>248</v>
      </c>
      <c r="O1059" s="4">
        <v>42867</v>
      </c>
    </row>
    <row r="1060" spans="1:15">
      <c r="A1060" s="7">
        <v>170007</v>
      </c>
      <c r="B1060" s="7">
        <v>3.6625000000000001</v>
      </c>
      <c r="C1060" s="18" t="s">
        <v>846</v>
      </c>
      <c r="D1060" s="19">
        <v>0</v>
      </c>
      <c r="E1060" s="20">
        <v>4.9260273972602739</v>
      </c>
      <c r="F1060" s="21">
        <v>3.6297999999999999</v>
      </c>
      <c r="G1060" s="21">
        <v>3.2700000000000173</v>
      </c>
      <c r="H1060" s="21">
        <v>3.6797</v>
      </c>
      <c r="I1060" s="21">
        <v>-4.9900000000000055</v>
      </c>
      <c r="J1060" s="19">
        <v>0</v>
      </c>
      <c r="K1060" s="19" t="s">
        <v>61</v>
      </c>
      <c r="L1060" s="13">
        <v>3.13</v>
      </c>
      <c r="M1060" s="14" t="s">
        <v>844</v>
      </c>
      <c r="N1060" s="14" t="s">
        <v>833</v>
      </c>
      <c r="O1060" s="4">
        <v>42867</v>
      </c>
    </row>
    <row r="1061" spans="1:15">
      <c r="A1061" s="7">
        <v>170007</v>
      </c>
      <c r="B1061" s="7">
        <v>3.6625000000000001</v>
      </c>
      <c r="C1061" s="18" t="s">
        <v>846</v>
      </c>
      <c r="D1061" s="19">
        <v>0</v>
      </c>
      <c r="E1061" s="20">
        <v>4.9260273972602739</v>
      </c>
      <c r="F1061" s="21">
        <v>3.6297999999999999</v>
      </c>
      <c r="G1061" s="21">
        <v>3.2700000000000173</v>
      </c>
      <c r="H1061" s="21">
        <v>3.6797</v>
      </c>
      <c r="I1061" s="21">
        <v>-4.9900000000000055</v>
      </c>
      <c r="J1061" s="19">
        <v>0</v>
      </c>
      <c r="K1061" s="19" t="s">
        <v>61</v>
      </c>
      <c r="L1061" s="13">
        <v>3.13</v>
      </c>
      <c r="M1061" s="14" t="s">
        <v>844</v>
      </c>
      <c r="N1061" s="14" t="s">
        <v>833</v>
      </c>
      <c r="O1061" s="4">
        <v>42867</v>
      </c>
    </row>
    <row r="1062" spans="1:15">
      <c r="A1062" s="7">
        <v>170007</v>
      </c>
      <c r="B1062" s="7">
        <v>3.6625000000000001</v>
      </c>
      <c r="C1062" s="18" t="s">
        <v>846</v>
      </c>
      <c r="D1062" s="19">
        <v>0</v>
      </c>
      <c r="E1062" s="20">
        <v>4.9260273972602739</v>
      </c>
      <c r="F1062" s="21">
        <v>3.6297999999999999</v>
      </c>
      <c r="G1062" s="21">
        <v>3.2700000000000173</v>
      </c>
      <c r="H1062" s="21">
        <v>3.6797</v>
      </c>
      <c r="I1062" s="21">
        <v>-4.9900000000000055</v>
      </c>
      <c r="J1062" s="19">
        <v>0</v>
      </c>
      <c r="K1062" s="19" t="s">
        <v>61</v>
      </c>
      <c r="L1062" s="13">
        <v>3.13</v>
      </c>
      <c r="M1062" s="14" t="s">
        <v>844</v>
      </c>
      <c r="N1062" s="14" t="s">
        <v>833</v>
      </c>
      <c r="O1062" s="4">
        <v>42867</v>
      </c>
    </row>
    <row r="1063" spans="1:15">
      <c r="A1063" s="7">
        <v>170010</v>
      </c>
      <c r="B1063" s="7">
        <v>3.66</v>
      </c>
      <c r="C1063" s="18" t="s">
        <v>906</v>
      </c>
      <c r="D1063" s="19">
        <v>0</v>
      </c>
      <c r="E1063" s="20">
        <v>9.9863013698630141</v>
      </c>
      <c r="F1063" s="21">
        <v>3.64</v>
      </c>
      <c r="G1063" s="21">
        <v>2.0000000000000018</v>
      </c>
      <c r="H1063" s="21">
        <v>3.69</v>
      </c>
      <c r="I1063" s="21">
        <v>-4.9999999999999822</v>
      </c>
      <c r="J1063" s="19">
        <v>0</v>
      </c>
      <c r="K1063" s="19" t="s">
        <v>61</v>
      </c>
      <c r="L1063" s="13">
        <v>3.52</v>
      </c>
      <c r="M1063" s="14" t="s">
        <v>903</v>
      </c>
      <c r="N1063" s="14" t="s">
        <v>882</v>
      </c>
      <c r="O1063" s="4">
        <v>42867</v>
      </c>
    </row>
    <row r="1064" spans="1:15">
      <c r="A1064" s="7">
        <v>170007</v>
      </c>
      <c r="B1064" s="7">
        <v>3.66</v>
      </c>
      <c r="C1064" s="18" t="s">
        <v>846</v>
      </c>
      <c r="D1064" s="19">
        <v>0</v>
      </c>
      <c r="E1064" s="20">
        <v>4.9260273972602739</v>
      </c>
      <c r="F1064" s="21">
        <v>3.6297999999999999</v>
      </c>
      <c r="G1064" s="21">
        <v>3.0200000000000227</v>
      </c>
      <c r="H1064" s="21">
        <v>3.6797</v>
      </c>
      <c r="I1064" s="21">
        <v>-4.9900000000000055</v>
      </c>
      <c r="J1064" s="19">
        <v>0</v>
      </c>
      <c r="K1064" s="19" t="s">
        <v>61</v>
      </c>
      <c r="L1064" s="13">
        <v>3.13</v>
      </c>
      <c r="M1064" s="14" t="s">
        <v>844</v>
      </c>
      <c r="N1064" s="14" t="s">
        <v>833</v>
      </c>
      <c r="O1064" s="4">
        <v>42867</v>
      </c>
    </row>
    <row r="1065" spans="1:15">
      <c r="A1065" s="7">
        <v>170007</v>
      </c>
      <c r="B1065" s="7">
        <v>3.66</v>
      </c>
      <c r="C1065" s="18" t="s">
        <v>846</v>
      </c>
      <c r="D1065" s="19">
        <v>0</v>
      </c>
      <c r="E1065" s="20">
        <v>4.9260273972602739</v>
      </c>
      <c r="F1065" s="21">
        <v>3.6297999999999999</v>
      </c>
      <c r="G1065" s="21">
        <v>3.0200000000000227</v>
      </c>
      <c r="H1065" s="21">
        <v>3.6797</v>
      </c>
      <c r="I1065" s="21">
        <v>-4.9900000000000055</v>
      </c>
      <c r="J1065" s="19">
        <v>0</v>
      </c>
      <c r="K1065" s="19" t="s">
        <v>61</v>
      </c>
      <c r="L1065" s="13">
        <v>3.13</v>
      </c>
      <c r="M1065" s="14" t="s">
        <v>844</v>
      </c>
      <c r="N1065" s="14" t="s">
        <v>833</v>
      </c>
      <c r="O1065" s="4">
        <v>42867</v>
      </c>
    </row>
    <row r="1066" spans="1:15">
      <c r="A1066" s="7">
        <v>170007</v>
      </c>
      <c r="B1066" s="7">
        <v>3.66</v>
      </c>
      <c r="C1066" s="18" t="s">
        <v>846</v>
      </c>
      <c r="D1066" s="19">
        <v>0</v>
      </c>
      <c r="E1066" s="20">
        <v>4.9260273972602739</v>
      </c>
      <c r="F1066" s="21">
        <v>3.6297999999999999</v>
      </c>
      <c r="G1066" s="21">
        <v>3.0200000000000227</v>
      </c>
      <c r="H1066" s="21">
        <v>3.6797</v>
      </c>
      <c r="I1066" s="21">
        <v>-4.9900000000000055</v>
      </c>
      <c r="J1066" s="19">
        <v>0</v>
      </c>
      <c r="K1066" s="19" t="s">
        <v>61</v>
      </c>
      <c r="L1066" s="13">
        <v>3.13</v>
      </c>
      <c r="M1066" s="14" t="s">
        <v>844</v>
      </c>
      <c r="N1066" s="14" t="s">
        <v>833</v>
      </c>
      <c r="O1066" s="4">
        <v>42867</v>
      </c>
    </row>
    <row r="1067" spans="1:15">
      <c r="A1067" s="7">
        <v>170007</v>
      </c>
      <c r="B1067" s="7">
        <v>3.66</v>
      </c>
      <c r="C1067" s="18" t="s">
        <v>846</v>
      </c>
      <c r="D1067" s="19">
        <v>0</v>
      </c>
      <c r="E1067" s="20">
        <v>4.9260273972602739</v>
      </c>
      <c r="F1067" s="21">
        <v>3.6297999999999999</v>
      </c>
      <c r="G1067" s="21">
        <v>3.0200000000000227</v>
      </c>
      <c r="H1067" s="21">
        <v>3.6797</v>
      </c>
      <c r="I1067" s="21">
        <v>-4.9900000000000055</v>
      </c>
      <c r="J1067" s="19">
        <v>0</v>
      </c>
      <c r="K1067" s="19" t="s">
        <v>61</v>
      </c>
      <c r="L1067" s="13">
        <v>3.13</v>
      </c>
      <c r="M1067" s="14" t="s">
        <v>844</v>
      </c>
      <c r="N1067" s="14" t="s">
        <v>833</v>
      </c>
      <c r="O1067" s="4">
        <v>42867</v>
      </c>
    </row>
    <row r="1068" spans="1:15">
      <c r="A1068" s="7">
        <v>170007</v>
      </c>
      <c r="B1068" s="7">
        <v>3.66</v>
      </c>
      <c r="C1068" s="18" t="s">
        <v>846</v>
      </c>
      <c r="D1068" s="19">
        <v>0</v>
      </c>
      <c r="E1068" s="20">
        <v>4.9260273972602739</v>
      </c>
      <c r="F1068" s="21">
        <v>3.6297999999999999</v>
      </c>
      <c r="G1068" s="21">
        <v>3.0200000000000227</v>
      </c>
      <c r="H1068" s="21">
        <v>3.6797</v>
      </c>
      <c r="I1068" s="21">
        <v>-4.9900000000000055</v>
      </c>
      <c r="J1068" s="19">
        <v>0</v>
      </c>
      <c r="K1068" s="19" t="s">
        <v>61</v>
      </c>
      <c r="L1068" s="13">
        <v>3.13</v>
      </c>
      <c r="M1068" s="14" t="s">
        <v>844</v>
      </c>
      <c r="N1068" s="14" t="s">
        <v>833</v>
      </c>
      <c r="O1068" s="4">
        <v>42867</v>
      </c>
    </row>
    <row r="1069" spans="1:15">
      <c r="A1069" s="7">
        <v>170004</v>
      </c>
      <c r="B1069" s="7">
        <v>3.66</v>
      </c>
      <c r="C1069" s="18" t="s">
        <v>681</v>
      </c>
      <c r="D1069" s="19">
        <v>0</v>
      </c>
      <c r="E1069" s="20">
        <v>9.7561643835616429</v>
      </c>
      <c r="F1069" s="21">
        <v>3.6402000000000001</v>
      </c>
      <c r="G1069" s="21">
        <v>1.980000000000004</v>
      </c>
      <c r="H1069" s="21">
        <v>3.6901000000000002</v>
      </c>
      <c r="I1069" s="21">
        <v>-4.9900000000000055</v>
      </c>
      <c r="J1069" s="19">
        <v>0</v>
      </c>
      <c r="K1069" s="19" t="s">
        <v>61</v>
      </c>
      <c r="L1069" s="13">
        <v>3.4</v>
      </c>
      <c r="M1069" s="14" t="s">
        <v>677</v>
      </c>
      <c r="N1069" s="14" t="s">
        <v>671</v>
      </c>
      <c r="O1069" s="4">
        <v>42867</v>
      </c>
    </row>
    <row r="1070" spans="1:15">
      <c r="A1070" s="7">
        <v>170004</v>
      </c>
      <c r="B1070" s="7">
        <v>3.66</v>
      </c>
      <c r="C1070" s="18" t="s">
        <v>681</v>
      </c>
      <c r="D1070" s="19">
        <v>0</v>
      </c>
      <c r="E1070" s="20">
        <v>9.7561643835616429</v>
      </c>
      <c r="F1070" s="21">
        <v>3.6402000000000001</v>
      </c>
      <c r="G1070" s="21">
        <v>1.980000000000004</v>
      </c>
      <c r="H1070" s="21">
        <v>3.6901000000000002</v>
      </c>
      <c r="I1070" s="21">
        <v>-4.9900000000000055</v>
      </c>
      <c r="J1070" s="19">
        <v>0</v>
      </c>
      <c r="K1070" s="19" t="s">
        <v>61</v>
      </c>
      <c r="L1070" s="13">
        <v>3.4</v>
      </c>
      <c r="M1070" s="14" t="s">
        <v>677</v>
      </c>
      <c r="N1070" s="14" t="s">
        <v>671</v>
      </c>
      <c r="O1070" s="4">
        <v>42867</v>
      </c>
    </row>
    <row r="1071" spans="1:15">
      <c r="A1071" s="7">
        <v>170010</v>
      </c>
      <c r="B1071" s="7">
        <v>3.6549999999999998</v>
      </c>
      <c r="C1071" s="18" t="s">
        <v>906</v>
      </c>
      <c r="D1071" s="19">
        <v>0</v>
      </c>
      <c r="E1071" s="20">
        <v>9.9863013698630141</v>
      </c>
      <c r="F1071" s="21">
        <v>3.64</v>
      </c>
      <c r="G1071" s="21">
        <v>1.499999999999968</v>
      </c>
      <c r="H1071" s="21">
        <v>3.69</v>
      </c>
      <c r="I1071" s="21">
        <v>-4.9999999999999822</v>
      </c>
      <c r="J1071" s="19">
        <v>0</v>
      </c>
      <c r="K1071" s="19" t="s">
        <v>61</v>
      </c>
      <c r="L1071" s="13">
        <v>3.52</v>
      </c>
      <c r="M1071" s="14" t="s">
        <v>903</v>
      </c>
      <c r="N1071" s="14" t="s">
        <v>882</v>
      </c>
      <c r="O1071" s="4">
        <v>42867</v>
      </c>
    </row>
    <row r="1072" spans="1:15">
      <c r="A1072" s="7">
        <v>170010</v>
      </c>
      <c r="B1072" s="7">
        <v>3.6549999999999998</v>
      </c>
      <c r="C1072" s="18" t="s">
        <v>906</v>
      </c>
      <c r="D1072" s="19">
        <v>0</v>
      </c>
      <c r="E1072" s="20">
        <v>9.9863013698630141</v>
      </c>
      <c r="F1072" s="21">
        <v>3.64</v>
      </c>
      <c r="G1072" s="21">
        <v>1.499999999999968</v>
      </c>
      <c r="H1072" s="21">
        <v>3.69</v>
      </c>
      <c r="I1072" s="21">
        <v>-4.9999999999999822</v>
      </c>
      <c r="J1072" s="19">
        <v>0</v>
      </c>
      <c r="K1072" s="19" t="s">
        <v>61</v>
      </c>
      <c r="L1072" s="13">
        <v>3.52</v>
      </c>
      <c r="M1072" s="14" t="s">
        <v>903</v>
      </c>
      <c r="N1072" s="14" t="s">
        <v>882</v>
      </c>
      <c r="O1072" s="4">
        <v>42867</v>
      </c>
    </row>
    <row r="1073" spans="1:15">
      <c r="A1073" s="7">
        <v>170010</v>
      </c>
      <c r="B1073" s="7">
        <v>3.6549999999999998</v>
      </c>
      <c r="C1073" s="18" t="s">
        <v>906</v>
      </c>
      <c r="D1073" s="19">
        <v>0</v>
      </c>
      <c r="E1073" s="20">
        <v>9.9863013698630141</v>
      </c>
      <c r="F1073" s="21">
        <v>3.64</v>
      </c>
      <c r="G1073" s="21">
        <v>1.499999999999968</v>
      </c>
      <c r="H1073" s="21">
        <v>3.69</v>
      </c>
      <c r="I1073" s="21">
        <v>-4.9999999999999822</v>
      </c>
      <c r="J1073" s="19">
        <v>0</v>
      </c>
      <c r="K1073" s="19" t="s">
        <v>61</v>
      </c>
      <c r="L1073" s="13">
        <v>3.52</v>
      </c>
      <c r="M1073" s="14" t="s">
        <v>903</v>
      </c>
      <c r="N1073" s="14" t="s">
        <v>882</v>
      </c>
      <c r="O1073" s="4">
        <v>42867</v>
      </c>
    </row>
    <row r="1074" spans="1:15">
      <c r="A1074" s="7">
        <v>170004</v>
      </c>
      <c r="B1074" s="7">
        <v>3.6549999999999998</v>
      </c>
      <c r="C1074" s="18" t="s">
        <v>681</v>
      </c>
      <c r="D1074" s="19">
        <v>0</v>
      </c>
      <c r="E1074" s="20">
        <v>9.7561643835616429</v>
      </c>
      <c r="F1074" s="21">
        <v>3.6402000000000001</v>
      </c>
      <c r="G1074" s="21">
        <v>1.4799999999999702</v>
      </c>
      <c r="H1074" s="21">
        <v>3.6901000000000002</v>
      </c>
      <c r="I1074" s="21">
        <v>-4.9900000000000055</v>
      </c>
      <c r="J1074" s="19">
        <v>0</v>
      </c>
      <c r="K1074" s="19" t="s">
        <v>61</v>
      </c>
      <c r="L1074" s="13">
        <v>3.4</v>
      </c>
      <c r="M1074" s="14" t="s">
        <v>677</v>
      </c>
      <c r="N1074" s="14" t="s">
        <v>671</v>
      </c>
      <c r="O1074" s="4">
        <v>42867</v>
      </c>
    </row>
    <row r="1075" spans="1:15">
      <c r="A1075" s="7">
        <v>170010</v>
      </c>
      <c r="B1075" s="7">
        <v>3.6524999999999999</v>
      </c>
      <c r="C1075" s="18" t="s">
        <v>906</v>
      </c>
      <c r="D1075" s="19">
        <v>0</v>
      </c>
      <c r="E1075" s="20">
        <v>9.9863013698630141</v>
      </c>
      <c r="F1075" s="21">
        <v>3.64</v>
      </c>
      <c r="G1075" s="21">
        <v>1.2499999999999734</v>
      </c>
      <c r="H1075" s="21">
        <v>3.69</v>
      </c>
      <c r="I1075" s="21">
        <v>-4.9999999999999822</v>
      </c>
      <c r="J1075" s="19">
        <v>0</v>
      </c>
      <c r="K1075" s="19" t="s">
        <v>61</v>
      </c>
      <c r="L1075" s="13">
        <v>3.52</v>
      </c>
      <c r="M1075" s="14" t="s">
        <v>903</v>
      </c>
      <c r="N1075" s="14" t="s">
        <v>882</v>
      </c>
      <c r="O1075" s="4">
        <v>42867</v>
      </c>
    </row>
    <row r="1076" spans="1:15">
      <c r="A1076" s="7">
        <v>170010</v>
      </c>
      <c r="B1076" s="7">
        <v>3.6524999999999999</v>
      </c>
      <c r="C1076" s="18" t="s">
        <v>906</v>
      </c>
      <c r="D1076" s="19">
        <v>0</v>
      </c>
      <c r="E1076" s="20">
        <v>9.9863013698630141</v>
      </c>
      <c r="F1076" s="21">
        <v>3.64</v>
      </c>
      <c r="G1076" s="21">
        <v>1.2499999999999734</v>
      </c>
      <c r="H1076" s="21">
        <v>3.69</v>
      </c>
      <c r="I1076" s="21">
        <v>-4.9999999999999822</v>
      </c>
      <c r="J1076" s="19">
        <v>0</v>
      </c>
      <c r="K1076" s="19" t="s">
        <v>61</v>
      </c>
      <c r="L1076" s="13">
        <v>3.52</v>
      </c>
      <c r="M1076" s="14" t="s">
        <v>903</v>
      </c>
      <c r="N1076" s="14" t="s">
        <v>882</v>
      </c>
      <c r="O1076" s="4">
        <v>42867</v>
      </c>
    </row>
    <row r="1077" spans="1:15">
      <c r="A1077" s="7">
        <v>170010</v>
      </c>
      <c r="B1077" s="7">
        <v>3.65</v>
      </c>
      <c r="C1077" s="18" t="s">
        <v>906</v>
      </c>
      <c r="D1077" s="19">
        <v>0</v>
      </c>
      <c r="E1077" s="20">
        <v>9.9863013698630141</v>
      </c>
      <c r="F1077" s="21">
        <v>3.64</v>
      </c>
      <c r="G1077" s="21">
        <v>0.99999999999997868</v>
      </c>
      <c r="H1077" s="21">
        <v>3.69</v>
      </c>
      <c r="I1077" s="21">
        <v>-4.9999999999999822</v>
      </c>
      <c r="J1077" s="19">
        <v>0</v>
      </c>
      <c r="K1077" s="19" t="s">
        <v>61</v>
      </c>
      <c r="L1077" s="13">
        <v>3.52</v>
      </c>
      <c r="M1077" s="14" t="s">
        <v>903</v>
      </c>
      <c r="N1077" s="14" t="s">
        <v>882</v>
      </c>
      <c r="O1077" s="4">
        <v>42867</v>
      </c>
    </row>
    <row r="1078" spans="1:15">
      <c r="A1078" s="7">
        <v>170010</v>
      </c>
      <c r="B1078" s="7">
        <v>3.65</v>
      </c>
      <c r="C1078" s="18" t="s">
        <v>906</v>
      </c>
      <c r="D1078" s="19">
        <v>0</v>
      </c>
      <c r="E1078" s="20">
        <v>9.9863013698630141</v>
      </c>
      <c r="F1078" s="21">
        <v>3.64</v>
      </c>
      <c r="G1078" s="21">
        <v>0.99999999999997868</v>
      </c>
      <c r="H1078" s="21">
        <v>3.69</v>
      </c>
      <c r="I1078" s="21">
        <v>-4.9999999999999822</v>
      </c>
      <c r="J1078" s="19">
        <v>0</v>
      </c>
      <c r="K1078" s="19" t="s">
        <v>61</v>
      </c>
      <c r="L1078" s="13">
        <v>3.52</v>
      </c>
      <c r="M1078" s="14" t="s">
        <v>903</v>
      </c>
      <c r="N1078" s="14" t="s">
        <v>882</v>
      </c>
      <c r="O1078" s="4">
        <v>42867</v>
      </c>
    </row>
    <row r="1079" spans="1:15">
      <c r="A1079" s="7">
        <v>170010</v>
      </c>
      <c r="B1079" s="7">
        <v>3.65</v>
      </c>
      <c r="C1079" s="18" t="s">
        <v>906</v>
      </c>
      <c r="D1079" s="19">
        <v>0</v>
      </c>
      <c r="E1079" s="20">
        <v>9.9863013698630141</v>
      </c>
      <c r="F1079" s="21">
        <v>3.64</v>
      </c>
      <c r="G1079" s="21">
        <v>0.99999999999997868</v>
      </c>
      <c r="H1079" s="21">
        <v>3.69</v>
      </c>
      <c r="I1079" s="21">
        <v>-4.9999999999999822</v>
      </c>
      <c r="J1079" s="19">
        <v>0</v>
      </c>
      <c r="K1079" s="19" t="s">
        <v>61</v>
      </c>
      <c r="L1079" s="13">
        <v>3.52</v>
      </c>
      <c r="M1079" s="14" t="s">
        <v>903</v>
      </c>
      <c r="N1079" s="14" t="s">
        <v>882</v>
      </c>
      <c r="O1079" s="4">
        <v>42867</v>
      </c>
    </row>
    <row r="1080" spans="1:15">
      <c r="A1080" s="7">
        <v>170010</v>
      </c>
      <c r="B1080" s="7">
        <v>3.65</v>
      </c>
      <c r="C1080" s="18" t="s">
        <v>906</v>
      </c>
      <c r="D1080" s="19">
        <v>0</v>
      </c>
      <c r="E1080" s="20">
        <v>9.9863013698630141</v>
      </c>
      <c r="F1080" s="21">
        <v>3.64</v>
      </c>
      <c r="G1080" s="21">
        <v>0.99999999999997868</v>
      </c>
      <c r="H1080" s="21">
        <v>3.69</v>
      </c>
      <c r="I1080" s="21">
        <v>-4.9999999999999822</v>
      </c>
      <c r="J1080" s="19">
        <v>0</v>
      </c>
      <c r="K1080" s="19" t="s">
        <v>61</v>
      </c>
      <c r="L1080" s="13">
        <v>3.52</v>
      </c>
      <c r="M1080" s="14" t="s">
        <v>903</v>
      </c>
      <c r="N1080" s="14" t="s">
        <v>882</v>
      </c>
      <c r="O1080" s="4">
        <v>42867</v>
      </c>
    </row>
    <row r="1081" spans="1:15">
      <c r="A1081" s="7">
        <v>170010</v>
      </c>
      <c r="B1081" s="7">
        <v>3.65</v>
      </c>
      <c r="C1081" s="18" t="s">
        <v>906</v>
      </c>
      <c r="D1081" s="19">
        <v>0</v>
      </c>
      <c r="E1081" s="20">
        <v>9.9863013698630141</v>
      </c>
      <c r="F1081" s="21">
        <v>3.64</v>
      </c>
      <c r="G1081" s="21">
        <v>0.99999999999997868</v>
      </c>
      <c r="H1081" s="21">
        <v>3.69</v>
      </c>
      <c r="I1081" s="21">
        <v>-4.9999999999999822</v>
      </c>
      <c r="J1081" s="19">
        <v>0</v>
      </c>
      <c r="K1081" s="19" t="s">
        <v>61</v>
      </c>
      <c r="L1081" s="13">
        <v>3.52</v>
      </c>
      <c r="M1081" s="14" t="s">
        <v>903</v>
      </c>
      <c r="N1081" s="14" t="s">
        <v>882</v>
      </c>
      <c r="O1081" s="4">
        <v>42867</v>
      </c>
    </row>
    <row r="1082" spans="1:15">
      <c r="A1082" s="7">
        <v>170010</v>
      </c>
      <c r="B1082" s="7">
        <v>3.65</v>
      </c>
      <c r="C1082" s="18" t="s">
        <v>906</v>
      </c>
      <c r="D1082" s="19">
        <v>0</v>
      </c>
      <c r="E1082" s="20">
        <v>9.9863013698630141</v>
      </c>
      <c r="F1082" s="21">
        <v>3.64</v>
      </c>
      <c r="G1082" s="21">
        <v>0.99999999999997868</v>
      </c>
      <c r="H1082" s="21">
        <v>3.69</v>
      </c>
      <c r="I1082" s="21">
        <v>-4.9999999999999822</v>
      </c>
      <c r="J1082" s="19">
        <v>0</v>
      </c>
      <c r="K1082" s="19" t="s">
        <v>61</v>
      </c>
      <c r="L1082" s="13">
        <v>3.52</v>
      </c>
      <c r="M1082" s="14" t="s">
        <v>903</v>
      </c>
      <c r="N1082" s="14" t="s">
        <v>882</v>
      </c>
      <c r="O1082" s="4">
        <v>42867</v>
      </c>
    </row>
    <row r="1083" spans="1:15">
      <c r="A1083" s="7">
        <v>170010</v>
      </c>
      <c r="B1083" s="7">
        <v>3.65</v>
      </c>
      <c r="C1083" s="18" t="s">
        <v>906</v>
      </c>
      <c r="D1083" s="19">
        <v>0</v>
      </c>
      <c r="E1083" s="20">
        <v>9.9863013698630141</v>
      </c>
      <c r="F1083" s="21">
        <v>3.64</v>
      </c>
      <c r="G1083" s="21">
        <v>0.99999999999997868</v>
      </c>
      <c r="H1083" s="21">
        <v>3.69</v>
      </c>
      <c r="I1083" s="21">
        <v>-4.9999999999999822</v>
      </c>
      <c r="J1083" s="19">
        <v>0</v>
      </c>
      <c r="K1083" s="19" t="s">
        <v>61</v>
      </c>
      <c r="L1083" s="13">
        <v>3.52</v>
      </c>
      <c r="M1083" s="14" t="s">
        <v>903</v>
      </c>
      <c r="N1083" s="14" t="s">
        <v>882</v>
      </c>
      <c r="O1083" s="4">
        <v>42867</v>
      </c>
    </row>
    <row r="1084" spans="1:15">
      <c r="A1084" s="7">
        <v>170010</v>
      </c>
      <c r="B1084" s="7">
        <v>3.65</v>
      </c>
      <c r="C1084" s="18" t="s">
        <v>906</v>
      </c>
      <c r="D1084" s="19">
        <v>0</v>
      </c>
      <c r="E1084" s="20">
        <v>9.9863013698630141</v>
      </c>
      <c r="F1084" s="21">
        <v>3.64</v>
      </c>
      <c r="G1084" s="21">
        <v>0.99999999999997868</v>
      </c>
      <c r="H1084" s="21">
        <v>3.69</v>
      </c>
      <c r="I1084" s="21">
        <v>-4.9999999999999822</v>
      </c>
      <c r="J1084" s="19">
        <v>0</v>
      </c>
      <c r="K1084" s="19" t="s">
        <v>61</v>
      </c>
      <c r="L1084" s="13">
        <v>3.52</v>
      </c>
      <c r="M1084" s="14" t="s">
        <v>903</v>
      </c>
      <c r="N1084" s="14" t="s">
        <v>882</v>
      </c>
      <c r="O1084" s="4">
        <v>42867</v>
      </c>
    </row>
    <row r="1085" spans="1:15">
      <c r="A1085" s="7">
        <v>170007</v>
      </c>
      <c r="B1085" s="7">
        <v>3.65</v>
      </c>
      <c r="C1085" s="18" t="s">
        <v>846</v>
      </c>
      <c r="D1085" s="19">
        <v>0</v>
      </c>
      <c r="E1085" s="20">
        <v>4.9260273972602739</v>
      </c>
      <c r="F1085" s="21">
        <v>3.6297999999999999</v>
      </c>
      <c r="G1085" s="21">
        <v>2.0199999999999996</v>
      </c>
      <c r="H1085" s="21">
        <v>3.6797</v>
      </c>
      <c r="I1085" s="21">
        <v>-4.9900000000000055</v>
      </c>
      <c r="J1085" s="19">
        <v>0</v>
      </c>
      <c r="K1085" s="19" t="s">
        <v>61</v>
      </c>
      <c r="L1085" s="13">
        <v>3.13</v>
      </c>
      <c r="M1085" s="14" t="s">
        <v>844</v>
      </c>
      <c r="N1085" s="14" t="s">
        <v>833</v>
      </c>
      <c r="O1085" s="4">
        <v>42867</v>
      </c>
    </row>
    <row r="1086" spans="1:15">
      <c r="A1086" s="7">
        <v>170007</v>
      </c>
      <c r="B1086" s="7">
        <v>3.65</v>
      </c>
      <c r="C1086" s="18" t="s">
        <v>846</v>
      </c>
      <c r="D1086" s="19">
        <v>0</v>
      </c>
      <c r="E1086" s="20">
        <v>4.9260273972602739</v>
      </c>
      <c r="F1086" s="21">
        <v>3.6297999999999999</v>
      </c>
      <c r="G1086" s="21">
        <v>2.0199999999999996</v>
      </c>
      <c r="H1086" s="21">
        <v>3.6797</v>
      </c>
      <c r="I1086" s="21">
        <v>-4.9900000000000055</v>
      </c>
      <c r="J1086" s="19">
        <v>0</v>
      </c>
      <c r="K1086" s="19" t="s">
        <v>61</v>
      </c>
      <c r="L1086" s="13">
        <v>3.13</v>
      </c>
      <c r="M1086" s="14" t="s">
        <v>844</v>
      </c>
      <c r="N1086" s="14" t="s">
        <v>833</v>
      </c>
      <c r="O1086" s="4">
        <v>42867</v>
      </c>
    </row>
    <row r="1087" spans="1:15">
      <c r="A1087" s="7">
        <v>170007</v>
      </c>
      <c r="B1087" s="7">
        <v>3.65</v>
      </c>
      <c r="C1087" s="18" t="s">
        <v>846</v>
      </c>
      <c r="D1087" s="19">
        <v>0</v>
      </c>
      <c r="E1087" s="20">
        <v>4.9260273972602739</v>
      </c>
      <c r="F1087" s="21">
        <v>3.6297999999999999</v>
      </c>
      <c r="G1087" s="21">
        <v>2.0199999999999996</v>
      </c>
      <c r="H1087" s="21">
        <v>3.6797</v>
      </c>
      <c r="I1087" s="21">
        <v>-4.9900000000000055</v>
      </c>
      <c r="J1087" s="19">
        <v>0</v>
      </c>
      <c r="K1087" s="19" t="s">
        <v>61</v>
      </c>
      <c r="L1087" s="13">
        <v>3.13</v>
      </c>
      <c r="M1087" s="14" t="s">
        <v>844</v>
      </c>
      <c r="N1087" s="14" t="s">
        <v>833</v>
      </c>
      <c r="O1087" s="4">
        <v>42867</v>
      </c>
    </row>
    <row r="1088" spans="1:15">
      <c r="A1088" s="7">
        <v>170007</v>
      </c>
      <c r="B1088" s="7">
        <v>3.65</v>
      </c>
      <c r="C1088" s="18" t="s">
        <v>846</v>
      </c>
      <c r="D1088" s="19">
        <v>0</v>
      </c>
      <c r="E1088" s="20">
        <v>4.9260273972602739</v>
      </c>
      <c r="F1088" s="21">
        <v>3.6297999999999999</v>
      </c>
      <c r="G1088" s="21">
        <v>2.0199999999999996</v>
      </c>
      <c r="H1088" s="21">
        <v>3.6797</v>
      </c>
      <c r="I1088" s="21">
        <v>-4.9900000000000055</v>
      </c>
      <c r="J1088" s="19">
        <v>0</v>
      </c>
      <c r="K1088" s="19" t="s">
        <v>61</v>
      </c>
      <c r="L1088" s="13">
        <v>3.13</v>
      </c>
      <c r="M1088" s="14" t="s">
        <v>844</v>
      </c>
      <c r="N1088" s="14" t="s">
        <v>833</v>
      </c>
      <c r="O1088" s="4">
        <v>42867</v>
      </c>
    </row>
    <row r="1089" spans="1:15">
      <c r="A1089" s="7">
        <v>170007</v>
      </c>
      <c r="B1089" s="7">
        <v>3.65</v>
      </c>
      <c r="C1089" s="18" t="s">
        <v>846</v>
      </c>
      <c r="D1089" s="19">
        <v>0</v>
      </c>
      <c r="E1089" s="20">
        <v>4.9260273972602739</v>
      </c>
      <c r="F1089" s="21">
        <v>3.6297999999999999</v>
      </c>
      <c r="G1089" s="21">
        <v>2.0199999999999996</v>
      </c>
      <c r="H1089" s="21">
        <v>3.6797</v>
      </c>
      <c r="I1089" s="21">
        <v>-4.9900000000000055</v>
      </c>
      <c r="J1089" s="19">
        <v>0</v>
      </c>
      <c r="K1089" s="19" t="s">
        <v>61</v>
      </c>
      <c r="L1089" s="13">
        <v>3.13</v>
      </c>
      <c r="M1089" s="14" t="s">
        <v>844</v>
      </c>
      <c r="N1089" s="14" t="s">
        <v>833</v>
      </c>
      <c r="O1089" s="4">
        <v>42867</v>
      </c>
    </row>
    <row r="1090" spans="1:15">
      <c r="A1090" s="7">
        <v>170007</v>
      </c>
      <c r="B1090" s="7">
        <v>3.65</v>
      </c>
      <c r="C1090" s="18" t="s">
        <v>846</v>
      </c>
      <c r="D1090" s="19">
        <v>0</v>
      </c>
      <c r="E1090" s="20">
        <v>4.9260273972602739</v>
      </c>
      <c r="F1090" s="21">
        <v>3.6297999999999999</v>
      </c>
      <c r="G1090" s="21">
        <v>2.0199999999999996</v>
      </c>
      <c r="H1090" s="21">
        <v>3.6797</v>
      </c>
      <c r="I1090" s="21">
        <v>-4.9900000000000055</v>
      </c>
      <c r="J1090" s="19">
        <v>0</v>
      </c>
      <c r="K1090" s="19" t="s">
        <v>61</v>
      </c>
      <c r="L1090" s="13">
        <v>3.13</v>
      </c>
      <c r="M1090" s="14" t="s">
        <v>844</v>
      </c>
      <c r="N1090" s="14" t="s">
        <v>833</v>
      </c>
      <c r="O1090" s="4">
        <v>42867</v>
      </c>
    </row>
    <row r="1091" spans="1:15">
      <c r="A1091" s="7">
        <v>170007</v>
      </c>
      <c r="B1091" s="7">
        <v>3.65</v>
      </c>
      <c r="C1091" s="18" t="s">
        <v>846</v>
      </c>
      <c r="D1091" s="19">
        <v>0</v>
      </c>
      <c r="E1091" s="20">
        <v>4.9260273972602739</v>
      </c>
      <c r="F1091" s="21">
        <v>3.6297999999999999</v>
      </c>
      <c r="G1091" s="21">
        <v>2.0199999999999996</v>
      </c>
      <c r="H1091" s="21">
        <v>3.6797</v>
      </c>
      <c r="I1091" s="21">
        <v>-4.9900000000000055</v>
      </c>
      <c r="J1091" s="19">
        <v>0</v>
      </c>
      <c r="K1091" s="19" t="s">
        <v>61</v>
      </c>
      <c r="L1091" s="13">
        <v>3.13</v>
      </c>
      <c r="M1091" s="14" t="s">
        <v>844</v>
      </c>
      <c r="N1091" s="14" t="s">
        <v>833</v>
      </c>
      <c r="O1091" s="4">
        <v>42867</v>
      </c>
    </row>
    <row r="1092" spans="1:15">
      <c r="A1092" s="7">
        <v>170007</v>
      </c>
      <c r="B1092" s="7">
        <v>3.65</v>
      </c>
      <c r="C1092" s="18" t="s">
        <v>846</v>
      </c>
      <c r="D1092" s="19">
        <v>0</v>
      </c>
      <c r="E1092" s="20">
        <v>4.9260273972602739</v>
      </c>
      <c r="F1092" s="21">
        <v>3.6297999999999999</v>
      </c>
      <c r="G1092" s="21">
        <v>2.0199999999999996</v>
      </c>
      <c r="H1092" s="21">
        <v>3.6797</v>
      </c>
      <c r="I1092" s="21">
        <v>-4.9900000000000055</v>
      </c>
      <c r="J1092" s="19">
        <v>0</v>
      </c>
      <c r="K1092" s="19" t="s">
        <v>61</v>
      </c>
      <c r="L1092" s="13">
        <v>3.13</v>
      </c>
      <c r="M1092" s="14" t="s">
        <v>844</v>
      </c>
      <c r="N1092" s="14" t="s">
        <v>833</v>
      </c>
      <c r="O1092" s="4">
        <v>42867</v>
      </c>
    </row>
    <row r="1093" spans="1:15">
      <c r="A1093" s="7">
        <v>170006</v>
      </c>
      <c r="B1093" s="7">
        <v>3.65</v>
      </c>
      <c r="C1093" s="18" t="s">
        <v>779</v>
      </c>
      <c r="D1093" s="19">
        <v>0</v>
      </c>
      <c r="E1093" s="20">
        <v>6.8520547945205479</v>
      </c>
      <c r="F1093" s="21">
        <v>3.6496</v>
      </c>
      <c r="G1093" s="21">
        <v>3.9999999999995595E-2</v>
      </c>
      <c r="H1093" s="21">
        <v>3.6998000000000002</v>
      </c>
      <c r="I1093" s="21">
        <v>-5.0200000000000244</v>
      </c>
      <c r="J1093" s="19">
        <v>0</v>
      </c>
      <c r="K1093" s="19" t="s">
        <v>61</v>
      </c>
      <c r="L1093" s="13">
        <v>3.2</v>
      </c>
      <c r="M1093" s="14" t="s">
        <v>780</v>
      </c>
      <c r="N1093" s="14" t="s">
        <v>761</v>
      </c>
      <c r="O1093" s="4">
        <v>42867</v>
      </c>
    </row>
    <row r="1094" spans="1:15">
      <c r="A1094" s="7">
        <v>170004</v>
      </c>
      <c r="B1094" s="7">
        <v>3.65</v>
      </c>
      <c r="C1094" s="18" t="s">
        <v>681</v>
      </c>
      <c r="D1094" s="19">
        <v>0</v>
      </c>
      <c r="E1094" s="20">
        <v>9.7561643835616429</v>
      </c>
      <c r="F1094" s="21">
        <v>3.6402000000000001</v>
      </c>
      <c r="G1094" s="21">
        <v>0.97999999999998089</v>
      </c>
      <c r="H1094" s="21">
        <v>3.6901000000000002</v>
      </c>
      <c r="I1094" s="21">
        <v>-4.9900000000000055</v>
      </c>
      <c r="J1094" s="19">
        <v>0</v>
      </c>
      <c r="K1094" s="19" t="s">
        <v>61</v>
      </c>
      <c r="L1094" s="13">
        <v>3.4</v>
      </c>
      <c r="M1094" s="14" t="s">
        <v>677</v>
      </c>
      <c r="N1094" s="14" t="s">
        <v>671</v>
      </c>
      <c r="O1094" s="4">
        <v>42867</v>
      </c>
    </row>
    <row r="1095" spans="1:15">
      <c r="A1095" s="7">
        <v>170004</v>
      </c>
      <c r="B1095" s="7">
        <v>3.65</v>
      </c>
      <c r="C1095" s="18" t="s">
        <v>681</v>
      </c>
      <c r="D1095" s="19">
        <v>0</v>
      </c>
      <c r="E1095" s="20">
        <v>9.7561643835616429</v>
      </c>
      <c r="F1095" s="21">
        <v>3.6402000000000001</v>
      </c>
      <c r="G1095" s="21">
        <v>0.97999999999998089</v>
      </c>
      <c r="H1095" s="21">
        <v>3.6901000000000002</v>
      </c>
      <c r="I1095" s="21">
        <v>-4.9900000000000055</v>
      </c>
      <c r="J1095" s="19">
        <v>0</v>
      </c>
      <c r="K1095" s="19" t="s">
        <v>61</v>
      </c>
      <c r="L1095" s="13">
        <v>3.4</v>
      </c>
      <c r="M1095" s="14" t="s">
        <v>677</v>
      </c>
      <c r="N1095" s="14" t="s">
        <v>671</v>
      </c>
      <c r="O1095" s="4">
        <v>42867</v>
      </c>
    </row>
    <row r="1096" spans="1:15">
      <c r="A1096" s="7">
        <v>170004</v>
      </c>
      <c r="B1096" s="7">
        <v>3.6475</v>
      </c>
      <c r="C1096" s="18" t="s">
        <v>681</v>
      </c>
      <c r="D1096" s="19">
        <v>0</v>
      </c>
      <c r="E1096" s="20">
        <v>9.7561643835616429</v>
      </c>
      <c r="F1096" s="21">
        <v>3.6402000000000001</v>
      </c>
      <c r="G1096" s="21">
        <v>0.72999999999998622</v>
      </c>
      <c r="H1096" s="21">
        <v>3.6901000000000002</v>
      </c>
      <c r="I1096" s="21">
        <v>-4.9900000000000055</v>
      </c>
      <c r="J1096" s="19">
        <v>0</v>
      </c>
      <c r="K1096" s="19" t="s">
        <v>61</v>
      </c>
      <c r="L1096" s="13">
        <v>3.4</v>
      </c>
      <c r="M1096" s="14" t="s">
        <v>677</v>
      </c>
      <c r="N1096" s="14" t="s">
        <v>671</v>
      </c>
      <c r="O1096" s="4">
        <v>42867</v>
      </c>
    </row>
    <row r="1097" spans="1:15">
      <c r="A1097" s="7">
        <v>170010</v>
      </c>
      <c r="B1097" s="7">
        <v>3.645</v>
      </c>
      <c r="C1097" s="18" t="s">
        <v>906</v>
      </c>
      <c r="D1097" s="19">
        <v>0</v>
      </c>
      <c r="E1097" s="20">
        <v>9.9863013698630141</v>
      </c>
      <c r="F1097" s="21">
        <v>3.64</v>
      </c>
      <c r="G1097" s="21">
        <v>0.49999999999998934</v>
      </c>
      <c r="H1097" s="21">
        <v>3.69</v>
      </c>
      <c r="I1097" s="21">
        <v>-4.9999999999999822</v>
      </c>
      <c r="J1097" s="19">
        <v>0</v>
      </c>
      <c r="K1097" s="19" t="s">
        <v>61</v>
      </c>
      <c r="L1097" s="13">
        <v>3.52</v>
      </c>
      <c r="M1097" s="14" t="s">
        <v>903</v>
      </c>
      <c r="N1097" s="14" t="s">
        <v>882</v>
      </c>
      <c r="O1097" s="4">
        <v>42867</v>
      </c>
    </row>
    <row r="1098" spans="1:15">
      <c r="A1098" s="7">
        <v>170010</v>
      </c>
      <c r="B1098" s="7">
        <v>3.645</v>
      </c>
      <c r="C1098" s="18" t="s">
        <v>906</v>
      </c>
      <c r="D1098" s="19">
        <v>0</v>
      </c>
      <c r="E1098" s="20">
        <v>9.9863013698630141</v>
      </c>
      <c r="F1098" s="21">
        <v>3.64</v>
      </c>
      <c r="G1098" s="21">
        <v>0.49999999999998934</v>
      </c>
      <c r="H1098" s="21">
        <v>3.69</v>
      </c>
      <c r="I1098" s="21">
        <v>-4.9999999999999822</v>
      </c>
      <c r="J1098" s="19">
        <v>0</v>
      </c>
      <c r="K1098" s="19" t="s">
        <v>61</v>
      </c>
      <c r="L1098" s="13">
        <v>3.52</v>
      </c>
      <c r="M1098" s="14" t="s">
        <v>903</v>
      </c>
      <c r="N1098" s="14" t="s">
        <v>882</v>
      </c>
      <c r="O1098" s="4">
        <v>42867</v>
      </c>
    </row>
    <row r="1099" spans="1:15">
      <c r="A1099" s="7">
        <v>170010</v>
      </c>
      <c r="B1099" s="7">
        <v>3.645</v>
      </c>
      <c r="C1099" s="18" t="s">
        <v>906</v>
      </c>
      <c r="D1099" s="19">
        <v>0</v>
      </c>
      <c r="E1099" s="20">
        <v>9.9863013698630141</v>
      </c>
      <c r="F1099" s="21">
        <v>3.64</v>
      </c>
      <c r="G1099" s="21">
        <v>0.49999999999998934</v>
      </c>
      <c r="H1099" s="21">
        <v>3.69</v>
      </c>
      <c r="I1099" s="21">
        <v>-4.9999999999999822</v>
      </c>
      <c r="J1099" s="19">
        <v>0</v>
      </c>
      <c r="K1099" s="19" t="s">
        <v>61</v>
      </c>
      <c r="L1099" s="13">
        <v>3.52</v>
      </c>
      <c r="M1099" s="14" t="s">
        <v>903</v>
      </c>
      <c r="N1099" s="14" t="s">
        <v>882</v>
      </c>
      <c r="O1099" s="4">
        <v>42867</v>
      </c>
    </row>
    <row r="1100" spans="1:15">
      <c r="A1100" s="7">
        <v>170010</v>
      </c>
      <c r="B1100" s="7">
        <v>3.645</v>
      </c>
      <c r="C1100" s="18" t="s">
        <v>906</v>
      </c>
      <c r="D1100" s="19">
        <v>0</v>
      </c>
      <c r="E1100" s="20">
        <v>9.9863013698630141</v>
      </c>
      <c r="F1100" s="21">
        <v>3.64</v>
      </c>
      <c r="G1100" s="21">
        <v>0.49999999999998934</v>
      </c>
      <c r="H1100" s="21">
        <v>3.69</v>
      </c>
      <c r="I1100" s="21">
        <v>-4.9999999999999822</v>
      </c>
      <c r="J1100" s="19">
        <v>0</v>
      </c>
      <c r="K1100" s="19" t="s">
        <v>61</v>
      </c>
      <c r="L1100" s="13">
        <v>3.52</v>
      </c>
      <c r="M1100" s="14" t="s">
        <v>903</v>
      </c>
      <c r="N1100" s="14" t="s">
        <v>882</v>
      </c>
      <c r="O1100" s="4">
        <v>42867</v>
      </c>
    </row>
    <row r="1101" spans="1:15">
      <c r="A1101" s="7">
        <v>170010</v>
      </c>
      <c r="B1101" s="7">
        <v>3.645</v>
      </c>
      <c r="C1101" s="18" t="s">
        <v>906</v>
      </c>
      <c r="D1101" s="19">
        <v>0</v>
      </c>
      <c r="E1101" s="20">
        <v>9.9863013698630141</v>
      </c>
      <c r="F1101" s="21">
        <v>3.64</v>
      </c>
      <c r="G1101" s="21">
        <v>0.49999999999998934</v>
      </c>
      <c r="H1101" s="21">
        <v>3.69</v>
      </c>
      <c r="I1101" s="21">
        <v>-4.9999999999999822</v>
      </c>
      <c r="J1101" s="19">
        <v>0</v>
      </c>
      <c r="K1101" s="19" t="s">
        <v>61</v>
      </c>
      <c r="L1101" s="13">
        <v>3.52</v>
      </c>
      <c r="M1101" s="14" t="s">
        <v>903</v>
      </c>
      <c r="N1101" s="14" t="s">
        <v>882</v>
      </c>
      <c r="O1101" s="4">
        <v>42867</v>
      </c>
    </row>
    <row r="1102" spans="1:15">
      <c r="A1102" s="7">
        <v>170010</v>
      </c>
      <c r="B1102" s="7">
        <v>3.645</v>
      </c>
      <c r="C1102" s="18" t="s">
        <v>906</v>
      </c>
      <c r="D1102" s="19">
        <v>0</v>
      </c>
      <c r="E1102" s="20">
        <v>9.9863013698630141</v>
      </c>
      <c r="F1102" s="21">
        <v>3.64</v>
      </c>
      <c r="G1102" s="21">
        <v>0.49999999999998934</v>
      </c>
      <c r="H1102" s="21">
        <v>3.69</v>
      </c>
      <c r="I1102" s="21">
        <v>-4.9999999999999822</v>
      </c>
      <c r="J1102" s="19">
        <v>0</v>
      </c>
      <c r="K1102" s="19" t="s">
        <v>61</v>
      </c>
      <c r="L1102" s="13">
        <v>3.52</v>
      </c>
      <c r="M1102" s="14" t="s">
        <v>903</v>
      </c>
      <c r="N1102" s="14" t="s">
        <v>882</v>
      </c>
      <c r="O1102" s="4">
        <v>42867</v>
      </c>
    </row>
    <row r="1103" spans="1:15">
      <c r="A1103" s="7">
        <v>170004</v>
      </c>
      <c r="B1103" s="7">
        <v>3.645</v>
      </c>
      <c r="C1103" s="18" t="s">
        <v>681</v>
      </c>
      <c r="D1103" s="19">
        <v>0</v>
      </c>
      <c r="E1103" s="20">
        <v>9.7561643835616429</v>
      </c>
      <c r="F1103" s="21">
        <v>3.6402000000000001</v>
      </c>
      <c r="G1103" s="21">
        <v>0.47999999999999154</v>
      </c>
      <c r="H1103" s="21">
        <v>3.6901000000000002</v>
      </c>
      <c r="I1103" s="21">
        <v>-4.9900000000000055</v>
      </c>
      <c r="J1103" s="19">
        <v>0</v>
      </c>
      <c r="K1103" s="19" t="s">
        <v>61</v>
      </c>
      <c r="L1103" s="13">
        <v>3.4</v>
      </c>
      <c r="M1103" s="14" t="s">
        <v>677</v>
      </c>
      <c r="N1103" s="14" t="s">
        <v>671</v>
      </c>
      <c r="O1103" s="4">
        <v>42867</v>
      </c>
    </row>
    <row r="1104" spans="1:15">
      <c r="A1104" s="7">
        <v>170004</v>
      </c>
      <c r="B1104" s="7">
        <v>3.645</v>
      </c>
      <c r="C1104" s="18" t="s">
        <v>681</v>
      </c>
      <c r="D1104" s="19">
        <v>0</v>
      </c>
      <c r="E1104" s="20">
        <v>9.7561643835616429</v>
      </c>
      <c r="F1104" s="21">
        <v>3.6402000000000001</v>
      </c>
      <c r="G1104" s="21">
        <v>0.47999999999999154</v>
      </c>
      <c r="H1104" s="21">
        <v>3.6901000000000002</v>
      </c>
      <c r="I1104" s="21">
        <v>-4.9900000000000055</v>
      </c>
      <c r="J1104" s="19">
        <v>0</v>
      </c>
      <c r="K1104" s="19" t="s">
        <v>61</v>
      </c>
      <c r="L1104" s="13">
        <v>3.4</v>
      </c>
      <c r="M1104" s="14" t="s">
        <v>677</v>
      </c>
      <c r="N1104" s="14" t="s">
        <v>671</v>
      </c>
      <c r="O1104" s="4">
        <v>42867</v>
      </c>
    </row>
    <row r="1105" spans="1:15">
      <c r="A1105" s="7">
        <v>170004</v>
      </c>
      <c r="B1105" s="7">
        <v>3.645</v>
      </c>
      <c r="C1105" s="18" t="s">
        <v>681</v>
      </c>
      <c r="D1105" s="19">
        <v>0</v>
      </c>
      <c r="E1105" s="20">
        <v>9.7561643835616429</v>
      </c>
      <c r="F1105" s="21">
        <v>3.6402000000000001</v>
      </c>
      <c r="G1105" s="21">
        <v>0.47999999999999154</v>
      </c>
      <c r="H1105" s="21">
        <v>3.6901000000000002</v>
      </c>
      <c r="I1105" s="21">
        <v>-4.9900000000000055</v>
      </c>
      <c r="J1105" s="19">
        <v>0</v>
      </c>
      <c r="K1105" s="19" t="s">
        <v>61</v>
      </c>
      <c r="L1105" s="13">
        <v>3.4</v>
      </c>
      <c r="M1105" s="14" t="s">
        <v>677</v>
      </c>
      <c r="N1105" s="14" t="s">
        <v>671</v>
      </c>
      <c r="O1105" s="4">
        <v>42867</v>
      </c>
    </row>
    <row r="1106" spans="1:15">
      <c r="A1106" s="7">
        <v>170004</v>
      </c>
      <c r="B1106" s="7">
        <v>3.645</v>
      </c>
      <c r="C1106" s="18" t="s">
        <v>681</v>
      </c>
      <c r="D1106" s="19">
        <v>0</v>
      </c>
      <c r="E1106" s="20">
        <v>9.7561643835616429</v>
      </c>
      <c r="F1106" s="21">
        <v>3.6402000000000001</v>
      </c>
      <c r="G1106" s="21">
        <v>0.47999999999999154</v>
      </c>
      <c r="H1106" s="21">
        <v>3.6901000000000002</v>
      </c>
      <c r="I1106" s="21">
        <v>-4.9900000000000055</v>
      </c>
      <c r="J1106" s="19">
        <v>0</v>
      </c>
      <c r="K1106" s="19" t="s">
        <v>61</v>
      </c>
      <c r="L1106" s="13">
        <v>3.4</v>
      </c>
      <c r="M1106" s="14" t="s">
        <v>677</v>
      </c>
      <c r="N1106" s="14" t="s">
        <v>671</v>
      </c>
      <c r="O1106" s="4">
        <v>42867</v>
      </c>
    </row>
    <row r="1107" spans="1:15">
      <c r="A1107" s="7">
        <v>170010</v>
      </c>
      <c r="B1107" s="7">
        <v>3.64</v>
      </c>
      <c r="C1107" s="18" t="s">
        <v>906</v>
      </c>
      <c r="D1107" s="19">
        <v>0</v>
      </c>
      <c r="E1107" s="20">
        <v>9.9863013698630141</v>
      </c>
      <c r="F1107" s="21">
        <v>3.64</v>
      </c>
      <c r="G1107" s="21">
        <v>0</v>
      </c>
      <c r="H1107" s="21">
        <v>3.69</v>
      </c>
      <c r="I1107" s="21">
        <v>-4.9999999999999822</v>
      </c>
      <c r="J1107" s="19">
        <v>0</v>
      </c>
      <c r="K1107" s="19" t="s">
        <v>61</v>
      </c>
      <c r="L1107" s="13">
        <v>3.52</v>
      </c>
      <c r="M1107" s="14" t="s">
        <v>903</v>
      </c>
      <c r="N1107" s="14" t="s">
        <v>882</v>
      </c>
      <c r="O1107" s="4">
        <v>42867</v>
      </c>
    </row>
    <row r="1108" spans="1:15">
      <c r="A1108" s="7">
        <v>170010</v>
      </c>
      <c r="B1108" s="7">
        <v>3.64</v>
      </c>
      <c r="C1108" s="18" t="s">
        <v>906</v>
      </c>
      <c r="D1108" s="19">
        <v>0</v>
      </c>
      <c r="E1108" s="20">
        <v>9.9863013698630141</v>
      </c>
      <c r="F1108" s="21">
        <v>3.64</v>
      </c>
      <c r="G1108" s="21">
        <v>0</v>
      </c>
      <c r="H1108" s="21">
        <v>3.69</v>
      </c>
      <c r="I1108" s="21">
        <v>-4.9999999999999822</v>
      </c>
      <c r="J1108" s="19">
        <v>0</v>
      </c>
      <c r="K1108" s="19" t="s">
        <v>61</v>
      </c>
      <c r="L1108" s="13">
        <v>3.52</v>
      </c>
      <c r="M1108" s="14" t="s">
        <v>903</v>
      </c>
      <c r="N1108" s="14" t="s">
        <v>882</v>
      </c>
      <c r="O1108" s="4">
        <v>42867</v>
      </c>
    </row>
    <row r="1109" spans="1:15">
      <c r="A1109" s="7">
        <v>170010</v>
      </c>
      <c r="B1109" s="7">
        <v>3.64</v>
      </c>
      <c r="C1109" s="18" t="s">
        <v>906</v>
      </c>
      <c r="D1109" s="19">
        <v>0</v>
      </c>
      <c r="E1109" s="20">
        <v>9.9863013698630141</v>
      </c>
      <c r="F1109" s="21">
        <v>3.64</v>
      </c>
      <c r="G1109" s="21">
        <v>0</v>
      </c>
      <c r="H1109" s="21">
        <v>3.69</v>
      </c>
      <c r="I1109" s="21">
        <v>-4.9999999999999822</v>
      </c>
      <c r="J1109" s="19">
        <v>0</v>
      </c>
      <c r="K1109" s="19" t="s">
        <v>61</v>
      </c>
      <c r="L1109" s="13">
        <v>3.52</v>
      </c>
      <c r="M1109" s="14" t="s">
        <v>903</v>
      </c>
      <c r="N1109" s="14" t="s">
        <v>882</v>
      </c>
      <c r="O1109" s="4">
        <v>42867</v>
      </c>
    </row>
    <row r="1110" spans="1:15">
      <c r="A1110" s="7">
        <v>170010</v>
      </c>
      <c r="B1110" s="7">
        <v>3.64</v>
      </c>
      <c r="C1110" s="18" t="s">
        <v>906</v>
      </c>
      <c r="D1110" s="19">
        <v>0</v>
      </c>
      <c r="E1110" s="20">
        <v>9.9863013698630141</v>
      </c>
      <c r="F1110" s="21">
        <v>3.64</v>
      </c>
      <c r="G1110" s="21">
        <v>0</v>
      </c>
      <c r="H1110" s="21">
        <v>3.69</v>
      </c>
      <c r="I1110" s="21">
        <v>-4.9999999999999822</v>
      </c>
      <c r="J1110" s="19">
        <v>0</v>
      </c>
      <c r="K1110" s="19" t="s">
        <v>61</v>
      </c>
      <c r="L1110" s="13">
        <v>3.52</v>
      </c>
      <c r="M1110" s="14" t="s">
        <v>903</v>
      </c>
      <c r="N1110" s="14" t="s">
        <v>882</v>
      </c>
      <c r="O1110" s="4">
        <v>42867</v>
      </c>
    </row>
    <row r="1111" spans="1:15">
      <c r="A1111" s="7">
        <v>170010</v>
      </c>
      <c r="B1111" s="7">
        <v>3.64</v>
      </c>
      <c r="C1111" s="18" t="s">
        <v>906</v>
      </c>
      <c r="D1111" s="19">
        <v>0</v>
      </c>
      <c r="E1111" s="20">
        <v>9.9863013698630141</v>
      </c>
      <c r="F1111" s="21">
        <v>3.64</v>
      </c>
      <c r="G1111" s="21">
        <v>0</v>
      </c>
      <c r="H1111" s="21">
        <v>3.69</v>
      </c>
      <c r="I1111" s="21">
        <v>-4.9999999999999822</v>
      </c>
      <c r="J1111" s="19">
        <v>0</v>
      </c>
      <c r="K1111" s="19" t="s">
        <v>61</v>
      </c>
      <c r="L1111" s="13">
        <v>3.52</v>
      </c>
      <c r="M1111" s="14" t="s">
        <v>903</v>
      </c>
      <c r="N1111" s="14" t="s">
        <v>882</v>
      </c>
      <c r="O1111" s="4">
        <v>42867</v>
      </c>
    </row>
    <row r="1112" spans="1:15">
      <c r="A1112" s="7">
        <v>170004</v>
      </c>
      <c r="B1112" s="7">
        <v>3.64</v>
      </c>
      <c r="C1112" s="18" t="s">
        <v>681</v>
      </c>
      <c r="D1112" s="19">
        <v>0</v>
      </c>
      <c r="E1112" s="20">
        <v>9.7561643835616429</v>
      </c>
      <c r="F1112" s="21">
        <v>3.6402000000000001</v>
      </c>
      <c r="G1112" s="21">
        <v>-1.9999999999997797E-2</v>
      </c>
      <c r="H1112" s="21">
        <v>3.6901000000000002</v>
      </c>
      <c r="I1112" s="21">
        <v>-4.9900000000000055</v>
      </c>
      <c r="J1112" s="19">
        <v>0</v>
      </c>
      <c r="K1112" s="19" t="s">
        <v>61</v>
      </c>
      <c r="L1112" s="13">
        <v>3.4</v>
      </c>
      <c r="M1112" s="14" t="s">
        <v>677</v>
      </c>
      <c r="N1112" s="14" t="s">
        <v>671</v>
      </c>
      <c r="O1112" s="4">
        <v>42867</v>
      </c>
    </row>
    <row r="1113" spans="1:15">
      <c r="A1113" s="7">
        <v>170004</v>
      </c>
      <c r="B1113" s="7">
        <v>3.64</v>
      </c>
      <c r="C1113" s="18" t="s">
        <v>681</v>
      </c>
      <c r="D1113" s="19">
        <v>0</v>
      </c>
      <c r="E1113" s="20">
        <v>9.7561643835616429</v>
      </c>
      <c r="F1113" s="21">
        <v>3.6402000000000001</v>
      </c>
      <c r="G1113" s="21">
        <v>-1.9999999999997797E-2</v>
      </c>
      <c r="H1113" s="21">
        <v>3.6901000000000002</v>
      </c>
      <c r="I1113" s="21">
        <v>-4.9900000000000055</v>
      </c>
      <c r="J1113" s="19">
        <v>0</v>
      </c>
      <c r="K1113" s="19" t="s">
        <v>61</v>
      </c>
      <c r="L1113" s="13">
        <v>3.4</v>
      </c>
      <c r="M1113" s="14" t="s">
        <v>677</v>
      </c>
      <c r="N1113" s="14" t="s">
        <v>671</v>
      </c>
      <c r="O1113" s="4">
        <v>42867</v>
      </c>
    </row>
    <row r="1114" spans="1:15">
      <c r="A1114" s="7">
        <v>170004</v>
      </c>
      <c r="B1114" s="7">
        <v>3.64</v>
      </c>
      <c r="C1114" s="18" t="s">
        <v>681</v>
      </c>
      <c r="D1114" s="19">
        <v>0</v>
      </c>
      <c r="E1114" s="20">
        <v>9.7561643835616429</v>
      </c>
      <c r="F1114" s="21">
        <v>3.6402000000000001</v>
      </c>
      <c r="G1114" s="21">
        <v>-1.9999999999997797E-2</v>
      </c>
      <c r="H1114" s="21">
        <v>3.6901000000000002</v>
      </c>
      <c r="I1114" s="21">
        <v>-4.9900000000000055</v>
      </c>
      <c r="J1114" s="19">
        <v>0</v>
      </c>
      <c r="K1114" s="19" t="s">
        <v>61</v>
      </c>
      <c r="L1114" s="13">
        <v>3.4</v>
      </c>
      <c r="M1114" s="14" t="s">
        <v>677</v>
      </c>
      <c r="N1114" s="14" t="s">
        <v>671</v>
      </c>
      <c r="O1114" s="4">
        <v>42867</v>
      </c>
    </row>
    <row r="1115" spans="1:15">
      <c r="A1115" s="7">
        <v>170004</v>
      </c>
      <c r="B1115" s="7">
        <v>3.64</v>
      </c>
      <c r="C1115" s="18" t="s">
        <v>681</v>
      </c>
      <c r="D1115" s="19">
        <v>0</v>
      </c>
      <c r="E1115" s="20">
        <v>9.7561643835616429</v>
      </c>
      <c r="F1115" s="21">
        <v>3.6402000000000001</v>
      </c>
      <c r="G1115" s="21">
        <v>-1.9999999999997797E-2</v>
      </c>
      <c r="H1115" s="21">
        <v>3.6901000000000002</v>
      </c>
      <c r="I1115" s="21">
        <v>-4.9900000000000055</v>
      </c>
      <c r="J1115" s="19">
        <v>0</v>
      </c>
      <c r="K1115" s="19" t="s">
        <v>61</v>
      </c>
      <c r="L1115" s="13">
        <v>3.4</v>
      </c>
      <c r="M1115" s="14" t="s">
        <v>677</v>
      </c>
      <c r="N1115" s="14" t="s">
        <v>671</v>
      </c>
      <c r="O1115" s="4">
        <v>42867</v>
      </c>
    </row>
    <row r="1116" spans="1:15">
      <c r="A1116" s="7">
        <v>170010</v>
      </c>
      <c r="B1116" s="7">
        <v>3.6349999999999998</v>
      </c>
      <c r="C1116" s="18" t="s">
        <v>906</v>
      </c>
      <c r="D1116" s="19">
        <v>0</v>
      </c>
      <c r="E1116" s="20">
        <v>9.9863013698630141</v>
      </c>
      <c r="F1116" s="21">
        <v>3.64</v>
      </c>
      <c r="G1116" s="21">
        <v>-0.50000000000003375</v>
      </c>
      <c r="H1116" s="21">
        <v>3.69</v>
      </c>
      <c r="I1116" s="21">
        <v>-4.9999999999999822</v>
      </c>
      <c r="J1116" s="19">
        <v>0</v>
      </c>
      <c r="K1116" s="19" t="s">
        <v>61</v>
      </c>
      <c r="L1116" s="13">
        <v>3.52</v>
      </c>
      <c r="M1116" s="14" t="s">
        <v>903</v>
      </c>
      <c r="N1116" s="14" t="s">
        <v>882</v>
      </c>
      <c r="O1116" s="4">
        <v>42867</v>
      </c>
    </row>
    <row r="1117" spans="1:15">
      <c r="A1117" s="7">
        <v>170010</v>
      </c>
      <c r="B1117" s="7">
        <v>3.63</v>
      </c>
      <c r="C1117" s="18" t="s">
        <v>906</v>
      </c>
      <c r="D1117" s="19">
        <v>0</v>
      </c>
      <c r="E1117" s="20">
        <v>9.9863013698630141</v>
      </c>
      <c r="F1117" s="21">
        <v>3.64</v>
      </c>
      <c r="G1117" s="21">
        <v>-1.0000000000000231</v>
      </c>
      <c r="H1117" s="21">
        <v>3.69</v>
      </c>
      <c r="I1117" s="21">
        <v>-4.9999999999999822</v>
      </c>
      <c r="J1117" s="19">
        <v>0</v>
      </c>
      <c r="K1117" s="19" t="s">
        <v>61</v>
      </c>
      <c r="L1117" s="13">
        <v>3.52</v>
      </c>
      <c r="M1117" s="14" t="s">
        <v>903</v>
      </c>
      <c r="N1117" s="14" t="s">
        <v>882</v>
      </c>
      <c r="O1117" s="4">
        <v>42867</v>
      </c>
    </row>
    <row r="1118" spans="1:15">
      <c r="A1118" s="7">
        <v>170004</v>
      </c>
      <c r="B1118" s="7">
        <v>3.63</v>
      </c>
      <c r="C1118" s="18" t="s">
        <v>681</v>
      </c>
      <c r="D1118" s="19">
        <v>0</v>
      </c>
      <c r="E1118" s="20">
        <v>9.7561643835616429</v>
      </c>
      <c r="F1118" s="21">
        <v>3.6402000000000001</v>
      </c>
      <c r="G1118" s="21">
        <v>-1.0200000000000209</v>
      </c>
      <c r="H1118" s="21">
        <v>3.6901000000000002</v>
      </c>
      <c r="I1118" s="21">
        <v>-4.9900000000000055</v>
      </c>
      <c r="J1118" s="19">
        <v>0</v>
      </c>
      <c r="K1118" s="19" t="s">
        <v>61</v>
      </c>
      <c r="L1118" s="13">
        <v>3.4</v>
      </c>
      <c r="M1118" s="14" t="s">
        <v>677</v>
      </c>
      <c r="N1118" s="14" t="s">
        <v>671</v>
      </c>
      <c r="O1118" s="4">
        <v>42867</v>
      </c>
    </row>
    <row r="1119" spans="1:15">
      <c r="A1119" s="7">
        <v>170010</v>
      </c>
      <c r="B1119" s="7">
        <v>3.62</v>
      </c>
      <c r="C1119" s="18" t="s">
        <v>906</v>
      </c>
      <c r="D1119" s="19">
        <v>0</v>
      </c>
      <c r="E1119" s="20">
        <v>9.9863013698630141</v>
      </c>
      <c r="F1119" s="21">
        <v>3.64</v>
      </c>
      <c r="G1119" s="21">
        <v>-2.0000000000000018</v>
      </c>
      <c r="H1119" s="21">
        <v>3.69</v>
      </c>
      <c r="I1119" s="21">
        <v>-4.9999999999999822</v>
      </c>
      <c r="J1119" s="19">
        <v>0</v>
      </c>
      <c r="K1119" s="19" t="s">
        <v>61</v>
      </c>
      <c r="L1119" s="13">
        <v>3.52</v>
      </c>
      <c r="M1119" s="14" t="s">
        <v>903</v>
      </c>
      <c r="N1119" s="14" t="s">
        <v>882</v>
      </c>
      <c r="O1119" s="4">
        <v>42867</v>
      </c>
    </row>
    <row r="1120" spans="1:15">
      <c r="A1120" s="7">
        <v>170010</v>
      </c>
      <c r="B1120" s="7">
        <v>3.62</v>
      </c>
      <c r="C1120" s="18" t="s">
        <v>906</v>
      </c>
      <c r="D1120" s="19">
        <v>0</v>
      </c>
      <c r="E1120" s="20">
        <v>9.9863013698630141</v>
      </c>
      <c r="F1120" s="21">
        <v>3.64</v>
      </c>
      <c r="G1120" s="21">
        <v>-2.0000000000000018</v>
      </c>
      <c r="H1120" s="21">
        <v>3.69</v>
      </c>
      <c r="I1120" s="21">
        <v>-4.9999999999999822</v>
      </c>
      <c r="J1120" s="19">
        <v>0</v>
      </c>
      <c r="K1120" s="19" t="s">
        <v>61</v>
      </c>
      <c r="L1120" s="13">
        <v>3.52</v>
      </c>
      <c r="M1120" s="14" t="s">
        <v>903</v>
      </c>
      <c r="N1120" s="14" t="s">
        <v>882</v>
      </c>
      <c r="O1120" s="4">
        <v>42867</v>
      </c>
    </row>
    <row r="1121" spans="1:15">
      <c r="A1121" s="7">
        <v>170010</v>
      </c>
      <c r="B1121" s="7">
        <v>3.62</v>
      </c>
      <c r="C1121" s="18" t="s">
        <v>906</v>
      </c>
      <c r="D1121" s="19">
        <v>0</v>
      </c>
      <c r="E1121" s="20">
        <v>9.9863013698630141</v>
      </c>
      <c r="F1121" s="21">
        <v>3.64</v>
      </c>
      <c r="G1121" s="21">
        <v>-2.0000000000000018</v>
      </c>
      <c r="H1121" s="21">
        <v>3.69</v>
      </c>
      <c r="I1121" s="21">
        <v>-4.9999999999999822</v>
      </c>
      <c r="J1121" s="19">
        <v>0</v>
      </c>
      <c r="K1121" s="19" t="s">
        <v>61</v>
      </c>
      <c r="L1121" s="13">
        <v>3.52</v>
      </c>
      <c r="M1121" s="14" t="s">
        <v>903</v>
      </c>
      <c r="N1121" s="14" t="s">
        <v>882</v>
      </c>
      <c r="O1121" s="4">
        <v>42867</v>
      </c>
    </row>
    <row r="1122" spans="1:15">
      <c r="A1122" s="7">
        <v>170010</v>
      </c>
      <c r="B1122" s="7">
        <v>3.62</v>
      </c>
      <c r="C1122" s="18" t="s">
        <v>906</v>
      </c>
      <c r="D1122" s="19">
        <v>0</v>
      </c>
      <c r="E1122" s="20">
        <v>9.9863013698630141</v>
      </c>
      <c r="F1122" s="21">
        <v>3.64</v>
      </c>
      <c r="G1122" s="21">
        <v>-2.0000000000000018</v>
      </c>
      <c r="H1122" s="21">
        <v>3.69</v>
      </c>
      <c r="I1122" s="21">
        <v>-4.9999999999999822</v>
      </c>
      <c r="J1122" s="19">
        <v>0</v>
      </c>
      <c r="K1122" s="19" t="s">
        <v>61</v>
      </c>
      <c r="L1122" s="13">
        <v>3.52</v>
      </c>
      <c r="M1122" s="14" t="s">
        <v>903</v>
      </c>
      <c r="N1122" s="14" t="s">
        <v>882</v>
      </c>
      <c r="O1122" s="4">
        <v>42867</v>
      </c>
    </row>
    <row r="1123" spans="1:15">
      <c r="A1123" s="7">
        <v>170007</v>
      </c>
      <c r="B1123" s="7">
        <v>3.62</v>
      </c>
      <c r="C1123" s="18" t="s">
        <v>846</v>
      </c>
      <c r="D1123" s="19">
        <v>0</v>
      </c>
      <c r="E1123" s="20">
        <v>4.9260273972602739</v>
      </c>
      <c r="F1123" s="21">
        <v>3.6297999999999999</v>
      </c>
      <c r="G1123" s="21">
        <v>-0.97999999999998089</v>
      </c>
      <c r="H1123" s="21">
        <v>3.6797</v>
      </c>
      <c r="I1123" s="21">
        <v>-4.9900000000000055</v>
      </c>
      <c r="J1123" s="19">
        <v>0</v>
      </c>
      <c r="K1123" s="19" t="s">
        <v>61</v>
      </c>
      <c r="L1123" s="13">
        <v>3.13</v>
      </c>
      <c r="M1123" s="14" t="s">
        <v>844</v>
      </c>
      <c r="N1123" s="14" t="s">
        <v>833</v>
      </c>
      <c r="O1123" s="4">
        <v>42867</v>
      </c>
    </row>
    <row r="1124" spans="1:15">
      <c r="A1124" s="7">
        <v>170007</v>
      </c>
      <c r="B1124" s="7">
        <v>3.62</v>
      </c>
      <c r="C1124" s="18" t="s">
        <v>846</v>
      </c>
      <c r="D1124" s="19">
        <v>0</v>
      </c>
      <c r="E1124" s="20">
        <v>4.9260273972602739</v>
      </c>
      <c r="F1124" s="21">
        <v>3.6297999999999999</v>
      </c>
      <c r="G1124" s="21">
        <v>-0.97999999999998089</v>
      </c>
      <c r="H1124" s="21">
        <v>3.6797</v>
      </c>
      <c r="I1124" s="21">
        <v>-4.9900000000000055</v>
      </c>
      <c r="J1124" s="19">
        <v>0</v>
      </c>
      <c r="K1124" s="19" t="s">
        <v>61</v>
      </c>
      <c r="L1124" s="13">
        <v>3.13</v>
      </c>
      <c r="M1124" s="14" t="s">
        <v>844</v>
      </c>
      <c r="N1124" s="14" t="s">
        <v>833</v>
      </c>
      <c r="O1124" s="4">
        <v>42867</v>
      </c>
    </row>
    <row r="1125" spans="1:15">
      <c r="A1125" s="7">
        <v>170007</v>
      </c>
      <c r="B1125" s="7">
        <v>3.62</v>
      </c>
      <c r="C1125" s="18" t="s">
        <v>846</v>
      </c>
      <c r="D1125" s="19">
        <v>0</v>
      </c>
      <c r="E1125" s="20">
        <v>4.9260273972602739</v>
      </c>
      <c r="F1125" s="21">
        <v>3.6297999999999999</v>
      </c>
      <c r="G1125" s="21">
        <v>-0.97999999999998089</v>
      </c>
      <c r="H1125" s="21">
        <v>3.6797</v>
      </c>
      <c r="I1125" s="21">
        <v>-4.9900000000000055</v>
      </c>
      <c r="J1125" s="19">
        <v>0</v>
      </c>
      <c r="K1125" s="19" t="s">
        <v>61</v>
      </c>
      <c r="L1125" s="13">
        <v>3.13</v>
      </c>
      <c r="M1125" s="14" t="s">
        <v>844</v>
      </c>
      <c r="N1125" s="14" t="s">
        <v>833</v>
      </c>
      <c r="O1125" s="4">
        <v>42867</v>
      </c>
    </row>
    <row r="1126" spans="1:15">
      <c r="A1126" s="7">
        <v>170007</v>
      </c>
      <c r="B1126" s="7">
        <v>3.62</v>
      </c>
      <c r="C1126" s="18" t="s">
        <v>846</v>
      </c>
      <c r="D1126" s="19">
        <v>0</v>
      </c>
      <c r="E1126" s="20">
        <v>4.9260273972602739</v>
      </c>
      <c r="F1126" s="21">
        <v>3.6297999999999999</v>
      </c>
      <c r="G1126" s="21">
        <v>-0.97999999999998089</v>
      </c>
      <c r="H1126" s="21">
        <v>3.6797</v>
      </c>
      <c r="I1126" s="21">
        <v>-4.9900000000000055</v>
      </c>
      <c r="J1126" s="19">
        <v>0</v>
      </c>
      <c r="K1126" s="19" t="s">
        <v>61</v>
      </c>
      <c r="L1126" s="13">
        <v>3.13</v>
      </c>
      <c r="M1126" s="14" t="s">
        <v>844</v>
      </c>
      <c r="N1126" s="14" t="s">
        <v>833</v>
      </c>
      <c r="O1126" s="4">
        <v>42867</v>
      </c>
    </row>
    <row r="1127" spans="1:15">
      <c r="A1127" s="7">
        <v>170007</v>
      </c>
      <c r="B1127" s="7">
        <v>3.62</v>
      </c>
      <c r="C1127" s="18" t="s">
        <v>846</v>
      </c>
      <c r="D1127" s="19">
        <v>0</v>
      </c>
      <c r="E1127" s="20">
        <v>4.9260273972602739</v>
      </c>
      <c r="F1127" s="21">
        <v>3.6297999999999999</v>
      </c>
      <c r="G1127" s="21">
        <v>-0.97999999999998089</v>
      </c>
      <c r="H1127" s="21">
        <v>3.6797</v>
      </c>
      <c r="I1127" s="21">
        <v>-4.9900000000000055</v>
      </c>
      <c r="J1127" s="19">
        <v>0</v>
      </c>
      <c r="K1127" s="19" t="s">
        <v>61</v>
      </c>
      <c r="L1127" s="13">
        <v>3.13</v>
      </c>
      <c r="M1127" s="14" t="s">
        <v>844</v>
      </c>
      <c r="N1127" s="14" t="s">
        <v>833</v>
      </c>
      <c r="O1127" s="4">
        <v>42867</v>
      </c>
    </row>
    <row r="1128" spans="1:15">
      <c r="A1128" s="7">
        <v>170007</v>
      </c>
      <c r="B1128" s="7">
        <v>3.62</v>
      </c>
      <c r="C1128" s="18" t="s">
        <v>846</v>
      </c>
      <c r="D1128" s="19">
        <v>0</v>
      </c>
      <c r="E1128" s="20">
        <v>4.9260273972602739</v>
      </c>
      <c r="F1128" s="21">
        <v>3.6297999999999999</v>
      </c>
      <c r="G1128" s="21">
        <v>-0.97999999999998089</v>
      </c>
      <c r="H1128" s="21">
        <v>3.6797</v>
      </c>
      <c r="I1128" s="21">
        <v>-4.9900000000000055</v>
      </c>
      <c r="J1128" s="19">
        <v>0</v>
      </c>
      <c r="K1128" s="19" t="s">
        <v>61</v>
      </c>
      <c r="L1128" s="13">
        <v>3.13</v>
      </c>
      <c r="M1128" s="14" t="s">
        <v>844</v>
      </c>
      <c r="N1128" s="14" t="s">
        <v>833</v>
      </c>
      <c r="O1128" s="4">
        <v>42867</v>
      </c>
    </row>
    <row r="1129" spans="1:15">
      <c r="A1129" s="7">
        <v>170001</v>
      </c>
      <c r="B1129" s="7">
        <v>3.62</v>
      </c>
      <c r="C1129" s="18" t="s">
        <v>657</v>
      </c>
      <c r="D1129" s="19">
        <v>0</v>
      </c>
      <c r="E1129" s="20">
        <v>4.6767123287671231</v>
      </c>
      <c r="F1129" s="21">
        <v>3.6265999999999998</v>
      </c>
      <c r="G1129" s="21">
        <v>-0.65999999999997172</v>
      </c>
      <c r="H1129" s="21">
        <v>3.67</v>
      </c>
      <c r="I1129" s="21">
        <v>-4.3400000000000105</v>
      </c>
      <c r="J1129" s="19">
        <v>0</v>
      </c>
      <c r="K1129" s="19" t="s">
        <v>61</v>
      </c>
      <c r="L1129" s="13">
        <v>2.88</v>
      </c>
      <c r="M1129" s="14" t="s">
        <v>654</v>
      </c>
      <c r="N1129" s="14" t="s">
        <v>648</v>
      </c>
      <c r="O1129" s="4">
        <v>42867</v>
      </c>
    </row>
    <row r="1130" spans="1:15">
      <c r="A1130" s="7">
        <v>170007</v>
      </c>
      <c r="B1130" s="7">
        <v>3.6150000000000002</v>
      </c>
      <c r="C1130" s="18" t="s">
        <v>846</v>
      </c>
      <c r="D1130" s="19">
        <v>0</v>
      </c>
      <c r="E1130" s="20">
        <v>4.9260273972602739</v>
      </c>
      <c r="F1130" s="21">
        <v>3.6297999999999999</v>
      </c>
      <c r="G1130" s="21">
        <v>-1.4799999999999702</v>
      </c>
      <c r="H1130" s="21">
        <v>3.6797</v>
      </c>
      <c r="I1130" s="21">
        <v>-4.9900000000000055</v>
      </c>
      <c r="J1130" s="19">
        <v>0</v>
      </c>
      <c r="K1130" s="19" t="s">
        <v>61</v>
      </c>
      <c r="L1130" s="13">
        <v>3.13</v>
      </c>
      <c r="M1130" s="14" t="s">
        <v>844</v>
      </c>
      <c r="N1130" s="14" t="s">
        <v>833</v>
      </c>
      <c r="O1130" s="4">
        <v>42867</v>
      </c>
    </row>
    <row r="1131" spans="1:15">
      <c r="A1131" s="7">
        <v>170007</v>
      </c>
      <c r="B1131" s="7">
        <v>3.6150000000000002</v>
      </c>
      <c r="C1131" s="18" t="s">
        <v>846</v>
      </c>
      <c r="D1131" s="19">
        <v>0</v>
      </c>
      <c r="E1131" s="20">
        <v>4.9260273972602739</v>
      </c>
      <c r="F1131" s="21">
        <v>3.6297999999999999</v>
      </c>
      <c r="G1131" s="21">
        <v>-1.4799999999999702</v>
      </c>
      <c r="H1131" s="21">
        <v>3.6797</v>
      </c>
      <c r="I1131" s="21">
        <v>-4.9900000000000055</v>
      </c>
      <c r="J1131" s="19">
        <v>0</v>
      </c>
      <c r="K1131" s="19" t="s">
        <v>61</v>
      </c>
      <c r="L1131" s="13">
        <v>3.13</v>
      </c>
      <c r="M1131" s="14" t="s">
        <v>844</v>
      </c>
      <c r="N1131" s="14" t="s">
        <v>833</v>
      </c>
      <c r="O1131" s="4">
        <v>42867</v>
      </c>
    </row>
    <row r="1132" spans="1:15">
      <c r="A1132" s="7">
        <v>170007</v>
      </c>
      <c r="B1132" s="7">
        <v>3.6150000000000002</v>
      </c>
      <c r="C1132" s="18" t="s">
        <v>846</v>
      </c>
      <c r="D1132" s="19">
        <v>0</v>
      </c>
      <c r="E1132" s="20">
        <v>4.9260273972602739</v>
      </c>
      <c r="F1132" s="21">
        <v>3.6297999999999999</v>
      </c>
      <c r="G1132" s="21">
        <v>-1.4799999999999702</v>
      </c>
      <c r="H1132" s="21">
        <v>3.6797</v>
      </c>
      <c r="I1132" s="21">
        <v>-4.9900000000000055</v>
      </c>
      <c r="J1132" s="19">
        <v>0</v>
      </c>
      <c r="K1132" s="19" t="s">
        <v>61</v>
      </c>
      <c r="L1132" s="13">
        <v>3.13</v>
      </c>
      <c r="M1132" s="14" t="s">
        <v>844</v>
      </c>
      <c r="N1132" s="14" t="s">
        <v>833</v>
      </c>
      <c r="O1132" s="4">
        <v>42867</v>
      </c>
    </row>
    <row r="1133" spans="1:15">
      <c r="A1133" s="7">
        <v>170007</v>
      </c>
      <c r="B1133" s="7">
        <v>3.6150000000000002</v>
      </c>
      <c r="C1133" s="18" t="s">
        <v>846</v>
      </c>
      <c r="D1133" s="19">
        <v>0</v>
      </c>
      <c r="E1133" s="20">
        <v>4.9260273972602739</v>
      </c>
      <c r="F1133" s="21">
        <v>3.6297999999999999</v>
      </c>
      <c r="G1133" s="21">
        <v>-1.4799999999999702</v>
      </c>
      <c r="H1133" s="21">
        <v>3.6797</v>
      </c>
      <c r="I1133" s="21">
        <v>-4.9900000000000055</v>
      </c>
      <c r="J1133" s="19">
        <v>0</v>
      </c>
      <c r="K1133" s="19" t="s">
        <v>61</v>
      </c>
      <c r="L1133" s="13">
        <v>3.13</v>
      </c>
      <c r="M1133" s="14" t="s">
        <v>844</v>
      </c>
      <c r="N1133" s="14" t="s">
        <v>833</v>
      </c>
      <c r="O1133" s="4">
        <v>42867</v>
      </c>
    </row>
    <row r="1134" spans="1:15">
      <c r="A1134" s="7">
        <v>170007</v>
      </c>
      <c r="B1134" s="7">
        <v>3.6150000000000002</v>
      </c>
      <c r="C1134" s="18" t="s">
        <v>846</v>
      </c>
      <c r="D1134" s="19">
        <v>0</v>
      </c>
      <c r="E1134" s="20">
        <v>4.9260273972602739</v>
      </c>
      <c r="F1134" s="21">
        <v>3.6297999999999999</v>
      </c>
      <c r="G1134" s="21">
        <v>-1.4799999999999702</v>
      </c>
      <c r="H1134" s="21">
        <v>3.6797</v>
      </c>
      <c r="I1134" s="21">
        <v>-4.9900000000000055</v>
      </c>
      <c r="J1134" s="19">
        <v>0</v>
      </c>
      <c r="K1134" s="19" t="s">
        <v>61</v>
      </c>
      <c r="L1134" s="13">
        <v>3.13</v>
      </c>
      <c r="M1134" s="14" t="s">
        <v>844</v>
      </c>
      <c r="N1134" s="14" t="s">
        <v>833</v>
      </c>
      <c r="O1134" s="4">
        <v>42867</v>
      </c>
    </row>
    <row r="1135" spans="1:15">
      <c r="A1135" s="7">
        <v>170010</v>
      </c>
      <c r="B1135" s="7">
        <v>3.61</v>
      </c>
      <c r="C1135" s="18" t="s">
        <v>906</v>
      </c>
      <c r="D1135" s="19">
        <v>0</v>
      </c>
      <c r="E1135" s="20">
        <v>9.9863013698630141</v>
      </c>
      <c r="F1135" s="21">
        <v>3.64</v>
      </c>
      <c r="G1135" s="21">
        <v>-3.0000000000000249</v>
      </c>
      <c r="H1135" s="21">
        <v>3.69</v>
      </c>
      <c r="I1135" s="21">
        <v>-4.9999999999999822</v>
      </c>
      <c r="J1135" s="19">
        <v>0</v>
      </c>
      <c r="K1135" s="19" t="s">
        <v>61</v>
      </c>
      <c r="L1135" s="13">
        <v>3.52</v>
      </c>
      <c r="M1135" s="14" t="s">
        <v>903</v>
      </c>
      <c r="N1135" s="14" t="s">
        <v>882</v>
      </c>
      <c r="O1135" s="4">
        <v>42867</v>
      </c>
    </row>
    <row r="1136" spans="1:15">
      <c r="A1136" s="7">
        <v>170010</v>
      </c>
      <c r="B1136" s="7">
        <v>3.61</v>
      </c>
      <c r="C1136" s="18" t="s">
        <v>906</v>
      </c>
      <c r="D1136" s="19">
        <v>0</v>
      </c>
      <c r="E1136" s="20">
        <v>9.9863013698630141</v>
      </c>
      <c r="F1136" s="21">
        <v>3.64</v>
      </c>
      <c r="G1136" s="21">
        <v>-3.0000000000000249</v>
      </c>
      <c r="H1136" s="21">
        <v>3.69</v>
      </c>
      <c r="I1136" s="21">
        <v>-4.9999999999999822</v>
      </c>
      <c r="J1136" s="19">
        <v>0</v>
      </c>
      <c r="K1136" s="19" t="s">
        <v>61</v>
      </c>
      <c r="L1136" s="13">
        <v>3.52</v>
      </c>
      <c r="M1136" s="14" t="s">
        <v>903</v>
      </c>
      <c r="N1136" s="14" t="s">
        <v>882</v>
      </c>
      <c r="O1136" s="4">
        <v>42867</v>
      </c>
    </row>
    <row r="1137" spans="1:15">
      <c r="A1137" s="7">
        <v>170010</v>
      </c>
      <c r="B1137" s="7">
        <v>3.61</v>
      </c>
      <c r="C1137" s="18" t="s">
        <v>906</v>
      </c>
      <c r="D1137" s="19">
        <v>0</v>
      </c>
      <c r="E1137" s="20">
        <v>9.9863013698630141</v>
      </c>
      <c r="F1137" s="21">
        <v>3.64</v>
      </c>
      <c r="G1137" s="21">
        <v>-3.0000000000000249</v>
      </c>
      <c r="H1137" s="21">
        <v>3.69</v>
      </c>
      <c r="I1137" s="21">
        <v>-4.9999999999999822</v>
      </c>
      <c r="J1137" s="19">
        <v>0</v>
      </c>
      <c r="K1137" s="19" t="s">
        <v>61</v>
      </c>
      <c r="L1137" s="13">
        <v>3.52</v>
      </c>
      <c r="M1137" s="14" t="s">
        <v>903</v>
      </c>
      <c r="N1137" s="14" t="s">
        <v>882</v>
      </c>
      <c r="O1137" s="4">
        <v>42867</v>
      </c>
    </row>
    <row r="1138" spans="1:15">
      <c r="A1138" s="7">
        <v>170010</v>
      </c>
      <c r="B1138" s="7">
        <v>3.61</v>
      </c>
      <c r="C1138" s="18" t="s">
        <v>906</v>
      </c>
      <c r="D1138" s="19">
        <v>0</v>
      </c>
      <c r="E1138" s="20">
        <v>9.9863013698630141</v>
      </c>
      <c r="F1138" s="21">
        <v>3.64</v>
      </c>
      <c r="G1138" s="21">
        <v>-3.0000000000000249</v>
      </c>
      <c r="H1138" s="21">
        <v>3.69</v>
      </c>
      <c r="I1138" s="21">
        <v>-4.9999999999999822</v>
      </c>
      <c r="J1138" s="19">
        <v>0</v>
      </c>
      <c r="K1138" s="19" t="s">
        <v>61</v>
      </c>
      <c r="L1138" s="13">
        <v>3.52</v>
      </c>
      <c r="M1138" s="14" t="s">
        <v>903</v>
      </c>
      <c r="N1138" s="14" t="s">
        <v>882</v>
      </c>
      <c r="O1138" s="4">
        <v>42867</v>
      </c>
    </row>
    <row r="1139" spans="1:15">
      <c r="A1139" s="7">
        <v>170010</v>
      </c>
      <c r="B1139" s="7">
        <v>3.61</v>
      </c>
      <c r="C1139" s="18" t="s">
        <v>906</v>
      </c>
      <c r="D1139" s="19">
        <v>0</v>
      </c>
      <c r="E1139" s="20">
        <v>9.9863013698630141</v>
      </c>
      <c r="F1139" s="21">
        <v>3.64</v>
      </c>
      <c r="G1139" s="21">
        <v>-3.0000000000000249</v>
      </c>
      <c r="H1139" s="21">
        <v>3.69</v>
      </c>
      <c r="I1139" s="21">
        <v>-4.9999999999999822</v>
      </c>
      <c r="J1139" s="19">
        <v>0</v>
      </c>
      <c r="K1139" s="19" t="s">
        <v>61</v>
      </c>
      <c r="L1139" s="13">
        <v>3.52</v>
      </c>
      <c r="M1139" s="14" t="s">
        <v>903</v>
      </c>
      <c r="N1139" s="14" t="s">
        <v>882</v>
      </c>
      <c r="O1139" s="4">
        <v>42867</v>
      </c>
    </row>
    <row r="1140" spans="1:15">
      <c r="A1140" s="7">
        <v>170010</v>
      </c>
      <c r="B1140" s="7">
        <v>3.61</v>
      </c>
      <c r="C1140" s="18" t="s">
        <v>906</v>
      </c>
      <c r="D1140" s="19">
        <v>0</v>
      </c>
      <c r="E1140" s="20">
        <v>9.9863013698630141</v>
      </c>
      <c r="F1140" s="21">
        <v>3.64</v>
      </c>
      <c r="G1140" s="21">
        <v>-3.0000000000000249</v>
      </c>
      <c r="H1140" s="21">
        <v>3.69</v>
      </c>
      <c r="I1140" s="21">
        <v>-4.9999999999999822</v>
      </c>
      <c r="J1140" s="19">
        <v>0</v>
      </c>
      <c r="K1140" s="19" t="s">
        <v>61</v>
      </c>
      <c r="L1140" s="13">
        <v>3.52</v>
      </c>
      <c r="M1140" s="14" t="s">
        <v>903</v>
      </c>
      <c r="N1140" s="14" t="s">
        <v>882</v>
      </c>
      <c r="O1140" s="4">
        <v>42867</v>
      </c>
    </row>
    <row r="1141" spans="1:15">
      <c r="A1141" s="7">
        <v>170010</v>
      </c>
      <c r="B1141" s="7">
        <v>3.61</v>
      </c>
      <c r="C1141" s="18" t="s">
        <v>906</v>
      </c>
      <c r="D1141" s="19">
        <v>0</v>
      </c>
      <c r="E1141" s="20">
        <v>9.9863013698630141</v>
      </c>
      <c r="F1141" s="21">
        <v>3.64</v>
      </c>
      <c r="G1141" s="21">
        <v>-3.0000000000000249</v>
      </c>
      <c r="H1141" s="21">
        <v>3.69</v>
      </c>
      <c r="I1141" s="21">
        <v>-4.9999999999999822</v>
      </c>
      <c r="J1141" s="19">
        <v>0</v>
      </c>
      <c r="K1141" s="19" t="s">
        <v>61</v>
      </c>
      <c r="L1141" s="13">
        <v>3.52</v>
      </c>
      <c r="M1141" s="14" t="s">
        <v>903</v>
      </c>
      <c r="N1141" s="14" t="s">
        <v>882</v>
      </c>
      <c r="O1141" s="4">
        <v>42867</v>
      </c>
    </row>
    <row r="1142" spans="1:15">
      <c r="A1142" s="7">
        <v>170010</v>
      </c>
      <c r="B1142" s="7">
        <v>3.61</v>
      </c>
      <c r="C1142" s="18" t="s">
        <v>906</v>
      </c>
      <c r="D1142" s="19">
        <v>0</v>
      </c>
      <c r="E1142" s="20">
        <v>9.9863013698630141</v>
      </c>
      <c r="F1142" s="21">
        <v>3.64</v>
      </c>
      <c r="G1142" s="21">
        <v>-3.0000000000000249</v>
      </c>
      <c r="H1142" s="21">
        <v>3.69</v>
      </c>
      <c r="I1142" s="21">
        <v>-4.9999999999999822</v>
      </c>
      <c r="J1142" s="19">
        <v>0</v>
      </c>
      <c r="K1142" s="19" t="s">
        <v>61</v>
      </c>
      <c r="L1142" s="13">
        <v>3.52</v>
      </c>
      <c r="M1142" s="14" t="s">
        <v>903</v>
      </c>
      <c r="N1142" s="14" t="s">
        <v>882</v>
      </c>
      <c r="O1142" s="4">
        <v>42867</v>
      </c>
    </row>
    <row r="1143" spans="1:15">
      <c r="A1143" s="7">
        <v>170010</v>
      </c>
      <c r="B1143" s="7">
        <v>3.61</v>
      </c>
      <c r="C1143" s="18" t="s">
        <v>906</v>
      </c>
      <c r="D1143" s="19">
        <v>0</v>
      </c>
      <c r="E1143" s="20">
        <v>9.9863013698630141</v>
      </c>
      <c r="F1143" s="21">
        <v>3.64</v>
      </c>
      <c r="G1143" s="21">
        <v>-3.0000000000000249</v>
      </c>
      <c r="H1143" s="21">
        <v>3.69</v>
      </c>
      <c r="I1143" s="21">
        <v>-4.9999999999999822</v>
      </c>
      <c r="J1143" s="19">
        <v>0</v>
      </c>
      <c r="K1143" s="19" t="s">
        <v>61</v>
      </c>
      <c r="L1143" s="13">
        <v>3.52</v>
      </c>
      <c r="M1143" s="14" t="s">
        <v>903</v>
      </c>
      <c r="N1143" s="14" t="s">
        <v>882</v>
      </c>
      <c r="O1143" s="4">
        <v>42867</v>
      </c>
    </row>
    <row r="1144" spans="1:15">
      <c r="A1144" s="7">
        <v>170004</v>
      </c>
      <c r="B1144" s="7">
        <v>3.61</v>
      </c>
      <c r="C1144" s="18" t="s">
        <v>681</v>
      </c>
      <c r="D1144" s="19">
        <v>0</v>
      </c>
      <c r="E1144" s="20">
        <v>9.7561643835616429</v>
      </c>
      <c r="F1144" s="21">
        <v>3.6402000000000001</v>
      </c>
      <c r="G1144" s="21">
        <v>-3.0200000000000227</v>
      </c>
      <c r="H1144" s="21">
        <v>3.6901000000000002</v>
      </c>
      <c r="I1144" s="21">
        <v>-4.9900000000000055</v>
      </c>
      <c r="J1144" s="19">
        <v>0</v>
      </c>
      <c r="K1144" s="19" t="s">
        <v>61</v>
      </c>
      <c r="L1144" s="13">
        <v>3.4</v>
      </c>
      <c r="M1144" s="14" t="s">
        <v>677</v>
      </c>
      <c r="N1144" s="14" t="s">
        <v>671</v>
      </c>
      <c r="O1144" s="4">
        <v>42867</v>
      </c>
    </row>
    <row r="1145" spans="1:15">
      <c r="A1145" s="7">
        <v>170010</v>
      </c>
      <c r="B1145" s="7">
        <v>3.6074999999999999</v>
      </c>
      <c r="C1145" s="18" t="s">
        <v>906</v>
      </c>
      <c r="D1145" s="19">
        <v>0</v>
      </c>
      <c r="E1145" s="20">
        <v>9.9863013698630141</v>
      </c>
      <c r="F1145" s="21">
        <v>3.64</v>
      </c>
      <c r="G1145" s="21">
        <v>-3.2500000000000195</v>
      </c>
      <c r="H1145" s="21">
        <v>3.69</v>
      </c>
      <c r="I1145" s="21">
        <v>-4.9999999999999822</v>
      </c>
      <c r="J1145" s="19">
        <v>0</v>
      </c>
      <c r="K1145" s="19" t="s">
        <v>61</v>
      </c>
      <c r="L1145" s="13">
        <v>3.52</v>
      </c>
      <c r="M1145" s="14" t="s">
        <v>903</v>
      </c>
      <c r="N1145" s="14" t="s">
        <v>882</v>
      </c>
      <c r="O1145" s="4">
        <v>42867</v>
      </c>
    </row>
    <row r="1146" spans="1:15">
      <c r="A1146" s="7">
        <v>170010</v>
      </c>
      <c r="B1146" s="7">
        <v>3.605</v>
      </c>
      <c r="C1146" s="18" t="s">
        <v>906</v>
      </c>
      <c r="D1146" s="19">
        <v>0</v>
      </c>
      <c r="E1146" s="20">
        <v>9.9863013698630141</v>
      </c>
      <c r="F1146" s="21">
        <v>3.64</v>
      </c>
      <c r="G1146" s="21">
        <v>-3.5000000000000142</v>
      </c>
      <c r="H1146" s="21">
        <v>3.69</v>
      </c>
      <c r="I1146" s="21">
        <v>-4.9999999999999822</v>
      </c>
      <c r="J1146" s="19">
        <v>0</v>
      </c>
      <c r="K1146" s="19" t="s">
        <v>61</v>
      </c>
      <c r="L1146" s="13">
        <v>3.52</v>
      </c>
      <c r="M1146" s="14" t="s">
        <v>903</v>
      </c>
      <c r="N1146" s="14" t="s">
        <v>882</v>
      </c>
      <c r="O1146" s="4">
        <v>42867</v>
      </c>
    </row>
    <row r="1147" spans="1:15">
      <c r="A1147" s="7">
        <v>170004</v>
      </c>
      <c r="B1147" s="7">
        <v>3.605</v>
      </c>
      <c r="C1147" s="18" t="s">
        <v>681</v>
      </c>
      <c r="D1147" s="19">
        <v>0</v>
      </c>
      <c r="E1147" s="20">
        <v>9.7561643835616429</v>
      </c>
      <c r="F1147" s="21">
        <v>3.6402000000000001</v>
      </c>
      <c r="G1147" s="21">
        <v>-3.520000000000012</v>
      </c>
      <c r="H1147" s="21">
        <v>3.6901000000000002</v>
      </c>
      <c r="I1147" s="21">
        <v>-4.9900000000000055</v>
      </c>
      <c r="J1147" s="19">
        <v>0</v>
      </c>
      <c r="K1147" s="19" t="s">
        <v>61</v>
      </c>
      <c r="L1147" s="13">
        <v>3.4</v>
      </c>
      <c r="M1147" s="14" t="s">
        <v>677</v>
      </c>
      <c r="N1147" s="14" t="s">
        <v>671</v>
      </c>
      <c r="O1147" s="4">
        <v>42867</v>
      </c>
    </row>
    <row r="1148" spans="1:15">
      <c r="A1148" s="7" t="s">
        <v>946</v>
      </c>
      <c r="B1148" s="7">
        <v>3.6</v>
      </c>
      <c r="C1148" s="18" t="s">
        <v>1005</v>
      </c>
      <c r="D1148" s="19">
        <v>0</v>
      </c>
      <c r="E1148" s="20">
        <v>5.4520547945205475</v>
      </c>
      <c r="F1148" s="21">
        <v>3.6374</v>
      </c>
      <c r="G1148" s="21">
        <v>-3.7399999999999878</v>
      </c>
      <c r="H1148" s="21">
        <v>3.6920000000000002</v>
      </c>
      <c r="I1148" s="21">
        <v>-5.4600000000000204</v>
      </c>
      <c r="J1148" s="19">
        <v>0</v>
      </c>
      <c r="K1148" s="19" t="s">
        <v>61</v>
      </c>
      <c r="L1148" s="13">
        <v>3.05</v>
      </c>
      <c r="M1148" s="14" t="s">
        <v>29</v>
      </c>
      <c r="N1148" s="14" t="s">
        <v>107</v>
      </c>
      <c r="O1148" s="4">
        <v>42867</v>
      </c>
    </row>
    <row r="1149" spans="1:15">
      <c r="A1149" s="7">
        <v>111795985</v>
      </c>
      <c r="B1149" s="7">
        <v>3.6</v>
      </c>
      <c r="C1149" s="18" t="s">
        <v>1006</v>
      </c>
      <c r="D1149" s="19" t="s">
        <v>36</v>
      </c>
      <c r="E1149" s="20">
        <v>1.643835616438356E-2</v>
      </c>
      <c r="F1149" s="21">
        <v>3.5829</v>
      </c>
      <c r="G1149" s="21">
        <v>1.7100000000000115</v>
      </c>
      <c r="H1149" s="21">
        <v>3.5983000000000001</v>
      </c>
      <c r="I1149" s="21">
        <v>-1.540000000000008</v>
      </c>
      <c r="J1149" s="19" t="s">
        <v>12</v>
      </c>
      <c r="K1149" s="19" t="s">
        <v>56</v>
      </c>
      <c r="L1149" s="13">
        <v>4.2</v>
      </c>
      <c r="M1149" s="14" t="s">
        <v>844</v>
      </c>
      <c r="N1149" s="14" t="s">
        <v>843</v>
      </c>
      <c r="O1149" s="4">
        <v>42867</v>
      </c>
    </row>
    <row r="1150" spans="1:15">
      <c r="A1150" s="7">
        <v>170010</v>
      </c>
      <c r="B1150" s="7">
        <v>3.6</v>
      </c>
      <c r="C1150" s="18" t="s">
        <v>906</v>
      </c>
      <c r="D1150" s="19">
        <v>0</v>
      </c>
      <c r="E1150" s="20">
        <v>9.9863013698630141</v>
      </c>
      <c r="F1150" s="21">
        <v>3.64</v>
      </c>
      <c r="G1150" s="21">
        <v>-4.0000000000000036</v>
      </c>
      <c r="H1150" s="21">
        <v>3.69</v>
      </c>
      <c r="I1150" s="21">
        <v>-4.9999999999999822</v>
      </c>
      <c r="J1150" s="19">
        <v>0</v>
      </c>
      <c r="K1150" s="19" t="s">
        <v>61</v>
      </c>
      <c r="L1150" s="13">
        <v>3.52</v>
      </c>
      <c r="M1150" s="14" t="s">
        <v>903</v>
      </c>
      <c r="N1150" s="14" t="s">
        <v>882</v>
      </c>
      <c r="O1150" s="4">
        <v>42867</v>
      </c>
    </row>
    <row r="1151" spans="1:15">
      <c r="A1151" s="7">
        <v>170010</v>
      </c>
      <c r="B1151" s="7">
        <v>3.6</v>
      </c>
      <c r="C1151" s="18" t="s">
        <v>906</v>
      </c>
      <c r="D1151" s="19">
        <v>0</v>
      </c>
      <c r="E1151" s="20">
        <v>9.9863013698630141</v>
      </c>
      <c r="F1151" s="21">
        <v>3.64</v>
      </c>
      <c r="G1151" s="21">
        <v>-4.0000000000000036</v>
      </c>
      <c r="H1151" s="21">
        <v>3.69</v>
      </c>
      <c r="I1151" s="21">
        <v>-4.9999999999999822</v>
      </c>
      <c r="J1151" s="19">
        <v>0</v>
      </c>
      <c r="K1151" s="19" t="s">
        <v>61</v>
      </c>
      <c r="L1151" s="13">
        <v>3.52</v>
      </c>
      <c r="M1151" s="14" t="s">
        <v>903</v>
      </c>
      <c r="N1151" s="14" t="s">
        <v>882</v>
      </c>
      <c r="O1151" s="4">
        <v>42867</v>
      </c>
    </row>
    <row r="1152" spans="1:15">
      <c r="A1152" s="7">
        <v>170002</v>
      </c>
      <c r="B1152" s="7">
        <v>3.58</v>
      </c>
      <c r="C1152" s="18" t="s">
        <v>666</v>
      </c>
      <c r="D1152" s="19">
        <v>0</v>
      </c>
      <c r="E1152" s="20">
        <v>2.6931506849315068</v>
      </c>
      <c r="F1152" s="21">
        <v>3.5918000000000001</v>
      </c>
      <c r="G1152" s="21">
        <v>-1.1800000000000033</v>
      </c>
      <c r="H1152" s="21">
        <v>3.5756999999999999</v>
      </c>
      <c r="I1152" s="21">
        <v>1.6100000000000225</v>
      </c>
      <c r="J1152" s="19">
        <v>0</v>
      </c>
      <c r="K1152" s="19" t="s">
        <v>61</v>
      </c>
      <c r="L1152" s="13">
        <v>2.77</v>
      </c>
      <c r="M1152" s="14" t="s">
        <v>667</v>
      </c>
      <c r="N1152" s="14" t="s">
        <v>659</v>
      </c>
      <c r="O1152" s="4">
        <v>42867</v>
      </c>
    </row>
    <row r="1153" spans="1:15">
      <c r="A1153" s="7">
        <v>160023</v>
      </c>
      <c r="B1153" s="7">
        <v>3.58</v>
      </c>
      <c r="C1153" s="18" t="s">
        <v>569</v>
      </c>
      <c r="D1153" s="19">
        <v>0</v>
      </c>
      <c r="E1153" s="20">
        <v>9.4876712328767123</v>
      </c>
      <c r="F1153" s="21">
        <v>3.6206999999999998</v>
      </c>
      <c r="G1153" s="21">
        <v>-4.0699999999999736</v>
      </c>
      <c r="H1153" s="21">
        <v>3.6307</v>
      </c>
      <c r="I1153" s="21">
        <v>-1.0000000000000231</v>
      </c>
      <c r="J1153" s="19">
        <v>0</v>
      </c>
      <c r="K1153" s="19" t="s">
        <v>61</v>
      </c>
      <c r="L1153" s="13">
        <v>2.7</v>
      </c>
      <c r="M1153" s="14" t="s">
        <v>570</v>
      </c>
      <c r="N1153" s="14" t="s">
        <v>561</v>
      </c>
      <c r="O1153" s="4">
        <v>42867</v>
      </c>
    </row>
    <row r="1154" spans="1:15">
      <c r="A1154" s="7">
        <v>160023</v>
      </c>
      <c r="B1154" s="7">
        <v>3.58</v>
      </c>
      <c r="C1154" s="18" t="s">
        <v>569</v>
      </c>
      <c r="D1154" s="19">
        <v>0</v>
      </c>
      <c r="E1154" s="20">
        <v>9.4876712328767123</v>
      </c>
      <c r="F1154" s="21">
        <v>3.6206999999999998</v>
      </c>
      <c r="G1154" s="21">
        <v>-4.0699999999999736</v>
      </c>
      <c r="H1154" s="21">
        <v>3.6307</v>
      </c>
      <c r="I1154" s="21">
        <v>-1.0000000000000231</v>
      </c>
      <c r="J1154" s="19">
        <v>0</v>
      </c>
      <c r="K1154" s="19" t="s">
        <v>61</v>
      </c>
      <c r="L1154" s="13">
        <v>2.7</v>
      </c>
      <c r="M1154" s="14" t="s">
        <v>570</v>
      </c>
      <c r="N1154" s="14" t="s">
        <v>561</v>
      </c>
      <c r="O1154" s="4">
        <v>42867</v>
      </c>
    </row>
    <row r="1155" spans="1:15">
      <c r="A1155" s="7">
        <v>160023</v>
      </c>
      <c r="B1155" s="7">
        <v>3.5750000000000002</v>
      </c>
      <c r="C1155" s="18" t="s">
        <v>569</v>
      </c>
      <c r="D1155" s="19">
        <v>0</v>
      </c>
      <c r="E1155" s="20">
        <v>9.4876712328767123</v>
      </c>
      <c r="F1155" s="21">
        <v>3.6206999999999998</v>
      </c>
      <c r="G1155" s="21">
        <v>-4.569999999999963</v>
      </c>
      <c r="H1155" s="21">
        <v>3.6307</v>
      </c>
      <c r="I1155" s="21">
        <v>-1.0000000000000231</v>
      </c>
      <c r="J1155" s="19">
        <v>0</v>
      </c>
      <c r="K1155" s="19" t="s">
        <v>61</v>
      </c>
      <c r="L1155" s="13">
        <v>2.7</v>
      </c>
      <c r="M1155" s="14" t="s">
        <v>570</v>
      </c>
      <c r="N1155" s="14" t="s">
        <v>561</v>
      </c>
      <c r="O1155" s="4">
        <v>42867</v>
      </c>
    </row>
    <row r="1156" spans="1:15">
      <c r="A1156" s="7">
        <v>160023</v>
      </c>
      <c r="B1156" s="7">
        <v>3.5750000000000002</v>
      </c>
      <c r="C1156" s="18" t="s">
        <v>569</v>
      </c>
      <c r="D1156" s="19">
        <v>0</v>
      </c>
      <c r="E1156" s="20">
        <v>9.4876712328767123</v>
      </c>
      <c r="F1156" s="21">
        <v>3.6206999999999998</v>
      </c>
      <c r="G1156" s="21">
        <v>-4.569999999999963</v>
      </c>
      <c r="H1156" s="21">
        <v>3.6307</v>
      </c>
      <c r="I1156" s="21">
        <v>-1.0000000000000231</v>
      </c>
      <c r="J1156" s="19">
        <v>0</v>
      </c>
      <c r="K1156" s="19" t="s">
        <v>61</v>
      </c>
      <c r="L1156" s="13">
        <v>2.7</v>
      </c>
      <c r="M1156" s="14" t="s">
        <v>570</v>
      </c>
      <c r="N1156" s="14" t="s">
        <v>561</v>
      </c>
      <c r="O1156" s="4">
        <v>42867</v>
      </c>
    </row>
    <row r="1157" spans="1:15">
      <c r="A1157" s="7">
        <v>111796126</v>
      </c>
      <c r="B1157" s="7">
        <v>3.55</v>
      </c>
      <c r="C1157" s="18" t="s">
        <v>1007</v>
      </c>
      <c r="D1157" s="19" t="s">
        <v>103</v>
      </c>
      <c r="E1157" s="20">
        <v>2.1917808219178082E-2</v>
      </c>
      <c r="F1157" s="21">
        <v>3.5407999999999999</v>
      </c>
      <c r="G1157" s="21">
        <v>0.91999999999998749</v>
      </c>
      <c r="H1157" s="21">
        <v>3.5543</v>
      </c>
      <c r="I1157" s="21">
        <v>-1.3500000000000068</v>
      </c>
      <c r="J1157" s="19" t="s">
        <v>12</v>
      </c>
      <c r="K1157" s="19" t="s">
        <v>56</v>
      </c>
      <c r="L1157" s="13">
        <v>4.25</v>
      </c>
      <c r="M1157" s="14" t="s">
        <v>845</v>
      </c>
      <c r="N1157" s="14" t="s">
        <v>851</v>
      </c>
      <c r="O1157" s="4">
        <v>42867</v>
      </c>
    </row>
    <row r="1158" spans="1:15">
      <c r="A1158" s="7">
        <v>111720017</v>
      </c>
      <c r="B1158" s="7">
        <v>3.5</v>
      </c>
      <c r="C1158" s="18" t="s">
        <v>1008</v>
      </c>
      <c r="D1158" s="19" t="s">
        <v>11</v>
      </c>
      <c r="E1158" s="20">
        <v>3.5616438356164383E-2</v>
      </c>
      <c r="F1158" s="21">
        <v>3.4643999999999999</v>
      </c>
      <c r="G1158" s="21">
        <v>3.5600000000000076</v>
      </c>
      <c r="H1158" s="21">
        <v>3.4895</v>
      </c>
      <c r="I1158" s="21">
        <v>-2.5100000000000122</v>
      </c>
      <c r="J1158" s="19" t="s">
        <v>12</v>
      </c>
      <c r="K1158" s="19" t="s">
        <v>56</v>
      </c>
      <c r="L1158" s="13">
        <v>4.4000000000000004</v>
      </c>
      <c r="M1158" s="14" t="s">
        <v>695</v>
      </c>
      <c r="N1158" s="14" t="s">
        <v>700</v>
      </c>
      <c r="O1158" s="4">
        <v>42867</v>
      </c>
    </row>
    <row r="1159" spans="1:15">
      <c r="A1159" s="7">
        <v>111680831</v>
      </c>
      <c r="B1159" s="7">
        <v>3.5</v>
      </c>
      <c r="C1159" s="18" t="s">
        <v>1009</v>
      </c>
      <c r="D1159" s="19" t="s">
        <v>36</v>
      </c>
      <c r="E1159" s="20">
        <v>3.8356164383561646E-2</v>
      </c>
      <c r="F1159" s="21">
        <v>3.7118000000000002</v>
      </c>
      <c r="G1159" s="21">
        <v>-21.180000000000021</v>
      </c>
      <c r="H1159" s="21">
        <v>3.7391000000000001</v>
      </c>
      <c r="I1159" s="21">
        <v>-2.729999999999988</v>
      </c>
      <c r="J1159" s="19" t="s">
        <v>12</v>
      </c>
      <c r="K1159" s="19" t="s">
        <v>56</v>
      </c>
      <c r="L1159" s="13">
        <v>3.5699000000000001</v>
      </c>
      <c r="M1159" s="14" t="s">
        <v>598</v>
      </c>
      <c r="N1159" s="14" t="s">
        <v>596</v>
      </c>
      <c r="O1159" s="4">
        <v>42867</v>
      </c>
    </row>
    <row r="1160" spans="1:15">
      <c r="A1160" s="7">
        <v>111680649</v>
      </c>
      <c r="B1160" s="7">
        <v>3.5</v>
      </c>
      <c r="C1160" s="18" t="s">
        <v>1010</v>
      </c>
      <c r="D1160" s="19" t="s">
        <v>36</v>
      </c>
      <c r="E1160" s="20">
        <v>3.287671232876712E-2</v>
      </c>
      <c r="F1160" s="21">
        <v>3.6566999999999998</v>
      </c>
      <c r="G1160" s="21">
        <v>-15.669999999999984</v>
      </c>
      <c r="H1160" s="21">
        <v>3.6800999999999999</v>
      </c>
      <c r="I1160" s="21">
        <v>-2.3400000000000087</v>
      </c>
      <c r="J1160" s="19" t="s">
        <v>12</v>
      </c>
      <c r="K1160" s="19" t="s">
        <v>56</v>
      </c>
      <c r="L1160" s="13">
        <v>3.5</v>
      </c>
      <c r="M1160" s="14" t="s">
        <v>593</v>
      </c>
      <c r="N1160" s="14" t="s">
        <v>595</v>
      </c>
      <c r="O1160" s="4">
        <v>42867</v>
      </c>
    </row>
    <row r="1161" spans="1:15">
      <c r="A1161" s="7">
        <v>11698808</v>
      </c>
      <c r="B1161" s="7">
        <v>3.5</v>
      </c>
      <c r="C1161" s="18" t="s">
        <v>836</v>
      </c>
      <c r="D1161" s="19" t="s">
        <v>11</v>
      </c>
      <c r="E1161" s="20">
        <v>1.3698630136986301E-2</v>
      </c>
      <c r="F1161" s="21">
        <v>3.5388000000000002</v>
      </c>
      <c r="G1161" s="21">
        <v>-3.8800000000000168</v>
      </c>
      <c r="H1161" s="21">
        <v>3.7286999999999999</v>
      </c>
      <c r="I1161" s="21">
        <v>-18.989999999999974</v>
      </c>
      <c r="J1161" s="19" t="s">
        <v>17</v>
      </c>
      <c r="K1161" s="19" t="s">
        <v>13</v>
      </c>
      <c r="L1161" s="13">
        <v>2.62</v>
      </c>
      <c r="M1161" s="14" t="s">
        <v>586</v>
      </c>
      <c r="N1161" s="14" t="s">
        <v>585</v>
      </c>
      <c r="O1161" s="4">
        <v>42867</v>
      </c>
    </row>
    <row r="1162" spans="1:15">
      <c r="A1162" s="7">
        <v>111693660</v>
      </c>
      <c r="B1162" s="7">
        <v>3.48</v>
      </c>
      <c r="C1162" s="18" t="s">
        <v>685</v>
      </c>
      <c r="D1162" s="19" t="s">
        <v>11</v>
      </c>
      <c r="E1162" s="20">
        <v>3.287671232876712E-2</v>
      </c>
      <c r="F1162" s="21">
        <v>3.4967000000000001</v>
      </c>
      <c r="G1162" s="21">
        <v>-1.6700000000000159</v>
      </c>
      <c r="H1162" s="21">
        <v>3.5200999999999998</v>
      </c>
      <c r="I1162" s="21">
        <v>-2.3399999999999643</v>
      </c>
      <c r="J1162" s="19" t="s">
        <v>12</v>
      </c>
      <c r="K1162" s="19" t="s">
        <v>56</v>
      </c>
      <c r="L1162" s="13">
        <v>3.24</v>
      </c>
      <c r="M1162" s="14" t="s">
        <v>381</v>
      </c>
      <c r="N1162" s="14" t="s">
        <v>380</v>
      </c>
      <c r="O1162" s="4">
        <v>42867</v>
      </c>
    </row>
    <row r="1163" spans="1:15">
      <c r="A1163" s="7">
        <v>111792035</v>
      </c>
      <c r="B1163" s="7">
        <v>3.45</v>
      </c>
      <c r="C1163" s="18" t="s">
        <v>813</v>
      </c>
      <c r="D1163" s="19" t="s">
        <v>11</v>
      </c>
      <c r="E1163" s="20">
        <v>1.643835616438356E-2</v>
      </c>
      <c r="F1163" s="21">
        <v>3.3372000000000002</v>
      </c>
      <c r="G1163" s="21">
        <v>11.280000000000001</v>
      </c>
      <c r="H1163" s="21">
        <v>3.3483000000000001</v>
      </c>
      <c r="I1163" s="21">
        <v>-1.1099999999999888</v>
      </c>
      <c r="J1163" s="19" t="s">
        <v>55</v>
      </c>
      <c r="K1163" s="19" t="s">
        <v>56</v>
      </c>
      <c r="L1163" s="13">
        <v>4.5</v>
      </c>
      <c r="M1163" s="14" t="s">
        <v>693</v>
      </c>
      <c r="N1163" s="14" t="s">
        <v>692</v>
      </c>
      <c r="O1163" s="4">
        <v>42867</v>
      </c>
    </row>
    <row r="1164" spans="1:15">
      <c r="A1164" s="7">
        <v>111720012</v>
      </c>
      <c r="B1164" s="7">
        <v>3.45</v>
      </c>
      <c r="C1164" s="18" t="s">
        <v>734</v>
      </c>
      <c r="D1164" s="19" t="s">
        <v>11</v>
      </c>
      <c r="E1164" s="20">
        <v>3.0136986301369864E-2</v>
      </c>
      <c r="F1164" s="21">
        <v>3.4089999999999998</v>
      </c>
      <c r="G1164" s="21">
        <v>4.1000000000000369</v>
      </c>
      <c r="H1164" s="21">
        <v>3.4297</v>
      </c>
      <c r="I1164" s="21">
        <v>-2.0700000000000163</v>
      </c>
      <c r="J1164" s="19" t="s">
        <v>12</v>
      </c>
      <c r="K1164" s="19" t="s">
        <v>56</v>
      </c>
      <c r="L1164" s="13">
        <v>4.4000000000000004</v>
      </c>
      <c r="M1164" s="14" t="s">
        <v>696</v>
      </c>
      <c r="N1164" s="14" t="s">
        <v>699</v>
      </c>
      <c r="O1164" s="4">
        <v>42867</v>
      </c>
    </row>
    <row r="1165" spans="1:15">
      <c r="A1165" s="7">
        <v>111720012</v>
      </c>
      <c r="B1165" s="7">
        <v>3.45</v>
      </c>
      <c r="C1165" s="18" t="s">
        <v>734</v>
      </c>
      <c r="D1165" s="19" t="s">
        <v>11</v>
      </c>
      <c r="E1165" s="20">
        <v>3.0136986301369864E-2</v>
      </c>
      <c r="F1165" s="21">
        <v>3.4089999999999998</v>
      </c>
      <c r="G1165" s="21">
        <v>4.1000000000000369</v>
      </c>
      <c r="H1165" s="21">
        <v>3.4297</v>
      </c>
      <c r="I1165" s="21">
        <v>-2.0700000000000163</v>
      </c>
      <c r="J1165" s="19" t="s">
        <v>12</v>
      </c>
      <c r="K1165" s="19" t="s">
        <v>56</v>
      </c>
      <c r="L1165" s="13">
        <v>4.4000000000000004</v>
      </c>
      <c r="M1165" s="14" t="s">
        <v>696</v>
      </c>
      <c r="N1165" s="14" t="s">
        <v>699</v>
      </c>
      <c r="O1165" s="4">
        <v>42867</v>
      </c>
    </row>
    <row r="1166" spans="1:15">
      <c r="A1166" s="7">
        <v>111707069</v>
      </c>
      <c r="B1166" s="7">
        <v>3.45</v>
      </c>
      <c r="C1166" s="18" t="s">
        <v>745</v>
      </c>
      <c r="D1166" s="19" t="s">
        <v>11</v>
      </c>
      <c r="E1166" s="20">
        <v>3.5616438356164383E-2</v>
      </c>
      <c r="F1166" s="21">
        <v>3.4643999999999999</v>
      </c>
      <c r="G1166" s="21">
        <v>-1.4399999999999746</v>
      </c>
      <c r="H1166" s="21">
        <v>3.4895</v>
      </c>
      <c r="I1166" s="21">
        <v>-2.5100000000000122</v>
      </c>
      <c r="J1166" s="19" t="s">
        <v>55</v>
      </c>
      <c r="K1166" s="19" t="s">
        <v>56</v>
      </c>
      <c r="L1166" s="13">
        <v>4.4000000000000004</v>
      </c>
      <c r="M1166" s="14" t="s">
        <v>695</v>
      </c>
      <c r="N1166" s="14" t="s">
        <v>700</v>
      </c>
      <c r="O1166" s="4">
        <v>42867</v>
      </c>
    </row>
    <row r="1167" spans="1:15">
      <c r="A1167" s="7">
        <v>170009</v>
      </c>
      <c r="B1167" s="7">
        <v>3.42</v>
      </c>
      <c r="C1167" s="18" t="s">
        <v>907</v>
      </c>
      <c r="D1167" s="19">
        <v>0</v>
      </c>
      <c r="E1167" s="20">
        <v>0.98082191780821915</v>
      </c>
      <c r="F1167" s="21">
        <v>3.43</v>
      </c>
      <c r="G1167" s="21">
        <v>-1.0000000000000231</v>
      </c>
      <c r="H1167" s="21">
        <v>3.4499</v>
      </c>
      <c r="I1167" s="21">
        <v>-1.9899999999999807</v>
      </c>
      <c r="J1167" s="19">
        <v>0</v>
      </c>
      <c r="K1167" s="19" t="s">
        <v>61</v>
      </c>
      <c r="L1167" s="13">
        <v>3.32</v>
      </c>
      <c r="M1167" s="14" t="s">
        <v>903</v>
      </c>
      <c r="N1167" s="14" t="s">
        <v>882</v>
      </c>
      <c r="O1167" s="4">
        <v>42867</v>
      </c>
    </row>
    <row r="1168" spans="1:15">
      <c r="A1168" s="7">
        <v>111611188</v>
      </c>
      <c r="B1168" s="7">
        <v>3.4</v>
      </c>
      <c r="C1168" s="18" t="s">
        <v>660</v>
      </c>
      <c r="D1168" s="19" t="s">
        <v>11</v>
      </c>
      <c r="E1168" s="20">
        <v>3.287671232876712E-2</v>
      </c>
      <c r="F1168" s="21">
        <v>3.4367000000000001</v>
      </c>
      <c r="G1168" s="21">
        <v>-3.6700000000000177</v>
      </c>
      <c r="H1168" s="21">
        <v>3.4601000000000002</v>
      </c>
      <c r="I1168" s="21">
        <v>-2.3400000000000087</v>
      </c>
      <c r="J1168" s="19" t="s">
        <v>55</v>
      </c>
      <c r="K1168" s="19" t="s">
        <v>56</v>
      </c>
      <c r="L1168" s="13">
        <v>3.04</v>
      </c>
      <c r="M1168" s="14" t="s">
        <v>381</v>
      </c>
      <c r="N1168" s="14" t="s">
        <v>380</v>
      </c>
      <c r="O1168" s="4">
        <v>42867</v>
      </c>
    </row>
    <row r="1169" spans="1:15">
      <c r="A1169" s="7">
        <v>170003</v>
      </c>
      <c r="B1169" s="7">
        <v>3.35</v>
      </c>
      <c r="C1169" s="18" t="s">
        <v>676</v>
      </c>
      <c r="D1169" s="19">
        <v>0</v>
      </c>
      <c r="E1169" s="20">
        <v>0.75068493150684934</v>
      </c>
      <c r="F1169" s="21">
        <v>3.2999000000000001</v>
      </c>
      <c r="G1169" s="21">
        <v>5.0100000000000033</v>
      </c>
      <c r="H1169" s="21">
        <v>3.2886000000000002</v>
      </c>
      <c r="I1169" s="21">
        <v>1.1299999999999866</v>
      </c>
      <c r="J1169" s="19">
        <v>0</v>
      </c>
      <c r="K1169" s="19" t="s">
        <v>61</v>
      </c>
      <c r="L1169" s="13">
        <v>2.78</v>
      </c>
      <c r="M1169" s="14" t="s">
        <v>677</v>
      </c>
      <c r="N1169" s="14" t="s">
        <v>671</v>
      </c>
      <c r="O1169" s="4">
        <v>42867</v>
      </c>
    </row>
    <row r="1170" spans="1:15">
      <c r="A1170" s="7">
        <v>170003</v>
      </c>
      <c r="B1170" s="7">
        <v>3.34</v>
      </c>
      <c r="C1170" s="18" t="s">
        <v>676</v>
      </c>
      <c r="D1170" s="19">
        <v>0</v>
      </c>
      <c r="E1170" s="20">
        <v>0.75068493150684934</v>
      </c>
      <c r="F1170" s="21">
        <v>3.2999000000000001</v>
      </c>
      <c r="G1170" s="21">
        <v>4.0099999999999802</v>
      </c>
      <c r="H1170" s="21">
        <v>3.2886000000000002</v>
      </c>
      <c r="I1170" s="21">
        <v>1.1299999999999866</v>
      </c>
      <c r="J1170" s="19">
        <v>0</v>
      </c>
      <c r="K1170" s="19" t="s">
        <v>61</v>
      </c>
      <c r="L1170" s="13">
        <v>2.78</v>
      </c>
      <c r="M1170" s="14" t="s">
        <v>677</v>
      </c>
      <c r="N1170" s="14" t="s">
        <v>671</v>
      </c>
      <c r="O1170" s="4">
        <v>42867</v>
      </c>
    </row>
    <row r="1171" spans="1:15">
      <c r="A1171" s="7">
        <v>170003</v>
      </c>
      <c r="B1171" s="7">
        <v>3.33</v>
      </c>
      <c r="C1171" s="18" t="s">
        <v>676</v>
      </c>
      <c r="D1171" s="19">
        <v>0</v>
      </c>
      <c r="E1171" s="20">
        <v>0.75068493150684934</v>
      </c>
      <c r="F1171" s="21">
        <v>3.2999000000000001</v>
      </c>
      <c r="G1171" s="21">
        <v>3.0100000000000016</v>
      </c>
      <c r="H1171" s="21">
        <v>3.2886000000000002</v>
      </c>
      <c r="I1171" s="21">
        <v>1.1299999999999866</v>
      </c>
      <c r="J1171" s="19">
        <v>0</v>
      </c>
      <c r="K1171" s="19" t="s">
        <v>61</v>
      </c>
      <c r="L1171" s="13">
        <v>2.78</v>
      </c>
      <c r="M1171" s="14" t="s">
        <v>677</v>
      </c>
      <c r="N1171" s="14" t="s">
        <v>671</v>
      </c>
      <c r="O1171" s="4">
        <v>42867</v>
      </c>
    </row>
    <row r="1172" spans="1:15">
      <c r="A1172" s="7">
        <v>111710088</v>
      </c>
      <c r="B1172" s="7">
        <v>3.3</v>
      </c>
      <c r="C1172" s="18" t="s">
        <v>724</v>
      </c>
      <c r="D1172" s="19" t="s">
        <v>11</v>
      </c>
      <c r="E1172" s="20">
        <v>3.0136986301369864E-2</v>
      </c>
      <c r="F1172" s="21">
        <v>3.4089999999999998</v>
      </c>
      <c r="G1172" s="21">
        <v>-10.899999999999999</v>
      </c>
      <c r="H1172" s="21">
        <v>3.4297</v>
      </c>
      <c r="I1172" s="21">
        <v>-2.0700000000000163</v>
      </c>
      <c r="J1172" s="19" t="s">
        <v>55</v>
      </c>
      <c r="K1172" s="19" t="s">
        <v>56</v>
      </c>
      <c r="L1172" s="13">
        <v>4.4000000000000004</v>
      </c>
      <c r="M1172" s="14" t="s">
        <v>696</v>
      </c>
      <c r="N1172" s="14" t="s">
        <v>699</v>
      </c>
      <c r="O1172" s="4">
        <v>42867</v>
      </c>
    </row>
    <row r="1173" spans="1:15">
      <c r="A1173" s="7">
        <v>11698320</v>
      </c>
      <c r="B1173" s="7">
        <v>3.3</v>
      </c>
      <c r="C1173" s="18" t="s">
        <v>462</v>
      </c>
      <c r="D1173" s="19" t="s">
        <v>11</v>
      </c>
      <c r="E1173" s="20">
        <v>2.1917808219178082E-2</v>
      </c>
      <c r="F1173" s="21">
        <v>3.3065000000000002</v>
      </c>
      <c r="G1173" s="21">
        <v>-0.65000000000003944</v>
      </c>
      <c r="H1173" s="21">
        <v>3.4493999999999998</v>
      </c>
      <c r="I1173" s="21">
        <v>-14.289999999999958</v>
      </c>
      <c r="J1173" s="19" t="s">
        <v>17</v>
      </c>
      <c r="K1173" s="19" t="s">
        <v>13</v>
      </c>
      <c r="L1173" s="13">
        <v>2.5</v>
      </c>
      <c r="M1173" s="14" t="s">
        <v>461</v>
      </c>
      <c r="N1173" s="14" t="s">
        <v>458</v>
      </c>
      <c r="O1173" s="4">
        <v>42867</v>
      </c>
    </row>
    <row r="1174" spans="1:15">
      <c r="A1174" s="7">
        <v>140225</v>
      </c>
      <c r="B1174" s="7">
        <v>3.3</v>
      </c>
      <c r="C1174" s="18" t="s">
        <v>70</v>
      </c>
      <c r="D1174" s="19">
        <v>0</v>
      </c>
      <c r="E1174" s="20">
        <v>0.43561643835616437</v>
      </c>
      <c r="F1174" s="21">
        <v>3.2597999999999998</v>
      </c>
      <c r="G1174" s="21">
        <v>4.0200000000000014</v>
      </c>
      <c r="H1174" s="21">
        <v>3.2976999999999999</v>
      </c>
      <c r="I1174" s="21">
        <v>-3.7900000000000045</v>
      </c>
      <c r="J1174" s="19" t="s">
        <v>17</v>
      </c>
      <c r="K1174" s="19" t="s">
        <v>19</v>
      </c>
      <c r="L1174" s="13">
        <v>4.33</v>
      </c>
      <c r="M1174" s="14" t="s">
        <v>50</v>
      </c>
      <c r="N1174" s="14" t="s">
        <v>71</v>
      </c>
      <c r="O1174" s="4">
        <v>42867</v>
      </c>
    </row>
    <row r="1175" spans="1:15">
      <c r="A1175" s="7">
        <v>111721012</v>
      </c>
      <c r="B1175" s="7">
        <v>3.25</v>
      </c>
      <c r="C1175" s="18" t="s">
        <v>838</v>
      </c>
      <c r="D1175" s="19" t="s">
        <v>11</v>
      </c>
      <c r="E1175" s="20">
        <v>1.3698630136986301E-2</v>
      </c>
      <c r="F1175" s="21">
        <v>3.3121999999999998</v>
      </c>
      <c r="G1175" s="21">
        <v>-6.2199999999999811</v>
      </c>
      <c r="H1175" s="21">
        <v>3.3252999999999999</v>
      </c>
      <c r="I1175" s="21">
        <v>-1.3100000000000112</v>
      </c>
      <c r="J1175" s="19" t="s">
        <v>12</v>
      </c>
      <c r="K1175" s="19" t="s">
        <v>56</v>
      </c>
      <c r="L1175" s="13">
        <v>4.5002000000000004</v>
      </c>
      <c r="M1175" s="14" t="s">
        <v>692</v>
      </c>
      <c r="N1175" s="14" t="s">
        <v>688</v>
      </c>
      <c r="O1175" s="4">
        <v>42867</v>
      </c>
    </row>
    <row r="1176" spans="1:15">
      <c r="A1176" s="7">
        <v>111718032</v>
      </c>
      <c r="B1176" s="7">
        <v>3.25</v>
      </c>
      <c r="C1176" s="18" t="s">
        <v>1011</v>
      </c>
      <c r="D1176" s="19" t="s">
        <v>11</v>
      </c>
      <c r="E1176" s="20">
        <v>1.3698630136986301E-2</v>
      </c>
      <c r="F1176" s="21">
        <v>3.2522000000000002</v>
      </c>
      <c r="G1176" s="21">
        <v>-0.22000000000002018</v>
      </c>
      <c r="H1176" s="21">
        <v>3.2652999999999999</v>
      </c>
      <c r="I1176" s="21">
        <v>-1.3099999999999667</v>
      </c>
      <c r="J1176" s="19" t="s">
        <v>55</v>
      </c>
      <c r="K1176" s="19" t="s">
        <v>56</v>
      </c>
      <c r="L1176" s="13">
        <v>4.4499000000000004</v>
      </c>
      <c r="M1176" s="14" t="s">
        <v>692</v>
      </c>
      <c r="N1176" s="14" t="s">
        <v>688</v>
      </c>
      <c r="O1176" s="4">
        <v>42867</v>
      </c>
    </row>
    <row r="1177" spans="1:15">
      <c r="A1177" s="7">
        <v>111718032</v>
      </c>
      <c r="B1177" s="7">
        <v>3.25</v>
      </c>
      <c r="C1177" s="18" t="s">
        <v>1011</v>
      </c>
      <c r="D1177" s="19" t="s">
        <v>11</v>
      </c>
      <c r="E1177" s="20">
        <v>1.3698630136986301E-2</v>
      </c>
      <c r="F1177" s="21">
        <v>3.2522000000000002</v>
      </c>
      <c r="G1177" s="21">
        <v>-0.22000000000002018</v>
      </c>
      <c r="H1177" s="21">
        <v>3.2652999999999999</v>
      </c>
      <c r="I1177" s="21">
        <v>-1.3099999999999667</v>
      </c>
      <c r="J1177" s="19" t="s">
        <v>55</v>
      </c>
      <c r="K1177" s="19" t="s">
        <v>56</v>
      </c>
      <c r="L1177" s="13">
        <v>4.4499000000000004</v>
      </c>
      <c r="M1177" s="14" t="s">
        <v>692</v>
      </c>
      <c r="N1177" s="14" t="s">
        <v>688</v>
      </c>
      <c r="O1177" s="4">
        <v>42867</v>
      </c>
    </row>
    <row r="1178" spans="1:15">
      <c r="A1178" s="7">
        <v>111711066</v>
      </c>
      <c r="B1178" s="7">
        <v>3.25</v>
      </c>
      <c r="C1178" s="18" t="s">
        <v>777</v>
      </c>
      <c r="D1178" s="19" t="s">
        <v>11</v>
      </c>
      <c r="E1178" s="20">
        <v>1.643835616438356E-2</v>
      </c>
      <c r="F1178" s="21">
        <v>3.2772000000000001</v>
      </c>
      <c r="G1178" s="21">
        <v>-2.7200000000000113</v>
      </c>
      <c r="H1178" s="21">
        <v>3.2883</v>
      </c>
      <c r="I1178" s="21">
        <v>-1.1099999999999888</v>
      </c>
      <c r="J1178" s="19" t="s">
        <v>55</v>
      </c>
      <c r="K1178" s="19" t="s">
        <v>56</v>
      </c>
      <c r="L1178" s="13">
        <v>4.4499000000000004</v>
      </c>
      <c r="M1178" s="14" t="s">
        <v>693</v>
      </c>
      <c r="N1178" s="14" t="s">
        <v>692</v>
      </c>
      <c r="O1178" s="4">
        <v>42867</v>
      </c>
    </row>
    <row r="1179" spans="1:15">
      <c r="A1179" s="7">
        <v>111711066</v>
      </c>
      <c r="B1179" s="7">
        <v>3.25</v>
      </c>
      <c r="C1179" s="18" t="s">
        <v>777</v>
      </c>
      <c r="D1179" s="19" t="s">
        <v>11</v>
      </c>
      <c r="E1179" s="20">
        <v>1.643835616438356E-2</v>
      </c>
      <c r="F1179" s="21">
        <v>3.2772000000000001</v>
      </c>
      <c r="G1179" s="21">
        <v>-2.7200000000000113</v>
      </c>
      <c r="H1179" s="21">
        <v>3.2883</v>
      </c>
      <c r="I1179" s="21">
        <v>-1.1099999999999888</v>
      </c>
      <c r="J1179" s="19" t="s">
        <v>55</v>
      </c>
      <c r="K1179" s="19" t="s">
        <v>56</v>
      </c>
      <c r="L1179" s="13">
        <v>4.4499000000000004</v>
      </c>
      <c r="M1179" s="14" t="s">
        <v>693</v>
      </c>
      <c r="N1179" s="14" t="s">
        <v>692</v>
      </c>
      <c r="O1179" s="4">
        <v>42867</v>
      </c>
    </row>
    <row r="1180" spans="1:15">
      <c r="A1180" s="7">
        <v>11698834</v>
      </c>
      <c r="B1180" s="7">
        <v>3.25</v>
      </c>
      <c r="C1180" s="18" t="s">
        <v>591</v>
      </c>
      <c r="D1180" s="19" t="s">
        <v>11</v>
      </c>
      <c r="E1180" s="20">
        <v>1.3698630136986301E-2</v>
      </c>
      <c r="F1180" s="21">
        <v>3.2288000000000001</v>
      </c>
      <c r="G1180" s="21">
        <v>2.1199999999999886</v>
      </c>
      <c r="H1180" s="21">
        <v>3.4041999999999999</v>
      </c>
      <c r="I1180" s="21">
        <v>-17.539999999999978</v>
      </c>
      <c r="J1180" s="19" t="s">
        <v>17</v>
      </c>
      <c r="K1180" s="19" t="s">
        <v>13</v>
      </c>
      <c r="L1180" s="13">
        <v>2.98</v>
      </c>
      <c r="M1180" s="14" t="s">
        <v>586</v>
      </c>
      <c r="N1180" s="14" t="s">
        <v>582</v>
      </c>
      <c r="O1180" s="4">
        <v>42867</v>
      </c>
    </row>
    <row r="1181" spans="1:15">
      <c r="A1181" s="7">
        <v>11698834</v>
      </c>
      <c r="B1181" s="7">
        <v>3.25</v>
      </c>
      <c r="C1181" s="18" t="s">
        <v>591</v>
      </c>
      <c r="D1181" s="19" t="s">
        <v>11</v>
      </c>
      <c r="E1181" s="20">
        <v>1.3698630136986301E-2</v>
      </c>
      <c r="F1181" s="21">
        <v>3.2288000000000001</v>
      </c>
      <c r="G1181" s="21">
        <v>2.1199999999999886</v>
      </c>
      <c r="H1181" s="21">
        <v>3.4041999999999999</v>
      </c>
      <c r="I1181" s="21">
        <v>-17.539999999999978</v>
      </c>
      <c r="J1181" s="19" t="s">
        <v>17</v>
      </c>
      <c r="K1181" s="19" t="s">
        <v>13</v>
      </c>
      <c r="L1181" s="13">
        <v>2.98</v>
      </c>
      <c r="M1181" s="14" t="s">
        <v>586</v>
      </c>
      <c r="N1181" s="14" t="s">
        <v>582</v>
      </c>
      <c r="O1181" s="4">
        <v>42867</v>
      </c>
    </row>
    <row r="1182" spans="1:15">
      <c r="A1182" s="7">
        <v>11698834</v>
      </c>
      <c r="B1182" s="7">
        <v>3.25</v>
      </c>
      <c r="C1182" s="18" t="s">
        <v>591</v>
      </c>
      <c r="D1182" s="19" t="s">
        <v>11</v>
      </c>
      <c r="E1182" s="20">
        <v>1.3698630136986301E-2</v>
      </c>
      <c r="F1182" s="21">
        <v>3.2288000000000001</v>
      </c>
      <c r="G1182" s="21">
        <v>2.1199999999999886</v>
      </c>
      <c r="H1182" s="21">
        <v>3.4041999999999999</v>
      </c>
      <c r="I1182" s="21">
        <v>-17.539999999999978</v>
      </c>
      <c r="J1182" s="19" t="s">
        <v>17</v>
      </c>
      <c r="K1182" s="19" t="s">
        <v>13</v>
      </c>
      <c r="L1182" s="13">
        <v>2.98</v>
      </c>
      <c r="M1182" s="14" t="s">
        <v>586</v>
      </c>
      <c r="N1182" s="14" t="s">
        <v>582</v>
      </c>
      <c r="O1182" s="4">
        <v>42867</v>
      </c>
    </row>
    <row r="1183" spans="1:15">
      <c r="A1183" s="7">
        <v>11698303</v>
      </c>
      <c r="B1183" s="7">
        <v>3.25</v>
      </c>
      <c r="C1183" s="18" t="s">
        <v>460</v>
      </c>
      <c r="D1183" s="19" t="s">
        <v>11</v>
      </c>
      <c r="E1183" s="20">
        <v>1.3698630136986301E-2</v>
      </c>
      <c r="F1183" s="21">
        <v>3.2288000000000001</v>
      </c>
      <c r="G1183" s="21">
        <v>2.1199999999999886</v>
      </c>
      <c r="H1183" s="21">
        <v>3.4041999999999999</v>
      </c>
      <c r="I1183" s="21">
        <v>-17.539999999999978</v>
      </c>
      <c r="J1183" s="19" t="s">
        <v>17</v>
      </c>
      <c r="K1183" s="19" t="s">
        <v>13</v>
      </c>
      <c r="L1183" s="13">
        <v>2.5</v>
      </c>
      <c r="M1183" s="14" t="s">
        <v>459</v>
      </c>
      <c r="N1183" s="14" t="s">
        <v>449</v>
      </c>
      <c r="O1183" s="4">
        <v>42867</v>
      </c>
    </row>
    <row r="1184" spans="1:15">
      <c r="A1184" s="7">
        <v>11698303</v>
      </c>
      <c r="B1184" s="7">
        <v>3.25</v>
      </c>
      <c r="C1184" s="18" t="s">
        <v>460</v>
      </c>
      <c r="D1184" s="19" t="s">
        <v>11</v>
      </c>
      <c r="E1184" s="20">
        <v>1.3698630136986301E-2</v>
      </c>
      <c r="F1184" s="21">
        <v>3.2288000000000001</v>
      </c>
      <c r="G1184" s="21">
        <v>2.1199999999999886</v>
      </c>
      <c r="H1184" s="21">
        <v>3.4041999999999999</v>
      </c>
      <c r="I1184" s="21">
        <v>-17.539999999999978</v>
      </c>
      <c r="J1184" s="19" t="s">
        <v>17</v>
      </c>
      <c r="K1184" s="19" t="s">
        <v>13</v>
      </c>
      <c r="L1184" s="13">
        <v>2.5</v>
      </c>
      <c r="M1184" s="14" t="s">
        <v>459</v>
      </c>
      <c r="N1184" s="14" t="s">
        <v>449</v>
      </c>
      <c r="O1184" s="4">
        <v>42867</v>
      </c>
    </row>
    <row r="1185" spans="1:15">
      <c r="A1185" s="7">
        <v>111708044</v>
      </c>
      <c r="B1185" s="7">
        <v>3.2</v>
      </c>
      <c r="C1185" s="18" t="s">
        <v>708</v>
      </c>
      <c r="D1185" s="19" t="s">
        <v>11</v>
      </c>
      <c r="E1185" s="20">
        <v>3.0136986301369864E-2</v>
      </c>
      <c r="F1185" s="21">
        <v>3.4089999999999998</v>
      </c>
      <c r="G1185" s="21">
        <v>-20.899999999999963</v>
      </c>
      <c r="H1185" s="21">
        <v>3.4297</v>
      </c>
      <c r="I1185" s="21">
        <v>-2.0700000000000163</v>
      </c>
      <c r="J1185" s="19" t="s">
        <v>17</v>
      </c>
      <c r="K1185" s="19" t="s">
        <v>56</v>
      </c>
      <c r="L1185" s="13">
        <v>4.4000000000000004</v>
      </c>
      <c r="M1185" s="14" t="s">
        <v>696</v>
      </c>
      <c r="N1185" s="14" t="s">
        <v>699</v>
      </c>
      <c r="O1185" s="4">
        <v>42867</v>
      </c>
    </row>
    <row r="1186" spans="1:15">
      <c r="A1186" s="7">
        <v>140438</v>
      </c>
      <c r="B1186" s="7">
        <v>3.2</v>
      </c>
      <c r="C1186" s="18" t="s">
        <v>312</v>
      </c>
      <c r="D1186" s="19">
        <v>0</v>
      </c>
      <c r="E1186" s="20">
        <v>0.18082191780821918</v>
      </c>
      <c r="F1186" s="21">
        <v>2.9984999999999999</v>
      </c>
      <c r="G1186" s="21">
        <v>20.150000000000023</v>
      </c>
      <c r="H1186" s="21">
        <v>2.9996999999999998</v>
      </c>
      <c r="I1186" s="21">
        <v>-0.11999999999998678</v>
      </c>
      <c r="J1186" s="19" t="s">
        <v>17</v>
      </c>
      <c r="K1186" s="19" t="s">
        <v>19</v>
      </c>
      <c r="L1186" s="13">
        <v>4.72</v>
      </c>
      <c r="M1186" s="14" t="s">
        <v>80</v>
      </c>
      <c r="N1186" s="14" t="s">
        <v>81</v>
      </c>
      <c r="O1186" s="4">
        <v>42867</v>
      </c>
    </row>
    <row r="1187" spans="1:15">
      <c r="A1187" s="7">
        <v>179919</v>
      </c>
      <c r="B1187" s="7">
        <v>3.1</v>
      </c>
      <c r="C1187" s="18" t="s">
        <v>868</v>
      </c>
      <c r="D1187" s="19">
        <v>0</v>
      </c>
      <c r="E1187" s="20">
        <v>0.20273972602739726</v>
      </c>
      <c r="F1187" s="21">
        <v>2.9969000000000001</v>
      </c>
      <c r="G1187" s="21">
        <v>10.309999999999997</v>
      </c>
      <c r="H1187" s="21">
        <v>2.9493999999999998</v>
      </c>
      <c r="I1187" s="21">
        <v>4.750000000000032</v>
      </c>
      <c r="J1187" s="19">
        <v>0</v>
      </c>
      <c r="K1187" s="19" t="s">
        <v>61</v>
      </c>
      <c r="L1187" s="13">
        <v>2.8816000000000002</v>
      </c>
      <c r="M1187" s="14" t="s">
        <v>869</v>
      </c>
      <c r="N1187" s="14" t="s">
        <v>860</v>
      </c>
      <c r="O1187" s="4">
        <v>42867</v>
      </c>
    </row>
    <row r="1188" spans="1:15">
      <c r="A1188" s="7">
        <v>179919</v>
      </c>
      <c r="B1188" s="7">
        <v>3.1</v>
      </c>
      <c r="C1188" s="18" t="s">
        <v>868</v>
      </c>
      <c r="D1188" s="19">
        <v>0</v>
      </c>
      <c r="E1188" s="20">
        <v>0.20273972602739726</v>
      </c>
      <c r="F1188" s="21">
        <v>2.9969000000000001</v>
      </c>
      <c r="G1188" s="21">
        <v>10.309999999999997</v>
      </c>
      <c r="H1188" s="21">
        <v>2.9493999999999998</v>
      </c>
      <c r="I1188" s="21">
        <v>4.750000000000032</v>
      </c>
      <c r="J1188" s="19">
        <v>0</v>
      </c>
      <c r="K1188" s="19" t="s">
        <v>61</v>
      </c>
      <c r="L1188" s="13">
        <v>2.8816000000000002</v>
      </c>
      <c r="M1188" s="14" t="s">
        <v>869</v>
      </c>
      <c r="N1188" s="14" t="s">
        <v>860</v>
      </c>
      <c r="O1188" s="4">
        <v>42867</v>
      </c>
    </row>
    <row r="1189" spans="1:15">
      <c r="A1189" s="7">
        <v>179919</v>
      </c>
      <c r="B1189" s="7">
        <v>3.1</v>
      </c>
      <c r="C1189" s="18" t="s">
        <v>868</v>
      </c>
      <c r="D1189" s="19">
        <v>0</v>
      </c>
      <c r="E1189" s="20">
        <v>0.20273972602739726</v>
      </c>
      <c r="F1189" s="21">
        <v>2.9969000000000001</v>
      </c>
      <c r="G1189" s="21">
        <v>10.309999999999997</v>
      </c>
      <c r="H1189" s="21">
        <v>2.9493999999999998</v>
      </c>
      <c r="I1189" s="21">
        <v>4.750000000000032</v>
      </c>
      <c r="J1189" s="19">
        <v>0</v>
      </c>
      <c r="K1189" s="19" t="s">
        <v>61</v>
      </c>
      <c r="L1189" s="13">
        <v>2.8816000000000002</v>
      </c>
      <c r="M1189" s="14" t="s">
        <v>869</v>
      </c>
      <c r="N1189" s="14" t="s">
        <v>860</v>
      </c>
      <c r="O1189" s="4">
        <v>42867</v>
      </c>
    </row>
    <row r="1190" spans="1:15">
      <c r="A1190" s="7">
        <v>179919</v>
      </c>
      <c r="B1190" s="7">
        <v>3.1</v>
      </c>
      <c r="C1190" s="18" t="s">
        <v>868</v>
      </c>
      <c r="D1190" s="19">
        <v>0</v>
      </c>
      <c r="E1190" s="20">
        <v>0.20273972602739726</v>
      </c>
      <c r="F1190" s="21">
        <v>2.9969000000000001</v>
      </c>
      <c r="G1190" s="21">
        <v>10.309999999999997</v>
      </c>
      <c r="H1190" s="21">
        <v>2.9493999999999998</v>
      </c>
      <c r="I1190" s="21">
        <v>4.750000000000032</v>
      </c>
      <c r="J1190" s="19">
        <v>0</v>
      </c>
      <c r="K1190" s="19" t="s">
        <v>61</v>
      </c>
      <c r="L1190" s="13">
        <v>2.8816000000000002</v>
      </c>
      <c r="M1190" s="14" t="s">
        <v>869</v>
      </c>
      <c r="N1190" s="14" t="s">
        <v>860</v>
      </c>
      <c r="O1190" s="4">
        <v>42867</v>
      </c>
    </row>
    <row r="1191" spans="1:15">
      <c r="A1191" s="7">
        <v>179919</v>
      </c>
      <c r="B1191" s="7">
        <v>3.1</v>
      </c>
      <c r="C1191" s="18" t="s">
        <v>868</v>
      </c>
      <c r="D1191" s="19">
        <v>0</v>
      </c>
      <c r="E1191" s="20">
        <v>0.20273972602739726</v>
      </c>
      <c r="F1191" s="21">
        <v>2.9969000000000001</v>
      </c>
      <c r="G1191" s="21">
        <v>10.309999999999997</v>
      </c>
      <c r="H1191" s="21">
        <v>2.9493999999999998</v>
      </c>
      <c r="I1191" s="21">
        <v>4.750000000000032</v>
      </c>
      <c r="J1191" s="19">
        <v>0</v>
      </c>
      <c r="K1191" s="19" t="s">
        <v>61</v>
      </c>
      <c r="L1191" s="13">
        <v>2.8816000000000002</v>
      </c>
      <c r="M1191" s="14" t="s">
        <v>869</v>
      </c>
      <c r="N1191" s="14" t="s">
        <v>860</v>
      </c>
      <c r="O1191" s="4">
        <v>42867</v>
      </c>
    </row>
    <row r="1192" spans="1:15">
      <c r="A1192" s="7">
        <v>179907</v>
      </c>
      <c r="B1192" s="7">
        <v>3.1</v>
      </c>
      <c r="C1192" s="18" t="s">
        <v>689</v>
      </c>
      <c r="D1192" s="19">
        <v>0</v>
      </c>
      <c r="E1192" s="20">
        <v>0.26027397260273971</v>
      </c>
      <c r="F1192" s="21">
        <v>3.0966</v>
      </c>
      <c r="G1192" s="21">
        <v>0.34000000000000696</v>
      </c>
      <c r="H1192" s="21">
        <v>3.0918999999999999</v>
      </c>
      <c r="I1192" s="21">
        <v>0.47000000000001485</v>
      </c>
      <c r="J1192" s="19">
        <v>0</v>
      </c>
      <c r="K1192" s="19" t="s">
        <v>61</v>
      </c>
      <c r="L1192" s="13">
        <v>2.6499000000000001</v>
      </c>
      <c r="M1192" s="14" t="s">
        <v>688</v>
      </c>
      <c r="N1192" s="14" t="s">
        <v>684</v>
      </c>
      <c r="O1192" s="4">
        <v>42867</v>
      </c>
    </row>
    <row r="1193" spans="1:15">
      <c r="A1193" s="7">
        <v>160308</v>
      </c>
      <c r="B1193" s="7">
        <v>3.1</v>
      </c>
      <c r="C1193" s="18" t="s">
        <v>439</v>
      </c>
      <c r="D1193" s="19">
        <v>0</v>
      </c>
      <c r="E1193" s="20">
        <v>0.20547945205479451</v>
      </c>
      <c r="F1193" s="21">
        <v>3.0486</v>
      </c>
      <c r="G1193" s="21">
        <v>5.1400000000000112</v>
      </c>
      <c r="H1193" s="21">
        <v>3.0678999999999998</v>
      </c>
      <c r="I1193" s="21">
        <v>-1.9299999999999873</v>
      </c>
      <c r="J1193" s="19">
        <v>0</v>
      </c>
      <c r="K1193" s="19" t="s">
        <v>19</v>
      </c>
      <c r="L1193" s="13">
        <v>2.2000000000000002</v>
      </c>
      <c r="M1193" s="14" t="s">
        <v>431</v>
      </c>
      <c r="N1193" s="14" t="s">
        <v>427</v>
      </c>
      <c r="O1193" s="4">
        <v>42867</v>
      </c>
    </row>
    <row r="1194" spans="1:15">
      <c r="A1194" s="7">
        <v>160018</v>
      </c>
      <c r="B1194" s="7">
        <v>3.1</v>
      </c>
      <c r="C1194" s="18" t="s">
        <v>437</v>
      </c>
      <c r="D1194" s="19">
        <v>0</v>
      </c>
      <c r="E1194" s="20">
        <v>0.23287671232876711</v>
      </c>
      <c r="F1194" s="21">
        <v>3.0579000000000001</v>
      </c>
      <c r="G1194" s="21">
        <v>4.2100000000000026</v>
      </c>
      <c r="H1194" s="21">
        <v>3.0554999999999999</v>
      </c>
      <c r="I1194" s="21">
        <v>0.24000000000001798</v>
      </c>
      <c r="J1194" s="19">
        <v>0</v>
      </c>
      <c r="K1194" s="19" t="s">
        <v>61</v>
      </c>
      <c r="L1194" s="13">
        <v>2.14</v>
      </c>
      <c r="M1194" s="14" t="s">
        <v>438</v>
      </c>
      <c r="N1194" s="14" t="s">
        <v>432</v>
      </c>
      <c r="O1194" s="4">
        <v>42867</v>
      </c>
    </row>
    <row r="1195" spans="1:15">
      <c r="A1195" s="7">
        <v>140347</v>
      </c>
      <c r="B1195" s="7">
        <v>3.1</v>
      </c>
      <c r="C1195" s="18" t="s">
        <v>296</v>
      </c>
      <c r="D1195" s="19">
        <v>0</v>
      </c>
      <c r="E1195" s="20">
        <v>0.23561643835616439</v>
      </c>
      <c r="F1195" s="21">
        <v>3.1252</v>
      </c>
      <c r="G1195" s="21">
        <v>-2.5199999999999889</v>
      </c>
      <c r="H1195" s="21">
        <v>3.0977999999999999</v>
      </c>
      <c r="I1195" s="21">
        <v>2.7400000000000091</v>
      </c>
      <c r="J1195" s="19" t="s">
        <v>17</v>
      </c>
      <c r="K1195" s="19" t="s">
        <v>19</v>
      </c>
      <c r="L1195" s="13">
        <v>4.6913999999999998</v>
      </c>
      <c r="M1195" s="14" t="s">
        <v>304</v>
      </c>
      <c r="N1195" s="14" t="s">
        <v>349</v>
      </c>
      <c r="O1195" s="4">
        <v>42867</v>
      </c>
    </row>
    <row r="1196" spans="1:15">
      <c r="A1196" s="7">
        <v>179920</v>
      </c>
      <c r="B1196" s="7">
        <v>3.05</v>
      </c>
      <c r="C1196" s="18" t="s">
        <v>900</v>
      </c>
      <c r="D1196" s="19">
        <v>0</v>
      </c>
      <c r="E1196" s="20">
        <v>0.22465753424657534</v>
      </c>
      <c r="F1196" s="21">
        <v>3.0430999999999999</v>
      </c>
      <c r="G1196" s="21">
        <v>0.68999999999999062</v>
      </c>
      <c r="H1196" s="21">
        <v>3.0308999999999999</v>
      </c>
      <c r="I1196" s="21">
        <v>1.2199999999999989</v>
      </c>
      <c r="J1196" s="19">
        <v>0</v>
      </c>
      <c r="K1196" s="19" t="s">
        <v>61</v>
      </c>
      <c r="L1196" s="13">
        <v>2.9443000000000001</v>
      </c>
      <c r="M1196" s="14" t="s">
        <v>886</v>
      </c>
      <c r="N1196" s="14" t="s">
        <v>879</v>
      </c>
      <c r="O1196" s="4">
        <v>42867</v>
      </c>
    </row>
    <row r="1197" spans="1:15">
      <c r="A1197" s="7">
        <v>160308</v>
      </c>
      <c r="B1197" s="7">
        <v>3.05</v>
      </c>
      <c r="C1197" s="18" t="s">
        <v>439</v>
      </c>
      <c r="D1197" s="19">
        <v>0</v>
      </c>
      <c r="E1197" s="20">
        <v>0.20547945205479451</v>
      </c>
      <c r="F1197" s="21">
        <v>3.0486</v>
      </c>
      <c r="G1197" s="21">
        <v>0.13999999999998458</v>
      </c>
      <c r="H1197" s="21">
        <v>3.0678999999999998</v>
      </c>
      <c r="I1197" s="21">
        <v>-1.9299999999999873</v>
      </c>
      <c r="J1197" s="19">
        <v>0</v>
      </c>
      <c r="K1197" s="19" t="s">
        <v>19</v>
      </c>
      <c r="L1197" s="13">
        <v>2.2000000000000002</v>
      </c>
      <c r="M1197" s="14" t="s">
        <v>431</v>
      </c>
      <c r="N1197" s="14" t="s">
        <v>427</v>
      </c>
      <c r="O1197" s="4">
        <v>42867</v>
      </c>
    </row>
    <row r="1198" spans="1:15">
      <c r="A1198" s="7">
        <v>70209</v>
      </c>
      <c r="B1198" s="7">
        <v>3</v>
      </c>
      <c r="C1198" s="18" t="s">
        <v>478</v>
      </c>
      <c r="D1198" s="19">
        <v>0</v>
      </c>
      <c r="E1198" s="20">
        <v>8.7671232876712329E-2</v>
      </c>
      <c r="F1198" s="21">
        <v>3.008</v>
      </c>
      <c r="G1198" s="21">
        <v>-0.80000000000000071</v>
      </c>
      <c r="H1198" s="21">
        <v>2.9843000000000002</v>
      </c>
      <c r="I1198" s="21">
        <v>2.3699999999999832</v>
      </c>
      <c r="J1198" s="19" t="s">
        <v>17</v>
      </c>
      <c r="K1198" s="19" t="s">
        <v>19</v>
      </c>
      <c r="L1198" s="13">
        <v>3.68</v>
      </c>
      <c r="M1198" s="14" t="s">
        <v>479</v>
      </c>
      <c r="N1198" s="14" t="s">
        <v>480</v>
      </c>
      <c r="O1198" s="4">
        <v>42867</v>
      </c>
    </row>
    <row r="1199" spans="1:15">
      <c r="A1199" s="7">
        <v>140335</v>
      </c>
      <c r="B1199" s="7">
        <v>2.93</v>
      </c>
      <c r="C1199" s="18" t="s">
        <v>510</v>
      </c>
      <c r="D1199" s="19">
        <v>0</v>
      </c>
      <c r="E1199" s="20">
        <v>8.2191780821917804E-2</v>
      </c>
      <c r="F1199" s="21">
        <v>2.9805000000000001</v>
      </c>
      <c r="G1199" s="21">
        <v>-5.0499999999999989</v>
      </c>
      <c r="H1199" s="21">
        <v>3.0141</v>
      </c>
      <c r="I1199" s="21">
        <v>-3.3599999999999852</v>
      </c>
      <c r="J1199" s="19" t="s">
        <v>17</v>
      </c>
      <c r="K1199" s="19" t="s">
        <v>19</v>
      </c>
      <c r="L1199" s="13">
        <v>4.5599999999999996</v>
      </c>
      <c r="M1199" s="14" t="s">
        <v>168</v>
      </c>
      <c r="N1199" s="14" t="s">
        <v>265</v>
      </c>
      <c r="O1199" s="4">
        <v>42867</v>
      </c>
    </row>
    <row r="1200" spans="1:15">
      <c r="A1200" s="7">
        <v>100215</v>
      </c>
      <c r="B1200" s="7">
        <v>2.85</v>
      </c>
      <c r="C1200" s="18" t="s">
        <v>752</v>
      </c>
      <c r="D1200" s="19">
        <v>0</v>
      </c>
      <c r="E1200" s="20">
        <v>6.0273972602739728E-2</v>
      </c>
      <c r="F1200" s="21">
        <v>2.8166000000000002</v>
      </c>
      <c r="G1200" s="21">
        <v>3.3399999999999874</v>
      </c>
      <c r="H1200" s="21">
        <v>2.8488000000000002</v>
      </c>
      <c r="I1200" s="21">
        <v>-3.2200000000000006</v>
      </c>
      <c r="J1200" s="19">
        <v>0</v>
      </c>
      <c r="K1200" s="19" t="s">
        <v>19</v>
      </c>
      <c r="L1200" s="13">
        <v>3.21</v>
      </c>
      <c r="M1200" s="14" t="s">
        <v>368</v>
      </c>
      <c r="N1200" s="14" t="s">
        <v>342</v>
      </c>
      <c r="O1200" s="4">
        <v>42867</v>
      </c>
    </row>
    <row r="1201" spans="1:15">
      <c r="A1201" s="7">
        <v>179909</v>
      </c>
      <c r="B1201" s="7">
        <v>2.7</v>
      </c>
      <c r="C1201" s="18" t="s">
        <v>732</v>
      </c>
      <c r="D1201" s="19">
        <v>0</v>
      </c>
      <c r="E1201" s="20">
        <v>4.9315068493150684E-2</v>
      </c>
      <c r="F1201" s="21">
        <v>2.7088999999999999</v>
      </c>
      <c r="G1201" s="21">
        <v>-0.88999999999996859</v>
      </c>
      <c r="H1201" s="21">
        <v>2.7412000000000001</v>
      </c>
      <c r="I1201" s="21">
        <v>-3.2300000000000217</v>
      </c>
      <c r="J1201" s="19">
        <v>0</v>
      </c>
      <c r="K1201" s="19" t="s">
        <v>61</v>
      </c>
      <c r="L1201" s="13">
        <v>2.5344000000000002</v>
      </c>
      <c r="M1201" s="14" t="s">
        <v>731</v>
      </c>
      <c r="N1201" s="14" t="s">
        <v>695</v>
      </c>
      <c r="O1201" s="4">
        <v>42867</v>
      </c>
    </row>
    <row r="1202" spans="1:15">
      <c r="A1202" s="7">
        <v>179909</v>
      </c>
      <c r="B1202" s="7">
        <v>2.7</v>
      </c>
      <c r="C1202" s="18" t="s">
        <v>732</v>
      </c>
      <c r="D1202" s="19">
        <v>0</v>
      </c>
      <c r="E1202" s="20">
        <v>4.9315068493150684E-2</v>
      </c>
      <c r="F1202" s="21">
        <v>2.7088999999999999</v>
      </c>
      <c r="G1202" s="21">
        <v>-0.88999999999996859</v>
      </c>
      <c r="H1202" s="21">
        <v>2.7412000000000001</v>
      </c>
      <c r="I1202" s="21">
        <v>-3.2300000000000217</v>
      </c>
      <c r="J1202" s="19">
        <v>0</v>
      </c>
      <c r="K1202" s="19" t="s">
        <v>61</v>
      </c>
      <c r="L1202" s="13">
        <v>2.5344000000000002</v>
      </c>
      <c r="M1202" s="14" t="s">
        <v>731</v>
      </c>
      <c r="N1202" s="14" t="s">
        <v>695</v>
      </c>
      <c r="O1202" s="4">
        <v>42867</v>
      </c>
    </row>
    <row r="1203" spans="1:15">
      <c r="A1203" s="7">
        <v>100015</v>
      </c>
      <c r="B1203" s="7">
        <v>2.6</v>
      </c>
      <c r="C1203" s="18" t="s">
        <v>649</v>
      </c>
      <c r="D1203" s="19">
        <v>0</v>
      </c>
      <c r="E1203" s="20">
        <v>4.3835616438356165E-2</v>
      </c>
      <c r="F1203" s="21">
        <v>2.6996000000000002</v>
      </c>
      <c r="G1203" s="21">
        <v>-9.9600000000000133</v>
      </c>
      <c r="H1203" s="21">
        <v>2.7336999999999998</v>
      </c>
      <c r="I1203" s="21">
        <v>-3.4099999999999575</v>
      </c>
      <c r="J1203" s="19" t="s">
        <v>28</v>
      </c>
      <c r="K1203" s="19" t="s">
        <v>61</v>
      </c>
      <c r="L1203" s="13">
        <v>2.83</v>
      </c>
      <c r="M1203" s="14" t="s">
        <v>562</v>
      </c>
      <c r="N1203" s="14" t="s">
        <v>342</v>
      </c>
      <c r="O1203" s="4">
        <v>42867</v>
      </c>
    </row>
    <row r="1204" spans="1:15">
      <c r="A1204" s="7" t="s">
        <v>754</v>
      </c>
      <c r="B1204" s="7">
        <v>6.8500000000000005</v>
      </c>
      <c r="C1204" s="18" t="s">
        <v>756</v>
      </c>
      <c r="D1204" s="19" t="s">
        <v>36</v>
      </c>
      <c r="E1204" s="20">
        <v>1.8849315068493151</v>
      </c>
      <c r="F1204" s="21">
        <v>6.3029999999999999</v>
      </c>
      <c r="G1204" s="21">
        <v>54.70000000000006</v>
      </c>
      <c r="H1204" s="21">
        <v>6.3292000000000002</v>
      </c>
      <c r="I1204" s="21">
        <v>-2.6200000000000223</v>
      </c>
      <c r="J1204" s="19" t="s">
        <v>26</v>
      </c>
      <c r="K1204" s="19" t="s">
        <v>121</v>
      </c>
      <c r="L1204" s="13">
        <v>5.8</v>
      </c>
      <c r="M1204" s="14" t="s">
        <v>200</v>
      </c>
      <c r="N1204" s="14" t="s">
        <v>41</v>
      </c>
      <c r="O1204" s="4">
        <v>42867</v>
      </c>
    </row>
    <row r="1205" spans="1:15">
      <c r="A1205" s="7" t="s">
        <v>908</v>
      </c>
      <c r="B1205" s="7">
        <v>6.35</v>
      </c>
      <c r="C1205" s="18" t="s">
        <v>410</v>
      </c>
      <c r="D1205" s="19" t="s">
        <v>36</v>
      </c>
      <c r="E1205" s="20">
        <v>2.6931506849315068</v>
      </c>
      <c r="F1205" s="21">
        <v>6.8780000000000001</v>
      </c>
      <c r="G1205" s="21">
        <v>-52.800000000000047</v>
      </c>
      <c r="H1205" s="21">
        <v>6.8602999999999996</v>
      </c>
      <c r="I1205" s="21">
        <v>1.7700000000000493</v>
      </c>
      <c r="J1205" s="19" t="s">
        <v>144</v>
      </c>
      <c r="K1205" s="19" t="s">
        <v>121</v>
      </c>
      <c r="L1205" s="13">
        <v>7.5</v>
      </c>
      <c r="M1205" s="14" t="s">
        <v>134</v>
      </c>
      <c r="N1205" s="14" t="s">
        <v>356</v>
      </c>
      <c r="O1205" s="4">
        <v>42867</v>
      </c>
    </row>
    <row r="1206" spans="1:15">
      <c r="A1206" s="7" t="s">
        <v>908</v>
      </c>
      <c r="B1206" s="7">
        <v>6.35</v>
      </c>
      <c r="C1206" s="18" t="s">
        <v>410</v>
      </c>
      <c r="D1206" s="19" t="s">
        <v>36</v>
      </c>
      <c r="E1206" s="20">
        <v>2.6931506849315068</v>
      </c>
      <c r="F1206" s="21">
        <v>6.8780000000000001</v>
      </c>
      <c r="G1206" s="21">
        <v>-52.800000000000047</v>
      </c>
      <c r="H1206" s="21">
        <v>6.8602999999999996</v>
      </c>
      <c r="I1206" s="21">
        <v>1.7700000000000493</v>
      </c>
      <c r="J1206" s="19" t="s">
        <v>144</v>
      </c>
      <c r="K1206" s="19" t="s">
        <v>121</v>
      </c>
      <c r="L1206" s="13">
        <v>7.5</v>
      </c>
      <c r="M1206" s="14" t="s">
        <v>134</v>
      </c>
      <c r="N1206" s="14" t="s">
        <v>356</v>
      </c>
      <c r="O1206" s="4">
        <v>42867</v>
      </c>
    </row>
    <row r="1207" spans="1:15">
      <c r="A1207" s="7">
        <v>101677001</v>
      </c>
      <c r="B1207" s="7">
        <v>5.75</v>
      </c>
      <c r="C1207" s="18" t="s">
        <v>419</v>
      </c>
      <c r="D1207" s="19" t="s">
        <v>11</v>
      </c>
      <c r="E1207" s="20">
        <v>3.8739726027397259</v>
      </c>
      <c r="F1207" s="21">
        <v>5.8056000000000001</v>
      </c>
      <c r="G1207" s="21">
        <v>-5.5600000000000094</v>
      </c>
      <c r="H1207" s="21">
        <v>5.7510000000000003</v>
      </c>
      <c r="I1207" s="21">
        <v>5.459999999999976</v>
      </c>
      <c r="J1207" s="19" t="s">
        <v>12</v>
      </c>
      <c r="K1207" s="19" t="s">
        <v>45</v>
      </c>
      <c r="L1207" s="13">
        <v>4</v>
      </c>
      <c r="M1207" s="14" t="s">
        <v>44</v>
      </c>
      <c r="N1207" s="14" t="s">
        <v>179</v>
      </c>
      <c r="O1207" s="4">
        <v>42867</v>
      </c>
    </row>
    <row r="1208" spans="1:15">
      <c r="A1208" s="7">
        <v>101677001</v>
      </c>
      <c r="B1208" s="7">
        <v>5.75</v>
      </c>
      <c r="C1208" s="18" t="s">
        <v>419</v>
      </c>
      <c r="D1208" s="19" t="s">
        <v>11</v>
      </c>
      <c r="E1208" s="20">
        <v>3.8739726027397259</v>
      </c>
      <c r="F1208" s="21">
        <v>5.8056000000000001</v>
      </c>
      <c r="G1208" s="21">
        <v>-5.5600000000000094</v>
      </c>
      <c r="H1208" s="21">
        <v>5.7510000000000003</v>
      </c>
      <c r="I1208" s="21">
        <v>5.459999999999976</v>
      </c>
      <c r="J1208" s="19" t="s">
        <v>12</v>
      </c>
      <c r="K1208" s="19" t="s">
        <v>45</v>
      </c>
      <c r="L1208" s="13">
        <v>4</v>
      </c>
      <c r="M1208" s="14" t="s">
        <v>44</v>
      </c>
      <c r="N1208" s="14" t="s">
        <v>179</v>
      </c>
      <c r="O1208" s="4">
        <v>42867</v>
      </c>
    </row>
    <row r="1209" spans="1:15">
      <c r="A1209" s="7">
        <v>101577002</v>
      </c>
      <c r="B1209" s="7">
        <v>5.75</v>
      </c>
      <c r="C1209" s="18" t="s">
        <v>170</v>
      </c>
      <c r="D1209" s="19" t="s">
        <v>11</v>
      </c>
      <c r="E1209" s="20">
        <v>3.6356164383561644</v>
      </c>
      <c r="F1209" s="21">
        <v>5.8013000000000003</v>
      </c>
      <c r="G1209" s="21">
        <v>-5.1300000000000345</v>
      </c>
      <c r="H1209" s="21">
        <v>5.7500999999999998</v>
      </c>
      <c r="I1209" s="21">
        <v>5.1200000000000578</v>
      </c>
      <c r="J1209" s="19" t="s">
        <v>12</v>
      </c>
      <c r="K1209" s="19" t="s">
        <v>45</v>
      </c>
      <c r="L1209" s="13">
        <v>4</v>
      </c>
      <c r="M1209" s="14" t="s">
        <v>112</v>
      </c>
      <c r="N1209" s="14" t="s">
        <v>138</v>
      </c>
      <c r="O1209" s="4">
        <v>42867</v>
      </c>
    </row>
    <row r="1210" spans="1:15">
      <c r="A1210" s="7">
        <v>11787001</v>
      </c>
      <c r="B1210" s="7">
        <v>5.75</v>
      </c>
      <c r="C1210" s="18" t="s">
        <v>1012</v>
      </c>
      <c r="D1210" s="19" t="s">
        <v>25</v>
      </c>
      <c r="E1210" s="20">
        <v>0.53150684931506853</v>
      </c>
      <c r="F1210" s="21">
        <v>5.6791999999999998</v>
      </c>
      <c r="G1210" s="21">
        <v>7.0800000000000196</v>
      </c>
      <c r="H1210" s="21">
        <v>5.6791</v>
      </c>
      <c r="I1210" s="21">
        <v>9.9999999999766942E-3</v>
      </c>
      <c r="J1210" s="19" t="s">
        <v>12</v>
      </c>
      <c r="K1210" s="19" t="s">
        <v>13</v>
      </c>
      <c r="L1210" s="13">
        <v>4.74</v>
      </c>
      <c r="M1210" s="14" t="s">
        <v>703</v>
      </c>
      <c r="N1210" s="14" t="s">
        <v>700</v>
      </c>
      <c r="O1210" s="4">
        <v>42867</v>
      </c>
    </row>
    <row r="1211" spans="1:15">
      <c r="A1211" s="7">
        <v>1680129</v>
      </c>
      <c r="B1211" s="7">
        <v>5.67</v>
      </c>
      <c r="C1211" s="18" t="s">
        <v>178</v>
      </c>
      <c r="D1211" s="19" t="s">
        <v>36</v>
      </c>
      <c r="E1211" s="20">
        <v>5.8712328767123285</v>
      </c>
      <c r="F1211" s="21">
        <v>5.6698000000000004</v>
      </c>
      <c r="G1211" s="21">
        <v>1.9999999999953388E-2</v>
      </c>
      <c r="H1211" s="21">
        <v>5.6334</v>
      </c>
      <c r="I1211" s="21">
        <v>3.6400000000000432</v>
      </c>
      <c r="J1211" s="19" t="s">
        <v>12</v>
      </c>
      <c r="K1211" s="19" t="s">
        <v>52</v>
      </c>
      <c r="L1211" s="13">
        <v>3.95</v>
      </c>
      <c r="M1211" s="14" t="s">
        <v>41</v>
      </c>
      <c r="N1211" s="14" t="s">
        <v>179</v>
      </c>
      <c r="O1211" s="4">
        <v>42867</v>
      </c>
    </row>
    <row r="1212" spans="1:15">
      <c r="A1212" s="7">
        <v>101659018</v>
      </c>
      <c r="B1212" s="7">
        <v>5.6000000000000005</v>
      </c>
      <c r="C1212" s="18" t="s">
        <v>467</v>
      </c>
      <c r="D1212" s="19" t="s">
        <v>25</v>
      </c>
      <c r="E1212" s="20">
        <v>1.8712328767123287</v>
      </c>
      <c r="F1212" s="21">
        <v>5.5987</v>
      </c>
      <c r="G1212" s="21">
        <v>0.1300000000000523</v>
      </c>
      <c r="H1212" s="21">
        <v>5.6097000000000001</v>
      </c>
      <c r="I1212" s="21">
        <v>-1.1000000000000121</v>
      </c>
      <c r="J1212" s="19" t="s">
        <v>28</v>
      </c>
      <c r="K1212" s="19" t="s">
        <v>45</v>
      </c>
      <c r="L1212" s="13">
        <v>4.59</v>
      </c>
      <c r="M1212" s="14" t="s">
        <v>44</v>
      </c>
      <c r="N1212" s="14" t="s">
        <v>179</v>
      </c>
      <c r="O1212" s="4">
        <v>42867</v>
      </c>
    </row>
    <row r="1213" spans="1:15">
      <c r="A1213" s="7">
        <v>101462011</v>
      </c>
      <c r="B1213" s="7">
        <v>5.45</v>
      </c>
      <c r="C1213" s="18" t="s">
        <v>1013</v>
      </c>
      <c r="D1213" s="19" t="s">
        <v>25</v>
      </c>
      <c r="E1213" s="20">
        <v>2.0082191780821916</v>
      </c>
      <c r="F1213" s="21">
        <v>5.3315000000000001</v>
      </c>
      <c r="G1213" s="21">
        <v>11.850000000000005</v>
      </c>
      <c r="H1213" s="21">
        <v>5.2606999999999999</v>
      </c>
      <c r="I1213" s="21">
        <v>7.0800000000000196</v>
      </c>
      <c r="J1213" s="19" t="s">
        <v>12</v>
      </c>
      <c r="K1213" s="19" t="s">
        <v>45</v>
      </c>
      <c r="L1213" s="13">
        <v>7.2</v>
      </c>
      <c r="M1213" s="14" t="s">
        <v>216</v>
      </c>
      <c r="N1213" s="14" t="s">
        <v>222</v>
      </c>
      <c r="O1213" s="4">
        <v>42867</v>
      </c>
    </row>
    <row r="1214" spans="1:15">
      <c r="A1214" s="7">
        <v>101462011</v>
      </c>
      <c r="B1214" s="7">
        <v>5.45</v>
      </c>
      <c r="C1214" s="18" t="s">
        <v>1013</v>
      </c>
      <c r="D1214" s="19" t="s">
        <v>25</v>
      </c>
      <c r="E1214" s="20">
        <v>2.0082191780821916</v>
      </c>
      <c r="F1214" s="21">
        <v>5.3315000000000001</v>
      </c>
      <c r="G1214" s="21">
        <v>11.850000000000005</v>
      </c>
      <c r="H1214" s="21">
        <v>5.2606999999999999</v>
      </c>
      <c r="I1214" s="21">
        <v>7.0800000000000196</v>
      </c>
      <c r="J1214" s="19" t="s">
        <v>12</v>
      </c>
      <c r="K1214" s="19" t="s">
        <v>45</v>
      </c>
      <c r="L1214" s="13">
        <v>7.2</v>
      </c>
      <c r="M1214" s="14" t="s">
        <v>216</v>
      </c>
      <c r="N1214" s="14" t="s">
        <v>222</v>
      </c>
      <c r="O1214" s="4">
        <v>42867</v>
      </c>
    </row>
    <row r="1215" spans="1:15">
      <c r="A1215" s="7">
        <v>101659026</v>
      </c>
      <c r="B1215" s="7">
        <v>5.4</v>
      </c>
      <c r="C1215" s="18" t="s">
        <v>877</v>
      </c>
      <c r="D1215" s="19" t="s">
        <v>25</v>
      </c>
      <c r="E1215" s="20">
        <v>3.9315068493150687</v>
      </c>
      <c r="F1215" s="21">
        <v>5.3071999999999999</v>
      </c>
      <c r="G1215" s="21">
        <v>9.2800000000000438</v>
      </c>
      <c r="H1215" s="21">
        <v>5.2511999999999999</v>
      </c>
      <c r="I1215" s="21">
        <v>5.600000000000005</v>
      </c>
      <c r="J1215" s="19" t="s">
        <v>12</v>
      </c>
      <c r="K1215" s="19" t="s">
        <v>45</v>
      </c>
      <c r="L1215" s="13">
        <v>3.7</v>
      </c>
      <c r="M1215" s="14" t="s">
        <v>65</v>
      </c>
      <c r="N1215" s="14" t="s">
        <v>66</v>
      </c>
      <c r="O1215" s="4">
        <v>42867</v>
      </c>
    </row>
    <row r="1216" spans="1:15">
      <c r="A1216" s="7">
        <v>11698519</v>
      </c>
      <c r="B1216" s="7">
        <v>5.4</v>
      </c>
      <c r="C1216" s="18" t="s">
        <v>710</v>
      </c>
      <c r="D1216" s="19" t="s">
        <v>25</v>
      </c>
      <c r="E1216" s="20">
        <v>0.12602739726027398</v>
      </c>
      <c r="F1216" s="21">
        <v>5.2069999999999999</v>
      </c>
      <c r="G1216" s="21">
        <v>19.30000000000005</v>
      </c>
      <c r="H1216" s="21">
        <v>5.1180000000000003</v>
      </c>
      <c r="I1216" s="21">
        <v>8.8999999999999524</v>
      </c>
      <c r="J1216" s="19" t="s">
        <v>12</v>
      </c>
      <c r="K1216" s="19" t="s">
        <v>13</v>
      </c>
      <c r="L1216" s="13">
        <v>5.2</v>
      </c>
      <c r="M1216" s="14" t="s">
        <v>518</v>
      </c>
      <c r="N1216" s="14" t="s">
        <v>517</v>
      </c>
      <c r="O1216" s="4">
        <v>42867</v>
      </c>
    </row>
    <row r="1217" spans="1:15">
      <c r="A1217" s="7">
        <v>101569011</v>
      </c>
      <c r="B1217" s="7">
        <v>5.3100000000000005</v>
      </c>
      <c r="C1217" s="18" t="s">
        <v>730</v>
      </c>
      <c r="D1217" s="19" t="s">
        <v>25</v>
      </c>
      <c r="E1217" s="20">
        <v>1.0246575342465754</v>
      </c>
      <c r="F1217" s="21">
        <v>5.3074000000000003</v>
      </c>
      <c r="G1217" s="21">
        <v>0.26000000000001577</v>
      </c>
      <c r="H1217" s="21">
        <v>5.2640000000000002</v>
      </c>
      <c r="I1217" s="21">
        <v>4.3400000000000105</v>
      </c>
      <c r="J1217" s="19" t="s">
        <v>12</v>
      </c>
      <c r="K1217" s="19" t="s">
        <v>45</v>
      </c>
      <c r="L1217" s="13">
        <v>4.67</v>
      </c>
      <c r="M1217" s="14" t="s">
        <v>204</v>
      </c>
      <c r="N1217" s="14" t="s">
        <v>59</v>
      </c>
      <c r="O1217" s="4">
        <v>42867</v>
      </c>
    </row>
    <row r="1218" spans="1:15">
      <c r="A1218" s="7" t="s">
        <v>762</v>
      </c>
      <c r="B1218" s="7">
        <v>5.3</v>
      </c>
      <c r="C1218" s="18" t="s">
        <v>766</v>
      </c>
      <c r="D1218" s="19" t="s">
        <v>36</v>
      </c>
      <c r="E1218" s="20">
        <v>1.1561643835616437</v>
      </c>
      <c r="F1218" s="21">
        <v>5.6608000000000001</v>
      </c>
      <c r="G1218" s="21">
        <v>-36.080000000000027</v>
      </c>
      <c r="H1218" s="21">
        <v>5.7100999999999997</v>
      </c>
      <c r="I1218" s="21">
        <v>-4.9299999999999677</v>
      </c>
      <c r="J1218" s="19" t="s">
        <v>12</v>
      </c>
      <c r="K1218" s="19" t="s">
        <v>19</v>
      </c>
      <c r="L1218" s="13">
        <v>6.25</v>
      </c>
      <c r="M1218" s="14" t="s">
        <v>245</v>
      </c>
      <c r="N1218" s="14" t="s">
        <v>90</v>
      </c>
      <c r="O1218" s="4">
        <v>42867</v>
      </c>
    </row>
    <row r="1219" spans="1:15">
      <c r="A1219" s="7">
        <v>1622011</v>
      </c>
      <c r="B1219" s="7">
        <v>5.2200000000000006</v>
      </c>
      <c r="C1219" s="18" t="s">
        <v>1014</v>
      </c>
      <c r="D1219" s="19" t="s">
        <v>25</v>
      </c>
      <c r="E1219" s="20">
        <v>2.2328767123287672</v>
      </c>
      <c r="F1219" s="21">
        <v>5.2255000000000003</v>
      </c>
      <c r="G1219" s="21">
        <v>-0.54999999999996163</v>
      </c>
      <c r="H1219" s="21">
        <v>5.2126999999999999</v>
      </c>
      <c r="I1219" s="21">
        <v>1.2800000000000367</v>
      </c>
      <c r="J1219" s="19" t="s">
        <v>26</v>
      </c>
      <c r="K1219" s="19" t="s">
        <v>19</v>
      </c>
      <c r="L1219" s="13">
        <v>3.18</v>
      </c>
      <c r="M1219" s="14" t="s">
        <v>438</v>
      </c>
      <c r="N1219" s="14" t="s">
        <v>432</v>
      </c>
      <c r="O1219" s="4">
        <v>42867</v>
      </c>
    </row>
    <row r="1220" spans="1:15">
      <c r="A1220" s="7">
        <v>41660044</v>
      </c>
      <c r="B1220" s="7">
        <v>5.21</v>
      </c>
      <c r="C1220" s="18" t="s">
        <v>523</v>
      </c>
      <c r="D1220" s="19" t="s">
        <v>25</v>
      </c>
      <c r="E1220" s="20">
        <v>0.24657534246575341</v>
      </c>
      <c r="F1220" s="21">
        <v>5.1717000000000004</v>
      </c>
      <c r="G1220" s="21">
        <v>3.8299999999999557</v>
      </c>
      <c r="H1220" s="21">
        <v>5.1769999999999996</v>
      </c>
      <c r="I1220" s="21">
        <v>-0.52999999999991942</v>
      </c>
      <c r="J1220" s="19" t="s">
        <v>28</v>
      </c>
      <c r="K1220" s="19" t="s">
        <v>13</v>
      </c>
      <c r="L1220" s="13">
        <v>3.13</v>
      </c>
      <c r="M1220" s="14" t="s">
        <v>443</v>
      </c>
      <c r="N1220" s="14" t="s">
        <v>438</v>
      </c>
      <c r="O1220" s="4">
        <v>42867</v>
      </c>
    </row>
    <row r="1221" spans="1:15">
      <c r="A1221" s="7" t="s">
        <v>775</v>
      </c>
      <c r="B1221" s="7">
        <v>5.2</v>
      </c>
      <c r="C1221" s="18" t="s">
        <v>686</v>
      </c>
      <c r="D1221" s="19" t="s">
        <v>11</v>
      </c>
      <c r="E1221" s="20">
        <v>4.6904109589041099</v>
      </c>
      <c r="F1221" s="21">
        <v>5.319</v>
      </c>
      <c r="G1221" s="21">
        <v>-11.899999999999977</v>
      </c>
      <c r="H1221" s="21">
        <v>5.3026</v>
      </c>
      <c r="I1221" s="21">
        <v>1.639999999999997</v>
      </c>
      <c r="J1221" s="19" t="s">
        <v>17</v>
      </c>
      <c r="K1221" s="19" t="s">
        <v>121</v>
      </c>
      <c r="L1221" s="13">
        <v>3.95</v>
      </c>
      <c r="M1221" s="14" t="s">
        <v>668</v>
      </c>
      <c r="N1221" s="14" t="s">
        <v>653</v>
      </c>
      <c r="O1221" s="4">
        <v>42867</v>
      </c>
    </row>
    <row r="1222" spans="1:15">
      <c r="A1222" s="7">
        <v>41754002</v>
      </c>
      <c r="B1222" s="7">
        <v>5.2</v>
      </c>
      <c r="C1222" s="18" t="s">
        <v>1015</v>
      </c>
      <c r="D1222" s="19" t="s">
        <v>36</v>
      </c>
      <c r="E1222" s="20">
        <v>0.70410958904109588</v>
      </c>
      <c r="F1222" s="21">
        <v>5.1845999999999997</v>
      </c>
      <c r="G1222" s="21">
        <v>1.5400000000000524</v>
      </c>
      <c r="H1222" s="21">
        <v>5.1288</v>
      </c>
      <c r="I1222" s="21">
        <v>5.5799999999999628</v>
      </c>
      <c r="J1222" s="19" t="s">
        <v>12</v>
      </c>
      <c r="K1222" s="19" t="s">
        <v>13</v>
      </c>
      <c r="L1222" s="13">
        <v>4.3</v>
      </c>
      <c r="M1222" s="14" t="s">
        <v>662</v>
      </c>
      <c r="N1222" s="14" t="s">
        <v>664</v>
      </c>
      <c r="O1222" s="4">
        <v>42867</v>
      </c>
    </row>
    <row r="1223" spans="1:15">
      <c r="A1223" s="7">
        <v>101654100</v>
      </c>
      <c r="B1223" s="7">
        <v>5.18</v>
      </c>
      <c r="C1223" s="18" t="s">
        <v>613</v>
      </c>
      <c r="D1223" s="19" t="s">
        <v>11</v>
      </c>
      <c r="E1223" s="20">
        <v>4.4958904109589044</v>
      </c>
      <c r="F1223" s="21">
        <v>5.1883999999999997</v>
      </c>
      <c r="G1223" s="21">
        <v>-0.83999999999999631</v>
      </c>
      <c r="H1223" s="21">
        <v>5.1654999999999998</v>
      </c>
      <c r="I1223" s="21">
        <v>2.289999999999992</v>
      </c>
      <c r="J1223" s="19" t="s">
        <v>17</v>
      </c>
      <c r="K1223" s="19" t="s">
        <v>45</v>
      </c>
      <c r="L1223" s="13">
        <v>3.28</v>
      </c>
      <c r="M1223" s="14" t="s">
        <v>572</v>
      </c>
      <c r="N1223" s="14" t="s">
        <v>567</v>
      </c>
      <c r="O1223" s="4">
        <v>42867</v>
      </c>
    </row>
    <row r="1224" spans="1:15">
      <c r="A1224" s="7">
        <v>11698563</v>
      </c>
      <c r="B1224" s="7">
        <v>5.16</v>
      </c>
      <c r="C1224" s="18" t="s">
        <v>547</v>
      </c>
      <c r="D1224" s="19" t="s">
        <v>11</v>
      </c>
      <c r="E1224" s="20">
        <v>0.16438356164383561</v>
      </c>
      <c r="F1224" s="21">
        <v>5.1334999999999997</v>
      </c>
      <c r="G1224" s="21">
        <v>2.6500000000000412</v>
      </c>
      <c r="H1224" s="21">
        <v>5.0472000000000001</v>
      </c>
      <c r="I1224" s="21">
        <v>8.6299999999999599</v>
      </c>
      <c r="J1224" s="19" t="s">
        <v>12</v>
      </c>
      <c r="K1224" s="19" t="s">
        <v>13</v>
      </c>
      <c r="L1224" s="13">
        <v>3.41</v>
      </c>
      <c r="M1224" s="14" t="s">
        <v>528</v>
      </c>
      <c r="N1224" s="14" t="s">
        <v>529</v>
      </c>
      <c r="O1224" s="4">
        <v>42867</v>
      </c>
    </row>
    <row r="1225" spans="1:15">
      <c r="A1225" s="7" t="s">
        <v>785</v>
      </c>
      <c r="B1225" s="7">
        <v>5.1499999999999995</v>
      </c>
      <c r="C1225" s="18" t="s">
        <v>712</v>
      </c>
      <c r="D1225" s="19" t="s">
        <v>11</v>
      </c>
      <c r="E1225" s="20">
        <v>3.1753424657534248</v>
      </c>
      <c r="F1225" s="21">
        <v>5.3963000000000001</v>
      </c>
      <c r="G1225" s="21">
        <v>-24.630000000000063</v>
      </c>
      <c r="H1225" s="21">
        <v>5.3764000000000003</v>
      </c>
      <c r="I1225" s="21">
        <v>1.9899999999999807</v>
      </c>
      <c r="J1225" s="19" t="s">
        <v>120</v>
      </c>
      <c r="K1225" s="19" t="s">
        <v>121</v>
      </c>
      <c r="L1225" s="13">
        <v>4.95</v>
      </c>
      <c r="M1225" s="14" t="s">
        <v>22</v>
      </c>
      <c r="N1225" s="14" t="s">
        <v>191</v>
      </c>
      <c r="O1225" s="4">
        <v>42867</v>
      </c>
    </row>
    <row r="1226" spans="1:15">
      <c r="A1226" s="7">
        <v>101569018</v>
      </c>
      <c r="B1226" s="7">
        <v>5.1499999999999995</v>
      </c>
      <c r="C1226" s="18" t="s">
        <v>475</v>
      </c>
      <c r="D1226" s="19" t="s">
        <v>36</v>
      </c>
      <c r="E1226" s="20">
        <v>1.0986301369863014</v>
      </c>
      <c r="F1226" s="21">
        <v>5.1288999999999998</v>
      </c>
      <c r="G1226" s="21">
        <v>2.1099999999999675</v>
      </c>
      <c r="H1226" s="21">
        <v>5.1947999999999999</v>
      </c>
      <c r="I1226" s="21">
        <v>-6.590000000000007</v>
      </c>
      <c r="J1226" s="19" t="s">
        <v>12</v>
      </c>
      <c r="K1226" s="19" t="s">
        <v>45</v>
      </c>
      <c r="L1226" s="13">
        <v>4.95</v>
      </c>
      <c r="M1226" s="14" t="s">
        <v>261</v>
      </c>
      <c r="N1226" s="14" t="s">
        <v>51</v>
      </c>
      <c r="O1226" s="4">
        <v>42867</v>
      </c>
    </row>
    <row r="1227" spans="1:15">
      <c r="A1227" s="7">
        <v>101554047</v>
      </c>
      <c r="B1227" s="7">
        <v>5.0999999999999996</v>
      </c>
      <c r="C1227" s="18" t="s">
        <v>532</v>
      </c>
      <c r="D1227" s="19" t="s">
        <v>11</v>
      </c>
      <c r="E1227" s="20">
        <v>1.1808219178082191</v>
      </c>
      <c r="F1227" s="21">
        <v>4.9584999999999999</v>
      </c>
      <c r="G1227" s="21">
        <v>14.149999999999974</v>
      </c>
      <c r="H1227" s="21">
        <v>5.0026000000000002</v>
      </c>
      <c r="I1227" s="21">
        <v>-4.410000000000025</v>
      </c>
      <c r="J1227" s="19" t="s">
        <v>17</v>
      </c>
      <c r="K1227" s="19" t="s">
        <v>45</v>
      </c>
      <c r="L1227" s="13">
        <v>4.3600000000000003</v>
      </c>
      <c r="M1227" s="14" t="s">
        <v>135</v>
      </c>
      <c r="N1227" s="14" t="s">
        <v>127</v>
      </c>
      <c r="O1227" s="4">
        <v>42867</v>
      </c>
    </row>
    <row r="1228" spans="1:15">
      <c r="A1228" s="7">
        <v>11766008</v>
      </c>
      <c r="B1228" s="7">
        <v>5.0999999999999996</v>
      </c>
      <c r="C1228" s="18" t="s">
        <v>1016</v>
      </c>
      <c r="D1228" s="19" t="s">
        <v>25</v>
      </c>
      <c r="E1228" s="20">
        <v>0.60547945205479448</v>
      </c>
      <c r="F1228" s="21">
        <v>5.0978000000000003</v>
      </c>
      <c r="G1228" s="21">
        <v>0.21999999999993136</v>
      </c>
      <c r="H1228" s="21">
        <v>5.0575999999999999</v>
      </c>
      <c r="I1228" s="21">
        <v>4.0200000000000458</v>
      </c>
      <c r="J1228" s="19" t="s">
        <v>12</v>
      </c>
      <c r="K1228" s="19" t="s">
        <v>13</v>
      </c>
      <c r="L1228" s="13">
        <v>4.93</v>
      </c>
      <c r="M1228" s="14" t="s">
        <v>797</v>
      </c>
      <c r="N1228" s="14" t="s">
        <v>788</v>
      </c>
      <c r="O1228" s="4">
        <v>42867</v>
      </c>
    </row>
    <row r="1229" spans="1:15">
      <c r="A1229" s="7">
        <v>101456034</v>
      </c>
      <c r="B1229" s="7">
        <v>5.0200000000000005</v>
      </c>
      <c r="C1229" s="18" t="s">
        <v>748</v>
      </c>
      <c r="D1229" s="19" t="s">
        <v>11</v>
      </c>
      <c r="E1229" s="20">
        <v>2.0465753424657533</v>
      </c>
      <c r="F1229" s="21">
        <v>5.0079000000000002</v>
      </c>
      <c r="G1229" s="21">
        <v>1.2100000000000222</v>
      </c>
      <c r="H1229" s="21">
        <v>4.9572000000000003</v>
      </c>
      <c r="I1229" s="21">
        <v>5.0699999999999967</v>
      </c>
      <c r="J1229" s="19" t="s">
        <v>12</v>
      </c>
      <c r="K1229" s="19" t="s">
        <v>45</v>
      </c>
      <c r="L1229" s="13">
        <v>6.45</v>
      </c>
      <c r="M1229" s="14" t="s">
        <v>299</v>
      </c>
      <c r="N1229" s="14" t="s">
        <v>351</v>
      </c>
      <c r="O1229" s="4">
        <v>42867</v>
      </c>
    </row>
    <row r="1230" spans="1:15">
      <c r="A1230" s="7">
        <v>101454042</v>
      </c>
      <c r="B1230" s="7">
        <v>5.0200000000000005</v>
      </c>
      <c r="C1230" s="18" t="s">
        <v>898</v>
      </c>
      <c r="D1230" s="19" t="s">
        <v>11</v>
      </c>
      <c r="E1230" s="20">
        <v>2.2054794520547945</v>
      </c>
      <c r="F1230" s="21">
        <v>5.0198</v>
      </c>
      <c r="G1230" s="21">
        <v>2.0000000000042206E-2</v>
      </c>
      <c r="H1230" s="21">
        <v>4.9893000000000001</v>
      </c>
      <c r="I1230" s="21">
        <v>3.0499999999999972</v>
      </c>
      <c r="J1230" s="19" t="s">
        <v>17</v>
      </c>
      <c r="K1230" s="19" t="s">
        <v>45</v>
      </c>
      <c r="L1230" s="13">
        <v>5.4</v>
      </c>
      <c r="M1230" s="14" t="s">
        <v>263</v>
      </c>
      <c r="N1230" s="14" t="s">
        <v>370</v>
      </c>
      <c r="O1230" s="4">
        <v>42867</v>
      </c>
    </row>
    <row r="1231" spans="1:15">
      <c r="A1231" s="7">
        <v>1282435</v>
      </c>
      <c r="B1231" s="7">
        <v>5.01</v>
      </c>
      <c r="C1231" s="18" t="s">
        <v>555</v>
      </c>
      <c r="D1231" s="19" t="s">
        <v>11</v>
      </c>
      <c r="E1231" s="20">
        <v>2.4602739726027396</v>
      </c>
      <c r="F1231" s="21">
        <v>5.0526999999999997</v>
      </c>
      <c r="G1231" s="21">
        <v>-4.269999999999996</v>
      </c>
      <c r="H1231" s="21">
        <v>5.0110000000000001</v>
      </c>
      <c r="I1231" s="21">
        <v>4.1699999999999626</v>
      </c>
      <c r="J1231" s="19" t="s">
        <v>12</v>
      </c>
      <c r="K1231" s="19" t="s">
        <v>45</v>
      </c>
      <c r="L1231" s="13">
        <v>5.96</v>
      </c>
      <c r="M1231" s="14" t="s">
        <v>454</v>
      </c>
      <c r="N1231" s="14" t="s">
        <v>143</v>
      </c>
      <c r="O1231" s="4">
        <v>42867</v>
      </c>
    </row>
    <row r="1232" spans="1:15">
      <c r="A1232" s="7" t="s">
        <v>637</v>
      </c>
      <c r="B1232" s="7">
        <v>5</v>
      </c>
      <c r="C1232" s="18" t="s">
        <v>638</v>
      </c>
      <c r="D1232" s="19" t="s">
        <v>25</v>
      </c>
      <c r="E1232" s="20">
        <v>0.82739726027397265</v>
      </c>
      <c r="F1232" s="21">
        <v>4.9577</v>
      </c>
      <c r="G1232" s="21">
        <v>4.2300000000000004</v>
      </c>
      <c r="H1232" s="21">
        <v>5.0240999999999998</v>
      </c>
      <c r="I1232" s="21">
        <v>-6.6399999999999793</v>
      </c>
      <c r="J1232" s="19" t="s">
        <v>55</v>
      </c>
      <c r="K1232" s="19" t="s">
        <v>19</v>
      </c>
      <c r="L1232" s="13">
        <v>5.28</v>
      </c>
      <c r="M1232" s="14" t="s">
        <v>329</v>
      </c>
      <c r="N1232" s="14" t="s">
        <v>277</v>
      </c>
      <c r="O1232" s="4">
        <v>42867</v>
      </c>
    </row>
    <row r="1233" spans="1:15">
      <c r="A1233" s="7">
        <v>11764022</v>
      </c>
      <c r="B1233" s="7">
        <v>5</v>
      </c>
      <c r="C1233" s="18" t="s">
        <v>850</v>
      </c>
      <c r="D1233" s="19" t="s">
        <v>11</v>
      </c>
      <c r="E1233" s="20">
        <v>0.37260273972602742</v>
      </c>
      <c r="F1233" s="21">
        <v>5.0458999999999996</v>
      </c>
      <c r="G1233" s="21">
        <v>-4.5899999999999608</v>
      </c>
      <c r="H1233" s="21">
        <v>5.0480999999999998</v>
      </c>
      <c r="I1233" s="21">
        <v>-0.22000000000002018</v>
      </c>
      <c r="J1233" s="19" t="s">
        <v>17</v>
      </c>
      <c r="K1233" s="19" t="s">
        <v>13</v>
      </c>
      <c r="L1233" s="13">
        <v>4.45</v>
      </c>
      <c r="M1233" s="14" t="s">
        <v>811</v>
      </c>
      <c r="N1233" s="14" t="s">
        <v>797</v>
      </c>
      <c r="O1233" s="4">
        <v>42867</v>
      </c>
    </row>
    <row r="1234" spans="1:15">
      <c r="A1234" s="7">
        <v>101651014</v>
      </c>
      <c r="B1234" s="7">
        <v>4.97</v>
      </c>
      <c r="C1234" s="18" t="s">
        <v>765</v>
      </c>
      <c r="D1234" s="19" t="s">
        <v>11</v>
      </c>
      <c r="E1234" s="20">
        <v>1.8410958904109589</v>
      </c>
      <c r="F1234" s="21">
        <v>4.9431000000000003</v>
      </c>
      <c r="G1234" s="21">
        <v>2.689999999999948</v>
      </c>
      <c r="H1234" s="21">
        <v>4.9366000000000003</v>
      </c>
      <c r="I1234" s="21">
        <v>0.64999999999999503</v>
      </c>
      <c r="J1234" s="19" t="s">
        <v>12</v>
      </c>
      <c r="K1234" s="19" t="s">
        <v>45</v>
      </c>
      <c r="L1234" s="13">
        <v>3.05</v>
      </c>
      <c r="M1234" s="14" t="s">
        <v>49</v>
      </c>
      <c r="N1234" s="14" t="s">
        <v>39</v>
      </c>
      <c r="O1234" s="4">
        <v>42867</v>
      </c>
    </row>
    <row r="1235" spans="1:15">
      <c r="A1235" s="7">
        <v>101551107</v>
      </c>
      <c r="B1235" s="7">
        <v>4.95</v>
      </c>
      <c r="C1235" s="18" t="s">
        <v>221</v>
      </c>
      <c r="D1235" s="19" t="s">
        <v>11</v>
      </c>
      <c r="E1235" s="20">
        <v>1.5972602739726027</v>
      </c>
      <c r="F1235" s="21">
        <v>4.9025999999999996</v>
      </c>
      <c r="G1235" s="21">
        <v>4.7400000000000553</v>
      </c>
      <c r="H1235" s="21">
        <v>4.9183000000000003</v>
      </c>
      <c r="I1235" s="21">
        <v>-1.5700000000000713</v>
      </c>
      <c r="J1235" s="19" t="s">
        <v>12</v>
      </c>
      <c r="K1235" s="19" t="s">
        <v>45</v>
      </c>
      <c r="L1235" s="13">
        <v>3.47</v>
      </c>
      <c r="M1235" s="14" t="s">
        <v>187</v>
      </c>
      <c r="N1235" s="14" t="s">
        <v>158</v>
      </c>
      <c r="O1235" s="4">
        <v>42867</v>
      </c>
    </row>
    <row r="1236" spans="1:15">
      <c r="A1236" s="7">
        <v>101351006</v>
      </c>
      <c r="B1236" s="7">
        <v>4.9000000000000004</v>
      </c>
      <c r="C1236" s="18" t="s">
        <v>373</v>
      </c>
      <c r="D1236" s="19" t="s">
        <v>11</v>
      </c>
      <c r="E1236" s="20">
        <v>1.2657534246575342</v>
      </c>
      <c r="F1236" s="21">
        <v>4.8468999999999998</v>
      </c>
      <c r="G1236" s="21">
        <v>5.3100000000000591</v>
      </c>
      <c r="H1236" s="21">
        <v>4.806</v>
      </c>
      <c r="I1236" s="21">
        <v>4.0899999999999714</v>
      </c>
      <c r="J1236" s="19" t="s">
        <v>12</v>
      </c>
      <c r="K1236" s="19" t="s">
        <v>45</v>
      </c>
      <c r="L1236" s="13">
        <v>5.4</v>
      </c>
      <c r="M1236" s="14" t="s">
        <v>352</v>
      </c>
      <c r="N1236" s="14" t="s">
        <v>269</v>
      </c>
      <c r="O1236" s="4">
        <v>42867</v>
      </c>
    </row>
    <row r="1237" spans="1:15">
      <c r="A1237" s="7">
        <v>11698457</v>
      </c>
      <c r="B1237" s="7">
        <v>4.8500000000000005</v>
      </c>
      <c r="C1237" s="18" t="s">
        <v>1017</v>
      </c>
      <c r="D1237" s="19" t="s">
        <v>36</v>
      </c>
      <c r="E1237" s="20">
        <v>8.2191780821917804E-2</v>
      </c>
      <c r="F1237" s="21">
        <v>4.7016999999999998</v>
      </c>
      <c r="G1237" s="21">
        <v>14.830000000000076</v>
      </c>
      <c r="H1237" s="21">
        <v>4.6943999999999999</v>
      </c>
      <c r="I1237" s="21">
        <v>0.72999999999998622</v>
      </c>
      <c r="J1237" s="19" t="s">
        <v>17</v>
      </c>
      <c r="K1237" s="19" t="s">
        <v>13</v>
      </c>
      <c r="L1237" s="13">
        <v>3.07</v>
      </c>
      <c r="M1237" s="14" t="s">
        <v>501</v>
      </c>
      <c r="N1237" s="14" t="s">
        <v>494</v>
      </c>
      <c r="O1237" s="4">
        <v>42867</v>
      </c>
    </row>
    <row r="1238" spans="1:15">
      <c r="A1238" s="7" t="s">
        <v>477</v>
      </c>
      <c r="B1238" s="7">
        <v>4.83</v>
      </c>
      <c r="C1238" s="18" t="s">
        <v>466</v>
      </c>
      <c r="D1238" s="19" t="s">
        <v>11</v>
      </c>
      <c r="E1238" s="20">
        <v>4.2164383561643834</v>
      </c>
      <c r="F1238" s="21">
        <v>4.7737999999999996</v>
      </c>
      <c r="G1238" s="21">
        <v>5.6200000000000472</v>
      </c>
      <c r="H1238" s="21">
        <v>4.7405999999999997</v>
      </c>
      <c r="I1238" s="21">
        <v>3.3199999999999896</v>
      </c>
      <c r="J1238" s="19" t="s">
        <v>12</v>
      </c>
      <c r="K1238" s="19" t="s">
        <v>121</v>
      </c>
      <c r="L1238" s="13">
        <v>3</v>
      </c>
      <c r="M1238" s="14" t="s">
        <v>448</v>
      </c>
      <c r="N1238" s="14" t="s">
        <v>434</v>
      </c>
      <c r="O1238" s="4">
        <v>42867</v>
      </c>
    </row>
    <row r="1239" spans="1:15">
      <c r="A1239" s="7" t="s">
        <v>477</v>
      </c>
      <c r="B1239" s="7">
        <v>4.83</v>
      </c>
      <c r="C1239" s="18" t="s">
        <v>466</v>
      </c>
      <c r="D1239" s="19" t="s">
        <v>11</v>
      </c>
      <c r="E1239" s="20">
        <v>4.2164383561643834</v>
      </c>
      <c r="F1239" s="21">
        <v>4.7737999999999996</v>
      </c>
      <c r="G1239" s="21">
        <v>5.6200000000000472</v>
      </c>
      <c r="H1239" s="21">
        <v>4.7405999999999997</v>
      </c>
      <c r="I1239" s="21">
        <v>3.3199999999999896</v>
      </c>
      <c r="J1239" s="19" t="s">
        <v>12</v>
      </c>
      <c r="K1239" s="19" t="s">
        <v>121</v>
      </c>
      <c r="L1239" s="13">
        <v>3</v>
      </c>
      <c r="M1239" s="14" t="s">
        <v>448</v>
      </c>
      <c r="N1239" s="14" t="s">
        <v>434</v>
      </c>
      <c r="O1239" s="4">
        <v>42867</v>
      </c>
    </row>
    <row r="1240" spans="1:15">
      <c r="A1240" s="7">
        <v>101454027</v>
      </c>
      <c r="B1240" s="7">
        <v>4.82</v>
      </c>
      <c r="C1240" s="18" t="s">
        <v>287</v>
      </c>
      <c r="D1240" s="19" t="s">
        <v>11</v>
      </c>
      <c r="E1240" s="20">
        <v>2.0465753424657533</v>
      </c>
      <c r="F1240" s="21">
        <v>4.8160999999999996</v>
      </c>
      <c r="G1240" s="21">
        <v>0.39000000000006807</v>
      </c>
      <c r="H1240" s="21">
        <v>4.8132999999999999</v>
      </c>
      <c r="I1240" s="21">
        <v>0.27999999999996916</v>
      </c>
      <c r="J1240" s="19" t="s">
        <v>17</v>
      </c>
      <c r="K1240" s="19" t="s">
        <v>45</v>
      </c>
      <c r="L1240" s="13">
        <v>5.35</v>
      </c>
      <c r="M1240" s="14" t="s">
        <v>299</v>
      </c>
      <c r="N1240" s="14" t="s">
        <v>351</v>
      </c>
      <c r="O1240" s="4">
        <v>42867</v>
      </c>
    </row>
    <row r="1241" spans="1:15">
      <c r="A1241" s="7">
        <v>11698948</v>
      </c>
      <c r="B1241" s="7">
        <v>4.7</v>
      </c>
      <c r="C1241" s="18" t="s">
        <v>639</v>
      </c>
      <c r="D1241" s="19" t="s">
        <v>11</v>
      </c>
      <c r="E1241" s="20">
        <v>0.29315068493150687</v>
      </c>
      <c r="F1241" s="21">
        <v>4.4629000000000003</v>
      </c>
      <c r="G1241" s="21">
        <v>23.709999999999987</v>
      </c>
      <c r="H1241" s="21">
        <v>4.4143999999999997</v>
      </c>
      <c r="I1241" s="21">
        <v>4.8500000000000654</v>
      </c>
      <c r="J1241" s="19" t="s">
        <v>17</v>
      </c>
      <c r="K1241" s="19" t="s">
        <v>13</v>
      </c>
      <c r="L1241" s="13">
        <v>3.68</v>
      </c>
      <c r="M1241" s="14" t="s">
        <v>609</v>
      </c>
      <c r="N1241" s="14" t="s">
        <v>601</v>
      </c>
      <c r="O1241" s="4">
        <v>42867</v>
      </c>
    </row>
    <row r="1242" spans="1:15">
      <c r="A1242" s="7">
        <v>1382111</v>
      </c>
      <c r="B1242" s="7">
        <v>4.41</v>
      </c>
      <c r="C1242" s="18" t="s">
        <v>698</v>
      </c>
      <c r="D1242" s="19" t="s">
        <v>11</v>
      </c>
      <c r="E1242" s="20">
        <v>0.86027397260273974</v>
      </c>
      <c r="F1242" s="21">
        <v>4.4329999999999998</v>
      </c>
      <c r="G1242" s="21">
        <v>-2.2999999999999687</v>
      </c>
      <c r="H1242" s="21">
        <v>4.4812000000000003</v>
      </c>
      <c r="I1242" s="21">
        <v>-4.8200000000000465</v>
      </c>
      <c r="J1242" s="19" t="s">
        <v>17</v>
      </c>
      <c r="K1242" s="19" t="s">
        <v>45</v>
      </c>
      <c r="L1242" s="13">
        <v>4.6500000000000004</v>
      </c>
      <c r="M1242" s="14" t="s">
        <v>169</v>
      </c>
      <c r="N1242" s="14" t="s">
        <v>215</v>
      </c>
      <c r="O1242" s="4">
        <v>42867</v>
      </c>
    </row>
    <row r="1243" spans="1:15">
      <c r="A1243" s="7">
        <v>11698436</v>
      </c>
      <c r="B1243" s="7">
        <v>3.9</v>
      </c>
      <c r="C1243" s="18" t="s">
        <v>742</v>
      </c>
      <c r="D1243" s="19" t="s">
        <v>11</v>
      </c>
      <c r="E1243" s="20">
        <v>7.9452054794520555E-2</v>
      </c>
      <c r="F1243" s="21">
        <v>3.9828000000000001</v>
      </c>
      <c r="G1243" s="21">
        <v>-8.2800000000000207</v>
      </c>
      <c r="H1243" s="21">
        <v>3.9089</v>
      </c>
      <c r="I1243" s="21">
        <v>7.3900000000000077</v>
      </c>
      <c r="J1243" s="19" t="s">
        <v>17</v>
      </c>
      <c r="K1243" s="19" t="s">
        <v>13</v>
      </c>
      <c r="L1243" s="13">
        <v>2.65</v>
      </c>
      <c r="M1243" s="14" t="s">
        <v>503</v>
      </c>
      <c r="N1243" s="14" t="s">
        <v>491</v>
      </c>
      <c r="O1243" s="4">
        <v>42867</v>
      </c>
    </row>
    <row r="1244" spans="1:15">
      <c r="A1244" s="7">
        <v>11698827</v>
      </c>
      <c r="B1244" s="7">
        <v>3.5999999999999996</v>
      </c>
      <c r="C1244" s="18" t="s">
        <v>791</v>
      </c>
      <c r="D1244" s="19" t="s">
        <v>11</v>
      </c>
      <c r="E1244" s="20">
        <v>1.643835616438356E-2</v>
      </c>
      <c r="F1244" s="21">
        <v>3.5644999999999998</v>
      </c>
      <c r="G1244" s="21">
        <v>3.5499999999999865</v>
      </c>
      <c r="H1244" s="21">
        <v>3.7547000000000001</v>
      </c>
      <c r="I1244" s="21">
        <v>-19.020000000000039</v>
      </c>
      <c r="J1244" s="19" t="s">
        <v>55</v>
      </c>
      <c r="K1244" s="19" t="s">
        <v>13</v>
      </c>
      <c r="L1244" s="13">
        <v>3.37</v>
      </c>
      <c r="M1244" s="14" t="s">
        <v>589</v>
      </c>
      <c r="N1244" s="14" t="s">
        <v>582</v>
      </c>
      <c r="O1244" s="4">
        <v>42867</v>
      </c>
    </row>
    <row r="1245" spans="1:15">
      <c r="A1245" s="7">
        <v>11698316</v>
      </c>
      <c r="B1245" s="7">
        <v>3.5000000000000004</v>
      </c>
      <c r="C1245" s="18" t="s">
        <v>509</v>
      </c>
      <c r="D1245" s="19" t="s">
        <v>11</v>
      </c>
      <c r="E1245" s="20">
        <v>1.3698630136986301E-2</v>
      </c>
      <c r="F1245" s="21">
        <v>3.5388000000000002</v>
      </c>
      <c r="G1245" s="21">
        <v>-3.8799999999999724</v>
      </c>
      <c r="H1245" s="21">
        <v>3.7286999999999999</v>
      </c>
      <c r="I1245" s="21">
        <v>-18.989999999999974</v>
      </c>
      <c r="J1245" s="19" t="s">
        <v>17</v>
      </c>
      <c r="K1245" s="19" t="s">
        <v>13</v>
      </c>
      <c r="L1245" s="13">
        <v>2.9</v>
      </c>
      <c r="M1245" s="14" t="s">
        <v>461</v>
      </c>
      <c r="N1245" s="14" t="s">
        <v>456</v>
      </c>
      <c r="O1245" s="4">
        <v>42867</v>
      </c>
    </row>
    <row r="1246" spans="1:15">
      <c r="A1246" s="7"/>
      <c r="B1246" s="7"/>
      <c r="C1246" s="18"/>
      <c r="D1246" s="19"/>
      <c r="E1246" s="20"/>
      <c r="F1246" s="21"/>
      <c r="G1246" s="21"/>
      <c r="H1246" s="21"/>
      <c r="I1246" s="21"/>
      <c r="J1246" s="19"/>
      <c r="K1246" s="19"/>
      <c r="L1246" s="13"/>
      <c r="M1246" s="14"/>
      <c r="N1246" s="14"/>
      <c r="O1246" s="4"/>
    </row>
    <row r="1247" spans="1:15">
      <c r="A1247" s="7"/>
      <c r="B1247" s="7"/>
      <c r="C1247" s="18"/>
      <c r="D1247" s="19"/>
      <c r="E1247" s="20"/>
      <c r="F1247" s="21"/>
      <c r="G1247" s="21"/>
      <c r="H1247" s="21"/>
      <c r="I1247" s="21"/>
      <c r="J1247" s="19"/>
      <c r="K1247" s="19"/>
      <c r="L1247" s="13"/>
      <c r="M1247" s="14"/>
      <c r="N1247" s="14"/>
      <c r="O1247" s="4"/>
    </row>
    <row r="1248" spans="1:15">
      <c r="A1248" s="7"/>
      <c r="B1248" s="7"/>
      <c r="C1248" s="18"/>
      <c r="D1248" s="19"/>
      <c r="E1248" s="20"/>
      <c r="F1248" s="21"/>
      <c r="G1248" s="21"/>
      <c r="H1248" s="21"/>
      <c r="I1248" s="21"/>
      <c r="J1248" s="19"/>
      <c r="K1248" s="19"/>
      <c r="L1248" s="13"/>
      <c r="M1248" s="14"/>
      <c r="N1248" s="14"/>
      <c r="O1248" s="4"/>
    </row>
    <row r="1249" spans="1:15">
      <c r="A1249" s="7"/>
      <c r="B1249" s="7"/>
      <c r="C1249" s="18"/>
      <c r="D1249" s="19"/>
      <c r="E1249" s="20"/>
      <c r="F1249" s="21"/>
      <c r="G1249" s="21"/>
      <c r="H1249" s="21"/>
      <c r="I1249" s="21"/>
      <c r="J1249" s="19"/>
      <c r="K1249" s="19"/>
      <c r="L1249" s="13"/>
      <c r="M1249" s="14"/>
      <c r="N1249" s="14"/>
      <c r="O1249" s="4"/>
    </row>
    <row r="1250" spans="1:15">
      <c r="A1250" s="7"/>
      <c r="B1250" s="7"/>
      <c r="C1250" s="18"/>
      <c r="D1250" s="19"/>
      <c r="E1250" s="20"/>
      <c r="F1250" s="21"/>
      <c r="G1250" s="21"/>
      <c r="H1250" s="21"/>
      <c r="I1250" s="21"/>
      <c r="J1250" s="19"/>
      <c r="K1250" s="19"/>
      <c r="L1250" s="13"/>
      <c r="M1250" s="14"/>
      <c r="N1250" s="14"/>
      <c r="O1250" s="4"/>
    </row>
    <row r="1251" spans="1:15">
      <c r="A1251" s="7"/>
      <c r="B1251" s="7"/>
      <c r="C1251" s="18"/>
      <c r="D1251" s="19"/>
      <c r="E1251" s="20"/>
      <c r="F1251" s="21"/>
      <c r="G1251" s="21"/>
      <c r="H1251" s="21"/>
      <c r="I1251" s="21"/>
      <c r="J1251" s="19"/>
      <c r="K1251" s="19"/>
      <c r="L1251" s="13"/>
      <c r="M1251" s="14"/>
      <c r="N1251" s="14"/>
      <c r="O1251" s="4"/>
    </row>
    <row r="1252" spans="1:15">
      <c r="A1252" s="7"/>
      <c r="B1252" s="7"/>
      <c r="C1252" s="18"/>
      <c r="D1252" s="19"/>
      <c r="E1252" s="20"/>
      <c r="F1252" s="21"/>
      <c r="G1252" s="21"/>
      <c r="H1252" s="21"/>
      <c r="I1252" s="21"/>
      <c r="J1252" s="19"/>
      <c r="K1252" s="19"/>
      <c r="L1252" s="13"/>
      <c r="M1252" s="14"/>
      <c r="N1252" s="14"/>
      <c r="O1252" s="4"/>
    </row>
    <row r="1253" spans="1:15">
      <c r="A1253" s="7"/>
      <c r="B1253" s="7"/>
      <c r="C1253" s="18"/>
      <c r="D1253" s="19"/>
      <c r="E1253" s="20"/>
      <c r="F1253" s="21"/>
      <c r="G1253" s="21"/>
      <c r="H1253" s="21"/>
      <c r="I1253" s="21"/>
      <c r="J1253" s="19"/>
      <c r="K1253" s="19"/>
      <c r="L1253" s="13"/>
      <c r="M1253" s="14"/>
      <c r="N1253" s="14"/>
      <c r="O1253" s="4"/>
    </row>
    <row r="1254" spans="1:15">
      <c r="A1254" s="7"/>
      <c r="B1254" s="7"/>
      <c r="C1254" s="18"/>
      <c r="D1254" s="19"/>
      <c r="E1254" s="20"/>
      <c r="F1254" s="21"/>
      <c r="G1254" s="21"/>
      <c r="H1254" s="21"/>
      <c r="I1254" s="21"/>
      <c r="J1254" s="19"/>
      <c r="K1254" s="19"/>
      <c r="L1254" s="13"/>
      <c r="M1254" s="14"/>
      <c r="N1254" s="14"/>
      <c r="O1254" s="4"/>
    </row>
    <row r="1255" spans="1:15">
      <c r="A1255" s="7"/>
      <c r="B1255" s="7"/>
      <c r="C1255" s="18"/>
      <c r="D1255" s="19"/>
      <c r="E1255" s="20"/>
      <c r="F1255" s="21"/>
      <c r="G1255" s="21"/>
      <c r="H1255" s="21"/>
      <c r="I1255" s="21"/>
      <c r="J1255" s="19"/>
      <c r="K1255" s="19"/>
      <c r="L1255" s="13"/>
      <c r="M1255" s="14"/>
      <c r="N1255" s="14"/>
      <c r="O1255" s="4"/>
    </row>
    <row r="1256" spans="1:15">
      <c r="A1256" s="7"/>
      <c r="B1256" s="7"/>
      <c r="C1256" s="18"/>
      <c r="D1256" s="19"/>
      <c r="E1256" s="20"/>
      <c r="F1256" s="21"/>
      <c r="G1256" s="21"/>
      <c r="H1256" s="21"/>
      <c r="I1256" s="21"/>
      <c r="J1256" s="19"/>
      <c r="K1256" s="19"/>
      <c r="L1256" s="13"/>
      <c r="M1256" s="14"/>
      <c r="N1256" s="14"/>
      <c r="O1256" s="4"/>
    </row>
    <row r="1257" spans="1:15">
      <c r="A1257" s="7"/>
      <c r="B1257" s="7"/>
      <c r="C1257" s="18"/>
      <c r="D1257" s="19"/>
      <c r="E1257" s="20"/>
      <c r="F1257" s="21"/>
      <c r="G1257" s="21"/>
      <c r="H1257" s="21"/>
      <c r="I1257" s="21"/>
      <c r="J1257" s="19"/>
      <c r="K1257" s="19"/>
      <c r="L1257" s="13"/>
      <c r="M1257" s="14"/>
      <c r="N1257" s="14"/>
      <c r="O1257" s="4"/>
    </row>
    <row r="1258" spans="1:15">
      <c r="A1258" s="7"/>
      <c r="B1258" s="7"/>
      <c r="C1258" s="18"/>
      <c r="D1258" s="19"/>
      <c r="E1258" s="20"/>
      <c r="F1258" s="21"/>
      <c r="G1258" s="21"/>
      <c r="H1258" s="21"/>
      <c r="I1258" s="21"/>
      <c r="J1258" s="19"/>
      <c r="K1258" s="19"/>
      <c r="L1258" s="13"/>
      <c r="M1258" s="14"/>
      <c r="N1258" s="14"/>
      <c r="O1258" s="4"/>
    </row>
    <row r="1259" spans="1:15">
      <c r="A1259" s="7"/>
      <c r="B1259" s="7"/>
      <c r="C1259" s="18"/>
      <c r="D1259" s="19"/>
      <c r="E1259" s="20"/>
      <c r="F1259" s="21"/>
      <c r="G1259" s="21"/>
      <c r="H1259" s="21"/>
      <c r="I1259" s="21"/>
      <c r="J1259" s="19"/>
      <c r="K1259" s="19"/>
      <c r="L1259" s="13"/>
      <c r="M1259" s="14"/>
      <c r="N1259" s="14"/>
      <c r="O1259" s="4"/>
    </row>
    <row r="1260" spans="1:15">
      <c r="A1260" s="7"/>
      <c r="B1260" s="7"/>
      <c r="C1260" s="18"/>
      <c r="D1260" s="19"/>
      <c r="E1260" s="20"/>
      <c r="F1260" s="21"/>
      <c r="G1260" s="21"/>
      <c r="H1260" s="21"/>
      <c r="I1260" s="21"/>
      <c r="J1260" s="19"/>
      <c r="K1260" s="19"/>
      <c r="L1260" s="13"/>
      <c r="M1260" s="14"/>
      <c r="N1260" s="14"/>
      <c r="O1260" s="4"/>
    </row>
    <row r="1261" spans="1:15">
      <c r="A1261" s="7"/>
      <c r="B1261" s="7"/>
      <c r="C1261" s="18"/>
      <c r="D1261" s="19"/>
      <c r="E1261" s="20"/>
      <c r="F1261" s="21"/>
      <c r="G1261" s="21"/>
      <c r="H1261" s="21"/>
      <c r="I1261" s="21"/>
      <c r="J1261" s="19"/>
      <c r="K1261" s="19"/>
      <c r="L1261" s="13"/>
      <c r="M1261" s="14"/>
      <c r="N1261" s="14"/>
      <c r="O1261" s="4"/>
    </row>
    <row r="1262" spans="1:15">
      <c r="A1262" s="7"/>
      <c r="B1262" s="7"/>
      <c r="C1262" s="18"/>
      <c r="D1262" s="19"/>
      <c r="E1262" s="20"/>
      <c r="F1262" s="21"/>
      <c r="G1262" s="21"/>
      <c r="H1262" s="21"/>
      <c r="I1262" s="21"/>
      <c r="J1262" s="19"/>
      <c r="K1262" s="19"/>
      <c r="L1262" s="13"/>
      <c r="M1262" s="14"/>
      <c r="N1262" s="14"/>
      <c r="O1262" s="4"/>
    </row>
    <row r="1263" spans="1:15">
      <c r="A1263" s="7"/>
      <c r="B1263" s="7"/>
      <c r="C1263" s="18"/>
      <c r="D1263" s="19"/>
      <c r="E1263" s="20"/>
      <c r="F1263" s="21"/>
      <c r="G1263" s="21"/>
      <c r="H1263" s="21"/>
      <c r="I1263" s="21"/>
      <c r="J1263" s="19"/>
      <c r="K1263" s="19"/>
      <c r="L1263" s="13"/>
      <c r="M1263" s="14"/>
      <c r="N1263" s="14"/>
      <c r="O1263" s="4"/>
    </row>
    <row r="1264" spans="1:15">
      <c r="A1264" s="7"/>
      <c r="B1264" s="7"/>
      <c r="C1264" s="18"/>
      <c r="D1264" s="19"/>
      <c r="E1264" s="20"/>
      <c r="F1264" s="21"/>
      <c r="G1264" s="21"/>
      <c r="H1264" s="21"/>
      <c r="I1264" s="21"/>
      <c r="J1264" s="19"/>
      <c r="K1264" s="19"/>
      <c r="L1264" s="13"/>
      <c r="M1264" s="14"/>
      <c r="N1264" s="14"/>
      <c r="O1264" s="4"/>
    </row>
    <row r="1265" spans="1:15">
      <c r="A1265" s="7"/>
      <c r="B1265" s="7"/>
      <c r="C1265" s="18"/>
      <c r="D1265" s="19"/>
      <c r="E1265" s="20"/>
      <c r="F1265" s="21"/>
      <c r="G1265" s="21"/>
      <c r="H1265" s="21"/>
      <c r="I1265" s="21"/>
      <c r="J1265" s="19"/>
      <c r="K1265" s="19"/>
      <c r="L1265" s="13"/>
      <c r="M1265" s="14"/>
      <c r="N1265" s="14"/>
      <c r="O1265" s="4"/>
    </row>
    <row r="1266" spans="1:15">
      <c r="A1266" s="7"/>
      <c r="B1266" s="7"/>
      <c r="C1266" s="18"/>
      <c r="D1266" s="19"/>
      <c r="E1266" s="20"/>
      <c r="F1266" s="21"/>
      <c r="G1266" s="21"/>
      <c r="H1266" s="21"/>
      <c r="I1266" s="21"/>
      <c r="J1266" s="19"/>
      <c r="K1266" s="19"/>
      <c r="L1266" s="13"/>
      <c r="M1266" s="14"/>
      <c r="N1266" s="14"/>
      <c r="O1266" s="4"/>
    </row>
    <row r="1267" spans="1:15">
      <c r="A1267" s="7"/>
      <c r="B1267" s="7"/>
      <c r="C1267" s="18"/>
      <c r="D1267" s="19"/>
      <c r="E1267" s="20"/>
      <c r="F1267" s="21"/>
      <c r="G1267" s="21"/>
      <c r="H1267" s="21"/>
      <c r="I1267" s="21"/>
      <c r="J1267" s="19"/>
      <c r="K1267" s="19"/>
      <c r="L1267" s="13"/>
      <c r="M1267" s="14"/>
      <c r="N1267" s="14"/>
      <c r="O1267" s="4"/>
    </row>
    <row r="1268" spans="1:15">
      <c r="A1268" s="7"/>
      <c r="B1268" s="7"/>
      <c r="C1268" s="18"/>
      <c r="D1268" s="19"/>
      <c r="E1268" s="20"/>
      <c r="F1268" s="21"/>
      <c r="G1268" s="21"/>
      <c r="H1268" s="21"/>
      <c r="I1268" s="21"/>
      <c r="J1268" s="19"/>
      <c r="K1268" s="19"/>
      <c r="L1268" s="13"/>
      <c r="M1268" s="14"/>
      <c r="N1268" s="14"/>
      <c r="O1268" s="4"/>
    </row>
    <row r="1269" spans="1:15">
      <c r="A1269" s="7"/>
      <c r="B1269" s="7"/>
      <c r="C1269" s="18"/>
      <c r="D1269" s="19"/>
      <c r="E1269" s="20"/>
      <c r="F1269" s="21"/>
      <c r="G1269" s="21"/>
      <c r="H1269" s="21"/>
      <c r="I1269" s="21"/>
      <c r="J1269" s="19"/>
      <c r="K1269" s="19"/>
      <c r="L1269" s="13"/>
      <c r="M1269" s="14"/>
      <c r="N1269" s="14"/>
      <c r="O1269" s="4"/>
    </row>
    <row r="1270" spans="1:15">
      <c r="A1270" s="7"/>
      <c r="B1270" s="7"/>
      <c r="C1270" s="18"/>
      <c r="D1270" s="19"/>
      <c r="E1270" s="20"/>
      <c r="F1270" s="21"/>
      <c r="G1270" s="21"/>
      <c r="H1270" s="21"/>
      <c r="I1270" s="21"/>
      <c r="J1270" s="19"/>
      <c r="K1270" s="19"/>
      <c r="L1270" s="13"/>
      <c r="M1270" s="14"/>
      <c r="N1270" s="14"/>
      <c r="O1270" s="4"/>
    </row>
    <row r="1271" spans="1:15">
      <c r="A1271" s="7"/>
      <c r="B1271" s="7"/>
      <c r="C1271" s="18"/>
      <c r="D1271" s="19"/>
      <c r="E1271" s="20"/>
      <c r="F1271" s="21"/>
      <c r="G1271" s="21"/>
      <c r="H1271" s="21"/>
      <c r="I1271" s="21"/>
      <c r="J1271" s="19"/>
      <c r="K1271" s="19"/>
      <c r="L1271" s="13"/>
      <c r="M1271" s="14"/>
      <c r="N1271" s="14"/>
      <c r="O1271" s="4"/>
    </row>
    <row r="1272" spans="1:15">
      <c r="A1272" s="7"/>
      <c r="B1272" s="7"/>
      <c r="C1272" s="18"/>
      <c r="D1272" s="19"/>
      <c r="E1272" s="20"/>
      <c r="F1272" s="21"/>
      <c r="G1272" s="21"/>
      <c r="H1272" s="21"/>
      <c r="I1272" s="21"/>
      <c r="J1272" s="19"/>
      <c r="K1272" s="19"/>
      <c r="L1272" s="13"/>
      <c r="M1272" s="14"/>
      <c r="N1272" s="14"/>
      <c r="O1272" s="4"/>
    </row>
    <row r="1273" spans="1:15">
      <c r="A1273" s="7"/>
      <c r="B1273" s="7"/>
      <c r="C1273" s="18"/>
      <c r="D1273" s="19"/>
      <c r="E1273" s="20"/>
      <c r="F1273" s="21"/>
      <c r="G1273" s="21"/>
      <c r="H1273" s="21"/>
      <c r="I1273" s="21"/>
      <c r="J1273" s="19"/>
      <c r="K1273" s="19"/>
      <c r="L1273" s="13"/>
      <c r="M1273" s="14"/>
      <c r="N1273" s="14"/>
      <c r="O1273" s="4"/>
    </row>
    <row r="1274" spans="1:15">
      <c r="A1274" s="7"/>
      <c r="B1274" s="7"/>
      <c r="C1274" s="18"/>
      <c r="D1274" s="19"/>
      <c r="E1274" s="20"/>
      <c r="F1274" s="21"/>
      <c r="G1274" s="21"/>
      <c r="H1274" s="21"/>
      <c r="I1274" s="21"/>
      <c r="J1274" s="19"/>
      <c r="K1274" s="19"/>
      <c r="L1274" s="13"/>
      <c r="M1274" s="14"/>
      <c r="N1274" s="14"/>
      <c r="O1274" s="4"/>
    </row>
    <row r="1275" spans="1:15">
      <c r="A1275" s="7"/>
      <c r="B1275" s="7"/>
      <c r="C1275" s="18"/>
      <c r="D1275" s="19"/>
      <c r="E1275" s="20"/>
      <c r="F1275" s="21"/>
      <c r="G1275" s="21"/>
      <c r="H1275" s="21"/>
      <c r="I1275" s="21"/>
      <c r="J1275" s="19"/>
      <c r="K1275" s="19"/>
      <c r="L1275" s="13"/>
      <c r="M1275" s="14"/>
      <c r="N1275" s="14"/>
      <c r="O1275" s="4"/>
    </row>
    <row r="1276" spans="1:15">
      <c r="A1276" s="7"/>
      <c r="B1276" s="7"/>
      <c r="C1276" s="18"/>
      <c r="D1276" s="19"/>
      <c r="E1276" s="20"/>
      <c r="F1276" s="21"/>
      <c r="G1276" s="21"/>
      <c r="H1276" s="21"/>
      <c r="I1276" s="21"/>
      <c r="J1276" s="19"/>
      <c r="K1276" s="19"/>
      <c r="L1276" s="13"/>
      <c r="M1276" s="14"/>
      <c r="N1276" s="14"/>
      <c r="O1276" s="4"/>
    </row>
    <row r="1277" spans="1:15">
      <c r="A1277" s="7"/>
      <c r="B1277" s="7"/>
      <c r="C1277" s="18"/>
      <c r="D1277" s="19"/>
      <c r="E1277" s="20"/>
      <c r="F1277" s="21"/>
      <c r="G1277" s="21"/>
      <c r="H1277" s="21"/>
      <c r="I1277" s="21"/>
      <c r="J1277" s="19"/>
      <c r="K1277" s="19"/>
      <c r="L1277" s="13"/>
      <c r="M1277" s="14"/>
      <c r="N1277" s="14"/>
      <c r="O1277" s="4"/>
    </row>
    <row r="1278" spans="1:15">
      <c r="A1278" s="7"/>
      <c r="B1278" s="7"/>
      <c r="C1278" s="18"/>
      <c r="D1278" s="19"/>
      <c r="E1278" s="20"/>
      <c r="F1278" s="21"/>
      <c r="G1278" s="21"/>
      <c r="H1278" s="21"/>
      <c r="I1278" s="21"/>
      <c r="J1278" s="19"/>
      <c r="K1278" s="19"/>
      <c r="L1278" s="13"/>
      <c r="M1278" s="14"/>
      <c r="N1278" s="14"/>
      <c r="O1278" s="4"/>
    </row>
    <row r="1279" spans="1:15">
      <c r="A1279" s="7"/>
      <c r="B1279" s="7"/>
      <c r="C1279" s="18"/>
      <c r="D1279" s="19"/>
      <c r="E1279" s="20"/>
      <c r="F1279" s="21"/>
      <c r="G1279" s="21"/>
      <c r="H1279" s="21"/>
      <c r="I1279" s="21"/>
      <c r="J1279" s="19"/>
      <c r="K1279" s="19"/>
      <c r="L1279" s="13"/>
      <c r="M1279" s="14"/>
      <c r="N1279" s="14"/>
      <c r="O1279" s="4"/>
    </row>
    <row r="1280" spans="1:15">
      <c r="A1280" s="7"/>
      <c r="B1280" s="7"/>
      <c r="C1280" s="18"/>
      <c r="D1280" s="19"/>
      <c r="E1280" s="20"/>
      <c r="F1280" s="21"/>
      <c r="G1280" s="21"/>
      <c r="H1280" s="21"/>
      <c r="I1280" s="21"/>
      <c r="J1280" s="19"/>
      <c r="K1280" s="19"/>
      <c r="L1280" s="13"/>
      <c r="M1280" s="14"/>
      <c r="N1280" s="14"/>
      <c r="O1280" s="4"/>
    </row>
    <row r="1281" spans="1:15">
      <c r="A1281" s="7"/>
      <c r="B1281" s="7"/>
      <c r="C1281" s="18"/>
      <c r="D1281" s="19"/>
      <c r="E1281" s="20"/>
      <c r="F1281" s="21"/>
      <c r="G1281" s="21"/>
      <c r="H1281" s="21"/>
      <c r="I1281" s="21"/>
      <c r="J1281" s="19"/>
      <c r="K1281" s="19"/>
      <c r="L1281" s="13"/>
      <c r="M1281" s="14"/>
      <c r="N1281" s="14"/>
      <c r="O1281" s="4"/>
    </row>
    <row r="1282" spans="1:15">
      <c r="A1282" s="7"/>
      <c r="B1282" s="7"/>
      <c r="C1282" s="18"/>
      <c r="D1282" s="19"/>
      <c r="E1282" s="20"/>
      <c r="F1282" s="21"/>
      <c r="G1282" s="21"/>
      <c r="H1282" s="21"/>
      <c r="I1282" s="21"/>
      <c r="J1282" s="19"/>
      <c r="K1282" s="19"/>
      <c r="L1282" s="13"/>
      <c r="M1282" s="14"/>
      <c r="N1282" s="14"/>
      <c r="O1282" s="4"/>
    </row>
    <row r="1283" spans="1:15">
      <c r="A1283" s="7"/>
      <c r="B1283" s="7"/>
      <c r="C1283" s="18"/>
      <c r="D1283" s="19"/>
      <c r="E1283" s="20"/>
      <c r="F1283" s="21"/>
      <c r="G1283" s="21"/>
      <c r="H1283" s="21"/>
      <c r="I1283" s="21"/>
      <c r="J1283" s="19"/>
      <c r="K1283" s="19"/>
      <c r="L1283" s="13"/>
      <c r="M1283" s="14"/>
      <c r="N1283" s="14"/>
      <c r="O1283" s="4"/>
    </row>
    <row r="1284" spans="1:15">
      <c r="A1284" s="7"/>
      <c r="B1284" s="7"/>
      <c r="C1284" s="18"/>
      <c r="D1284" s="19"/>
      <c r="E1284" s="20"/>
      <c r="F1284" s="21"/>
      <c r="G1284" s="21"/>
      <c r="H1284" s="21"/>
      <c r="I1284" s="21"/>
      <c r="J1284" s="19"/>
      <c r="K1284" s="19"/>
      <c r="L1284" s="13"/>
      <c r="M1284" s="14"/>
      <c r="N1284" s="14"/>
      <c r="O1284" s="4"/>
    </row>
    <row r="1285" spans="1:15">
      <c r="A1285" s="7"/>
      <c r="B1285" s="7"/>
      <c r="C1285" s="18"/>
      <c r="D1285" s="19"/>
      <c r="E1285" s="20"/>
      <c r="F1285" s="21"/>
      <c r="G1285" s="21"/>
      <c r="H1285" s="21"/>
      <c r="I1285" s="21"/>
      <c r="J1285" s="19"/>
      <c r="K1285" s="19"/>
      <c r="L1285" s="13"/>
      <c r="M1285" s="14"/>
      <c r="N1285" s="14"/>
      <c r="O1285" s="4"/>
    </row>
    <row r="1286" spans="1:15">
      <c r="A1286" s="7"/>
      <c r="B1286" s="7"/>
      <c r="C1286" s="18"/>
      <c r="D1286" s="19"/>
      <c r="E1286" s="20"/>
      <c r="F1286" s="21"/>
      <c r="G1286" s="21"/>
      <c r="H1286" s="21"/>
      <c r="I1286" s="21"/>
      <c r="J1286" s="19"/>
      <c r="K1286" s="19"/>
      <c r="L1286" s="13"/>
      <c r="M1286" s="14"/>
      <c r="N1286" s="14"/>
      <c r="O1286" s="4"/>
    </row>
    <row r="1287" spans="1:15">
      <c r="A1287" s="7"/>
      <c r="B1287" s="7"/>
      <c r="C1287" s="18"/>
      <c r="D1287" s="19"/>
      <c r="E1287" s="20"/>
      <c r="F1287" s="21"/>
      <c r="G1287" s="21"/>
      <c r="H1287" s="21"/>
      <c r="I1287" s="21"/>
      <c r="J1287" s="19"/>
      <c r="K1287" s="19"/>
      <c r="L1287" s="13"/>
      <c r="M1287" s="14"/>
      <c r="N1287" s="14"/>
      <c r="O1287" s="4"/>
    </row>
    <row r="1288" spans="1:15">
      <c r="A1288" s="7"/>
      <c r="B1288" s="7"/>
      <c r="C1288" s="18"/>
      <c r="D1288" s="19"/>
      <c r="E1288" s="20"/>
      <c r="F1288" s="21"/>
      <c r="G1288" s="21"/>
      <c r="H1288" s="21"/>
      <c r="I1288" s="21"/>
      <c r="J1288" s="19"/>
      <c r="K1288" s="19"/>
      <c r="L1288" s="13"/>
      <c r="M1288" s="14"/>
      <c r="N1288" s="14"/>
      <c r="O1288" s="4"/>
    </row>
    <row r="1289" spans="1:15">
      <c r="A1289" s="7"/>
      <c r="B1289" s="7"/>
      <c r="C1289" s="18"/>
      <c r="D1289" s="19"/>
      <c r="E1289" s="20"/>
      <c r="F1289" s="21"/>
      <c r="G1289" s="21"/>
      <c r="H1289" s="21"/>
      <c r="I1289" s="21"/>
      <c r="J1289" s="19"/>
      <c r="K1289" s="19"/>
      <c r="L1289" s="13"/>
      <c r="M1289" s="14"/>
      <c r="N1289" s="14"/>
      <c r="O1289" s="4"/>
    </row>
    <row r="1290" spans="1:15">
      <c r="A1290" s="7"/>
      <c r="B1290" s="7"/>
      <c r="C1290" s="18"/>
      <c r="D1290" s="19"/>
      <c r="E1290" s="20"/>
      <c r="F1290" s="21"/>
      <c r="G1290" s="21"/>
      <c r="H1290" s="21"/>
      <c r="I1290" s="21"/>
      <c r="J1290" s="19"/>
      <c r="K1290" s="19"/>
      <c r="L1290" s="13"/>
      <c r="M1290" s="14"/>
      <c r="N1290" s="14"/>
      <c r="O1290" s="4"/>
    </row>
    <row r="1291" spans="1:15">
      <c r="A1291" s="7"/>
      <c r="B1291" s="7"/>
      <c r="C1291" s="18"/>
      <c r="D1291" s="19"/>
      <c r="E1291" s="20"/>
      <c r="F1291" s="21"/>
      <c r="G1291" s="21"/>
      <c r="H1291" s="21"/>
      <c r="I1291" s="21"/>
      <c r="J1291" s="19"/>
      <c r="K1291" s="19"/>
      <c r="L1291" s="13"/>
      <c r="M1291" s="14"/>
      <c r="N1291" s="14"/>
      <c r="O1291" s="4"/>
    </row>
    <row r="1292" spans="1:15">
      <c r="A1292" s="7"/>
      <c r="B1292" s="7"/>
      <c r="C1292" s="18"/>
      <c r="D1292" s="19"/>
      <c r="E1292" s="20"/>
      <c r="F1292" s="21"/>
      <c r="G1292" s="21"/>
      <c r="H1292" s="21"/>
      <c r="I1292" s="21"/>
      <c r="J1292" s="19"/>
      <c r="K1292" s="19"/>
      <c r="L1292" s="13"/>
      <c r="M1292" s="14"/>
      <c r="N1292" s="14"/>
      <c r="O1292" s="4"/>
    </row>
    <row r="1293" spans="1:15">
      <c r="A1293" s="7"/>
      <c r="B1293" s="7"/>
      <c r="C1293" s="18"/>
      <c r="D1293" s="19"/>
      <c r="E1293" s="20"/>
      <c r="F1293" s="21"/>
      <c r="G1293" s="21"/>
      <c r="H1293" s="21"/>
      <c r="I1293" s="21"/>
      <c r="J1293" s="19"/>
      <c r="K1293" s="19"/>
      <c r="L1293" s="13"/>
      <c r="M1293" s="14"/>
      <c r="N1293" s="14"/>
      <c r="O1293" s="4"/>
    </row>
    <row r="1294" spans="1:15">
      <c r="A1294" s="7"/>
      <c r="B1294" s="7"/>
      <c r="C1294" s="18"/>
      <c r="D1294" s="19"/>
      <c r="E1294" s="20"/>
      <c r="F1294" s="21"/>
      <c r="G1294" s="21"/>
      <c r="H1294" s="21"/>
      <c r="I1294" s="21"/>
      <c r="J1294" s="19"/>
      <c r="K1294" s="19"/>
      <c r="L1294" s="13"/>
      <c r="M1294" s="14"/>
      <c r="N1294" s="14"/>
      <c r="O1294" s="4"/>
    </row>
    <row r="1295" spans="1:15">
      <c r="A1295" s="7"/>
      <c r="B1295" s="7"/>
      <c r="C1295" s="18"/>
      <c r="D1295" s="19"/>
      <c r="E1295" s="20"/>
      <c r="F1295" s="21"/>
      <c r="G1295" s="21"/>
      <c r="H1295" s="21"/>
      <c r="I1295" s="21"/>
      <c r="J1295" s="19"/>
      <c r="K1295" s="19"/>
      <c r="L1295" s="13"/>
      <c r="M1295" s="14"/>
      <c r="N1295" s="14"/>
      <c r="O1295" s="4"/>
    </row>
    <row r="1296" spans="1:15">
      <c r="A1296" s="7"/>
      <c r="B1296" s="7"/>
      <c r="C1296" s="18"/>
      <c r="D1296" s="19"/>
      <c r="E1296" s="20"/>
      <c r="F1296" s="21"/>
      <c r="G1296" s="21"/>
      <c r="H1296" s="21"/>
      <c r="I1296" s="21"/>
      <c r="J1296" s="19"/>
      <c r="K1296" s="19"/>
      <c r="L1296" s="13"/>
      <c r="M1296" s="14"/>
      <c r="N1296" s="14"/>
      <c r="O1296" s="4"/>
    </row>
    <row r="1297" spans="1:15">
      <c r="A1297" s="7"/>
      <c r="B1297" s="7"/>
      <c r="C1297" s="18"/>
      <c r="D1297" s="19"/>
      <c r="E1297" s="20"/>
      <c r="F1297" s="21"/>
      <c r="G1297" s="21"/>
      <c r="H1297" s="21"/>
      <c r="I1297" s="21"/>
      <c r="J1297" s="19"/>
      <c r="K1297" s="19"/>
      <c r="L1297" s="13"/>
      <c r="M1297" s="14"/>
      <c r="N1297" s="14"/>
      <c r="O1297" s="4"/>
    </row>
    <row r="1298" spans="1:15">
      <c r="A1298" s="7"/>
      <c r="B1298" s="7"/>
      <c r="C1298" s="18"/>
      <c r="D1298" s="19"/>
      <c r="E1298" s="20"/>
      <c r="F1298" s="21"/>
      <c r="G1298" s="21"/>
      <c r="H1298" s="21"/>
      <c r="I1298" s="21"/>
      <c r="J1298" s="19"/>
      <c r="K1298" s="19"/>
      <c r="L1298" s="13"/>
      <c r="M1298" s="14"/>
      <c r="N1298" s="14"/>
      <c r="O1298" s="4"/>
    </row>
    <row r="1299" spans="1:15">
      <c r="A1299" s="7"/>
      <c r="B1299" s="7"/>
      <c r="C1299" s="18"/>
      <c r="D1299" s="19"/>
      <c r="E1299" s="20"/>
      <c r="F1299" s="21"/>
      <c r="G1299" s="21"/>
      <c r="H1299" s="21"/>
      <c r="I1299" s="21"/>
      <c r="J1299" s="19"/>
      <c r="K1299" s="19"/>
      <c r="L1299" s="13"/>
      <c r="M1299" s="14"/>
      <c r="N1299" s="14"/>
      <c r="O1299" s="4"/>
    </row>
    <row r="1300" spans="1:15">
      <c r="A1300" s="7"/>
      <c r="B1300" s="7"/>
      <c r="C1300" s="18"/>
      <c r="D1300" s="19"/>
      <c r="E1300" s="20"/>
      <c r="F1300" s="21"/>
      <c r="G1300" s="21"/>
      <c r="H1300" s="21"/>
      <c r="I1300" s="21"/>
      <c r="J1300" s="19"/>
      <c r="K1300" s="19"/>
      <c r="L1300" s="13"/>
      <c r="M1300" s="14"/>
      <c r="N1300" s="14"/>
      <c r="O1300" s="4"/>
    </row>
    <row r="1301" spans="1:15">
      <c r="A1301" s="7"/>
      <c r="B1301" s="7"/>
      <c r="C1301" s="18"/>
      <c r="D1301" s="19"/>
      <c r="E1301" s="20"/>
      <c r="F1301" s="21"/>
      <c r="G1301" s="21"/>
      <c r="H1301" s="21"/>
      <c r="I1301" s="21"/>
      <c r="J1301" s="19"/>
      <c r="K1301" s="19"/>
      <c r="L1301" s="13"/>
      <c r="M1301" s="14"/>
      <c r="N1301" s="14"/>
      <c r="O1301" s="4"/>
    </row>
    <row r="1302" spans="1:15">
      <c r="A1302" s="7"/>
      <c r="B1302" s="7"/>
      <c r="C1302" s="18"/>
      <c r="D1302" s="19"/>
      <c r="E1302" s="20"/>
      <c r="F1302" s="21"/>
      <c r="G1302" s="21"/>
      <c r="H1302" s="21"/>
      <c r="I1302" s="21"/>
      <c r="J1302" s="19"/>
      <c r="K1302" s="19"/>
      <c r="L1302" s="13"/>
      <c r="M1302" s="14"/>
      <c r="N1302" s="14"/>
      <c r="O1302" s="4"/>
    </row>
    <row r="1303" spans="1:15">
      <c r="A1303" s="7"/>
      <c r="B1303" s="7"/>
      <c r="C1303" s="18"/>
      <c r="D1303" s="19"/>
      <c r="E1303" s="20"/>
      <c r="F1303" s="21"/>
      <c r="G1303" s="21"/>
      <c r="H1303" s="21"/>
      <c r="I1303" s="21"/>
      <c r="J1303" s="19"/>
      <c r="K1303" s="19"/>
      <c r="L1303" s="13"/>
      <c r="M1303" s="14"/>
      <c r="N1303" s="14"/>
      <c r="O1303" s="4"/>
    </row>
    <row r="1304" spans="1:15">
      <c r="A1304" s="7"/>
      <c r="B1304" s="7"/>
      <c r="C1304" s="18"/>
      <c r="D1304" s="19"/>
      <c r="E1304" s="20"/>
      <c r="F1304" s="21"/>
      <c r="G1304" s="21"/>
      <c r="H1304" s="21"/>
      <c r="I1304" s="21"/>
      <c r="J1304" s="19"/>
      <c r="K1304" s="19"/>
      <c r="L1304" s="13"/>
      <c r="M1304" s="14"/>
      <c r="N1304" s="14"/>
      <c r="O1304" s="4"/>
    </row>
    <row r="1305" spans="1:15">
      <c r="A1305" s="7"/>
      <c r="B1305" s="7"/>
      <c r="C1305" s="18"/>
      <c r="D1305" s="19"/>
      <c r="E1305" s="20"/>
      <c r="F1305" s="21"/>
      <c r="G1305" s="21"/>
      <c r="H1305" s="21"/>
      <c r="I1305" s="21"/>
      <c r="J1305" s="19"/>
      <c r="K1305" s="19"/>
      <c r="L1305" s="13"/>
      <c r="M1305" s="14"/>
      <c r="N1305" s="14"/>
      <c r="O1305" s="4"/>
    </row>
    <row r="1306" spans="1:15">
      <c r="A1306" s="7"/>
      <c r="B1306" s="7"/>
      <c r="C1306" s="18"/>
      <c r="D1306" s="19"/>
      <c r="E1306" s="20"/>
      <c r="F1306" s="21"/>
      <c r="G1306" s="21"/>
      <c r="H1306" s="21"/>
      <c r="I1306" s="21"/>
      <c r="J1306" s="19"/>
      <c r="K1306" s="19"/>
      <c r="L1306" s="13"/>
      <c r="M1306" s="14"/>
      <c r="N1306" s="14"/>
      <c r="O1306" s="4"/>
    </row>
    <row r="1307" spans="1:15">
      <c r="A1307" s="7"/>
      <c r="B1307" s="7"/>
      <c r="C1307" s="18"/>
      <c r="D1307" s="19"/>
      <c r="E1307" s="20"/>
      <c r="F1307" s="21"/>
      <c r="G1307" s="21"/>
      <c r="H1307" s="21"/>
      <c r="I1307" s="21"/>
      <c r="J1307" s="19"/>
      <c r="K1307" s="19"/>
      <c r="L1307" s="13"/>
      <c r="M1307" s="14"/>
      <c r="N1307" s="14"/>
      <c r="O1307" s="4"/>
    </row>
    <row r="1308" spans="1:15">
      <c r="A1308" s="7"/>
      <c r="B1308" s="7"/>
      <c r="C1308" s="18"/>
      <c r="D1308" s="19"/>
      <c r="E1308" s="20"/>
      <c r="F1308" s="21"/>
      <c r="G1308" s="21"/>
      <c r="H1308" s="21"/>
      <c r="I1308" s="21"/>
      <c r="J1308" s="19"/>
      <c r="K1308" s="19"/>
      <c r="L1308" s="13"/>
      <c r="M1308" s="14"/>
      <c r="N1308" s="14"/>
      <c r="O1308" s="4"/>
    </row>
    <row r="1309" spans="1:15">
      <c r="A1309" s="7"/>
      <c r="B1309" s="7"/>
      <c r="C1309" s="18"/>
      <c r="D1309" s="19"/>
      <c r="E1309" s="20"/>
      <c r="F1309" s="21"/>
      <c r="G1309" s="21"/>
      <c r="H1309" s="21"/>
      <c r="I1309" s="21"/>
      <c r="J1309" s="19"/>
      <c r="K1309" s="19"/>
      <c r="L1309" s="13"/>
      <c r="M1309" s="14"/>
      <c r="N1309" s="14"/>
      <c r="O1309" s="4"/>
    </row>
    <row r="1310" spans="1:15">
      <c r="A1310" s="7"/>
      <c r="B1310" s="7"/>
      <c r="C1310" s="18"/>
      <c r="D1310" s="19"/>
      <c r="E1310" s="20"/>
      <c r="F1310" s="21"/>
      <c r="G1310" s="21"/>
      <c r="H1310" s="21"/>
      <c r="I1310" s="21"/>
      <c r="J1310" s="19"/>
      <c r="K1310" s="19"/>
      <c r="L1310" s="13"/>
      <c r="M1310" s="14"/>
      <c r="N1310" s="14"/>
      <c r="O1310" s="4"/>
    </row>
    <row r="1311" spans="1:15">
      <c r="A1311" s="7"/>
      <c r="B1311" s="7"/>
      <c r="C1311" s="18"/>
      <c r="D1311" s="19"/>
      <c r="E1311" s="20"/>
      <c r="F1311" s="21"/>
      <c r="G1311" s="21"/>
      <c r="H1311" s="21"/>
      <c r="I1311" s="21"/>
      <c r="J1311" s="19"/>
      <c r="K1311" s="19"/>
      <c r="L1311" s="13"/>
      <c r="M1311" s="14"/>
      <c r="N1311" s="14"/>
      <c r="O1311" s="4"/>
    </row>
    <row r="1312" spans="1:15">
      <c r="A1312" s="7"/>
      <c r="B1312" s="7"/>
      <c r="C1312" s="18"/>
      <c r="D1312" s="19"/>
      <c r="E1312" s="20"/>
      <c r="F1312" s="21"/>
      <c r="G1312" s="21"/>
      <c r="H1312" s="21"/>
      <c r="I1312" s="21"/>
      <c r="J1312" s="19"/>
      <c r="K1312" s="19"/>
      <c r="L1312" s="13"/>
      <c r="M1312" s="14"/>
      <c r="N1312" s="14"/>
      <c r="O1312" s="4"/>
    </row>
    <row r="1313" spans="1:15">
      <c r="A1313" s="7"/>
      <c r="B1313" s="7"/>
      <c r="C1313" s="18"/>
      <c r="D1313" s="19"/>
      <c r="E1313" s="20"/>
      <c r="F1313" s="21"/>
      <c r="G1313" s="21"/>
      <c r="H1313" s="21"/>
      <c r="I1313" s="21"/>
      <c r="J1313" s="19"/>
      <c r="K1313" s="19"/>
      <c r="L1313" s="13"/>
      <c r="M1313" s="14"/>
      <c r="N1313" s="14"/>
      <c r="O1313" s="4"/>
    </row>
    <row r="1314" spans="1:15">
      <c r="A1314" s="7"/>
      <c r="B1314" s="7"/>
      <c r="C1314" s="18"/>
      <c r="D1314" s="19"/>
      <c r="E1314" s="20"/>
      <c r="F1314" s="21"/>
      <c r="G1314" s="21"/>
      <c r="H1314" s="21"/>
      <c r="I1314" s="21"/>
      <c r="J1314" s="19"/>
      <c r="K1314" s="19"/>
      <c r="L1314" s="13"/>
      <c r="M1314" s="14"/>
      <c r="N1314" s="14"/>
      <c r="O1314" s="4"/>
    </row>
    <row r="1315" spans="1:15">
      <c r="A1315" s="7"/>
      <c r="B1315" s="7"/>
      <c r="C1315" s="18"/>
      <c r="D1315" s="19"/>
      <c r="E1315" s="20"/>
      <c r="F1315" s="21"/>
      <c r="G1315" s="21"/>
      <c r="H1315" s="21"/>
      <c r="I1315" s="21"/>
      <c r="J1315" s="19"/>
      <c r="K1315" s="19"/>
      <c r="L1315" s="13"/>
      <c r="M1315" s="14"/>
      <c r="N1315" s="14"/>
      <c r="O1315" s="4"/>
    </row>
    <row r="1316" spans="1:15">
      <c r="A1316" s="7"/>
      <c r="B1316" s="7"/>
      <c r="C1316" s="18"/>
      <c r="D1316" s="19"/>
      <c r="E1316" s="20"/>
      <c r="F1316" s="21"/>
      <c r="G1316" s="21"/>
      <c r="H1316" s="21"/>
      <c r="I1316" s="21"/>
      <c r="J1316" s="19"/>
      <c r="K1316" s="19"/>
      <c r="L1316" s="13"/>
      <c r="M1316" s="14"/>
      <c r="N1316" s="14"/>
      <c r="O1316" s="4"/>
    </row>
    <row r="1317" spans="1:15">
      <c r="A1317" s="7"/>
      <c r="B1317" s="7"/>
      <c r="C1317" s="18"/>
      <c r="D1317" s="19"/>
      <c r="E1317" s="20"/>
      <c r="F1317" s="21"/>
      <c r="G1317" s="21"/>
      <c r="H1317" s="21"/>
      <c r="I1317" s="21"/>
      <c r="J1317" s="19"/>
      <c r="K1317" s="19"/>
      <c r="L1317" s="13"/>
      <c r="M1317" s="14"/>
      <c r="N1317" s="14"/>
      <c r="O1317" s="4"/>
    </row>
    <row r="1318" spans="1:15">
      <c r="A1318" s="7"/>
      <c r="B1318" s="7"/>
      <c r="C1318" s="18"/>
      <c r="D1318" s="19"/>
      <c r="E1318" s="20"/>
      <c r="F1318" s="21"/>
      <c r="G1318" s="21"/>
      <c r="H1318" s="21"/>
      <c r="I1318" s="21"/>
      <c r="J1318" s="19"/>
      <c r="K1318" s="19"/>
      <c r="L1318" s="13"/>
      <c r="M1318" s="14"/>
      <c r="N1318" s="14"/>
      <c r="O1318" s="4"/>
    </row>
    <row r="1319" spans="1:15">
      <c r="A1319" s="7"/>
      <c r="B1319" s="7"/>
      <c r="C1319" s="18"/>
      <c r="D1319" s="19"/>
      <c r="E1319" s="20"/>
      <c r="F1319" s="21"/>
      <c r="G1319" s="21"/>
      <c r="H1319" s="21"/>
      <c r="I1319" s="21"/>
      <c r="J1319" s="19"/>
      <c r="K1319" s="19"/>
      <c r="L1319" s="13"/>
      <c r="M1319" s="14"/>
      <c r="N1319" s="14"/>
      <c r="O1319" s="4"/>
    </row>
    <row r="1320" spans="1:15">
      <c r="A1320" s="7"/>
      <c r="B1320" s="7"/>
      <c r="C1320" s="18"/>
      <c r="D1320" s="19"/>
      <c r="E1320" s="20"/>
      <c r="F1320" s="21"/>
      <c r="G1320" s="21"/>
      <c r="H1320" s="21"/>
      <c r="I1320" s="21"/>
      <c r="J1320" s="19"/>
      <c r="K1320" s="19"/>
      <c r="L1320" s="13"/>
      <c r="M1320" s="14"/>
      <c r="N1320" s="14"/>
      <c r="O1320" s="4"/>
    </row>
    <row r="1321" spans="1:15">
      <c r="A1321" s="7"/>
      <c r="B1321" s="7"/>
      <c r="C1321" s="18"/>
      <c r="D1321" s="19"/>
      <c r="E1321" s="20"/>
      <c r="F1321" s="21"/>
      <c r="G1321" s="21"/>
      <c r="H1321" s="21"/>
      <c r="I1321" s="21"/>
      <c r="J1321" s="19"/>
      <c r="K1321" s="19"/>
      <c r="L1321" s="13"/>
      <c r="M1321" s="14"/>
      <c r="N1321" s="14"/>
      <c r="O1321" s="4"/>
    </row>
    <row r="1322" spans="1:15">
      <c r="A1322" s="7"/>
      <c r="B1322" s="7"/>
      <c r="C1322" s="18"/>
      <c r="D1322" s="19"/>
      <c r="E1322" s="20"/>
      <c r="F1322" s="21"/>
      <c r="G1322" s="21"/>
      <c r="H1322" s="21"/>
      <c r="I1322" s="21"/>
      <c r="J1322" s="19"/>
      <c r="K1322" s="19"/>
      <c r="L1322" s="13"/>
      <c r="M1322" s="14"/>
      <c r="N1322" s="14"/>
      <c r="O1322" s="4"/>
    </row>
    <row r="1323" spans="1:15">
      <c r="A1323" s="7"/>
      <c r="B1323" s="7"/>
      <c r="C1323" s="18"/>
      <c r="D1323" s="19"/>
      <c r="E1323" s="20"/>
      <c r="F1323" s="21"/>
      <c r="G1323" s="21"/>
      <c r="H1323" s="21"/>
      <c r="I1323" s="21"/>
      <c r="J1323" s="19"/>
      <c r="K1323" s="19"/>
      <c r="L1323" s="13"/>
      <c r="M1323" s="14"/>
      <c r="N1323" s="14"/>
      <c r="O1323" s="4"/>
    </row>
    <row r="1324" spans="1:15">
      <c r="A1324" s="7"/>
      <c r="B1324" s="7"/>
      <c r="C1324" s="18"/>
      <c r="D1324" s="19"/>
      <c r="E1324" s="20"/>
      <c r="F1324" s="21"/>
      <c r="G1324" s="21"/>
      <c r="H1324" s="21"/>
      <c r="I1324" s="21"/>
      <c r="J1324" s="19"/>
      <c r="K1324" s="19"/>
      <c r="L1324" s="13"/>
      <c r="M1324" s="14"/>
      <c r="N1324" s="14"/>
      <c r="O1324" s="4"/>
    </row>
    <row r="1325" spans="1:15">
      <c r="A1325" s="7"/>
      <c r="B1325" s="7"/>
      <c r="C1325" s="18"/>
      <c r="D1325" s="19"/>
      <c r="E1325" s="20"/>
      <c r="F1325" s="21"/>
      <c r="G1325" s="21"/>
      <c r="H1325" s="21"/>
      <c r="I1325" s="21"/>
      <c r="J1325" s="19"/>
      <c r="K1325" s="19"/>
      <c r="L1325" s="13"/>
      <c r="M1325" s="14"/>
      <c r="N1325" s="14"/>
      <c r="O1325" s="4"/>
    </row>
    <row r="1326" spans="1:15">
      <c r="A1326" s="7"/>
      <c r="B1326" s="7"/>
      <c r="C1326" s="18"/>
      <c r="D1326" s="19"/>
      <c r="E1326" s="20"/>
      <c r="F1326" s="21"/>
      <c r="G1326" s="21"/>
      <c r="H1326" s="21"/>
      <c r="I1326" s="21"/>
      <c r="J1326" s="19"/>
      <c r="K1326" s="19"/>
      <c r="L1326" s="13"/>
      <c r="M1326" s="14"/>
      <c r="N1326" s="14"/>
      <c r="O1326" s="4"/>
    </row>
    <row r="1327" spans="1:15">
      <c r="A1327" s="7"/>
      <c r="B1327" s="7"/>
      <c r="C1327" s="18"/>
      <c r="D1327" s="19"/>
      <c r="E1327" s="20"/>
      <c r="F1327" s="21"/>
      <c r="G1327" s="21"/>
      <c r="H1327" s="21"/>
      <c r="I1327" s="21"/>
      <c r="J1327" s="19"/>
      <c r="K1327" s="19"/>
      <c r="L1327" s="13"/>
      <c r="M1327" s="14"/>
      <c r="N1327" s="14"/>
      <c r="O1327" s="4"/>
    </row>
    <row r="1328" spans="1:15">
      <c r="A1328" s="7"/>
      <c r="B1328" s="7"/>
      <c r="C1328" s="18"/>
      <c r="D1328" s="19"/>
      <c r="E1328" s="20"/>
      <c r="F1328" s="21"/>
      <c r="G1328" s="21"/>
      <c r="H1328" s="21"/>
      <c r="I1328" s="21"/>
      <c r="J1328" s="19"/>
      <c r="K1328" s="19"/>
      <c r="L1328" s="13"/>
      <c r="M1328" s="14"/>
      <c r="N1328" s="14"/>
      <c r="O1328" s="4"/>
    </row>
    <row r="1329" spans="1:15">
      <c r="A1329" s="7"/>
      <c r="B1329" s="7"/>
      <c r="C1329" s="18"/>
      <c r="D1329" s="19"/>
      <c r="E1329" s="20"/>
      <c r="F1329" s="21"/>
      <c r="G1329" s="21"/>
      <c r="H1329" s="21"/>
      <c r="I1329" s="21"/>
      <c r="J1329" s="19"/>
      <c r="K1329" s="19"/>
      <c r="L1329" s="13"/>
      <c r="M1329" s="14"/>
      <c r="N1329" s="14"/>
      <c r="O1329" s="4"/>
    </row>
    <row r="1330" spans="1:15">
      <c r="A1330" s="15"/>
      <c r="B1330" s="17"/>
      <c r="C1330" s="18"/>
      <c r="D1330" s="19"/>
      <c r="E1330" s="20"/>
      <c r="F1330" s="21"/>
      <c r="G1330" s="21"/>
      <c r="H1330" s="21"/>
      <c r="I1330" s="21"/>
      <c r="J1330" s="19"/>
      <c r="K1330" s="19"/>
      <c r="L1330" s="13"/>
      <c r="M1330" s="14"/>
      <c r="N1330" s="14"/>
      <c r="O1330" s="4"/>
    </row>
    <row r="1331" spans="1:15">
      <c r="A1331" s="15"/>
      <c r="B1331" s="17"/>
      <c r="C1331" s="18"/>
      <c r="D1331" s="19"/>
      <c r="E1331" s="20"/>
      <c r="F1331" s="21"/>
      <c r="G1331" s="21"/>
      <c r="H1331" s="21"/>
      <c r="I1331" s="21"/>
      <c r="J1331" s="19"/>
      <c r="K1331" s="19"/>
      <c r="L1331" s="13"/>
      <c r="M1331" s="14"/>
      <c r="N1331" s="14"/>
      <c r="O1331" s="4"/>
    </row>
    <row r="1332" spans="1:15">
      <c r="A1332" s="15"/>
      <c r="B1332" s="17"/>
      <c r="C1332" s="18"/>
      <c r="D1332" s="19"/>
      <c r="E1332" s="20"/>
      <c r="F1332" s="21"/>
      <c r="G1332" s="21"/>
      <c r="H1332" s="21"/>
      <c r="I1332" s="21"/>
      <c r="J1332" s="19"/>
      <c r="K1332" s="19"/>
      <c r="L1332" s="13"/>
      <c r="M1332" s="14"/>
      <c r="N1332" s="14"/>
      <c r="O1332" s="4"/>
    </row>
    <row r="1333" spans="1:15">
      <c r="A1333" s="15"/>
      <c r="B1333" s="17"/>
      <c r="C1333" s="18"/>
      <c r="D1333" s="19"/>
      <c r="E1333" s="20"/>
      <c r="F1333" s="21"/>
      <c r="G1333" s="21"/>
      <c r="H1333" s="21"/>
      <c r="I1333" s="21"/>
      <c r="J1333" s="19"/>
      <c r="K1333" s="19"/>
      <c r="L1333" s="13"/>
      <c r="M1333" s="14"/>
      <c r="N1333" s="14"/>
      <c r="O1333" s="4"/>
    </row>
    <row r="1334" spans="1:15">
      <c r="A1334" s="15"/>
      <c r="B1334" s="17"/>
      <c r="C1334" s="18"/>
      <c r="D1334" s="19"/>
      <c r="E1334" s="20"/>
      <c r="F1334" s="21"/>
      <c r="G1334" s="21"/>
      <c r="H1334" s="21"/>
      <c r="I1334" s="21"/>
      <c r="J1334" s="19"/>
      <c r="K1334" s="19"/>
      <c r="L1334" s="13"/>
      <c r="M1334" s="14"/>
      <c r="N1334" s="14"/>
      <c r="O1334" s="4"/>
    </row>
    <row r="1335" spans="1:15">
      <c r="A1335" s="15"/>
      <c r="B1335" s="17"/>
      <c r="C1335" s="18"/>
      <c r="D1335" s="19"/>
      <c r="E1335" s="20"/>
      <c r="F1335" s="21"/>
      <c r="G1335" s="21"/>
      <c r="H1335" s="21"/>
      <c r="I1335" s="21"/>
      <c r="J1335" s="19"/>
      <c r="K1335" s="19"/>
      <c r="L1335" s="13"/>
      <c r="M1335" s="14"/>
      <c r="N1335" s="14"/>
      <c r="O1335" s="4"/>
    </row>
    <row r="1336" spans="1:15">
      <c r="A1336" s="15"/>
      <c r="B1336" s="17"/>
      <c r="C1336" s="18"/>
      <c r="D1336" s="19"/>
      <c r="E1336" s="20"/>
      <c r="F1336" s="21"/>
      <c r="G1336" s="21"/>
      <c r="H1336" s="21"/>
      <c r="I1336" s="21"/>
      <c r="J1336" s="19"/>
      <c r="K1336" s="19"/>
      <c r="L1336" s="13"/>
      <c r="M1336" s="14"/>
      <c r="N1336" s="14"/>
      <c r="O1336" s="4"/>
    </row>
    <row r="1337" spans="1:15">
      <c r="A1337" s="15"/>
      <c r="B1337" s="17"/>
      <c r="C1337" s="18"/>
      <c r="D1337" s="19"/>
      <c r="E1337" s="20"/>
      <c r="F1337" s="21"/>
      <c r="G1337" s="21"/>
      <c r="H1337" s="21"/>
      <c r="I1337" s="21"/>
      <c r="J1337" s="19"/>
      <c r="K1337" s="19"/>
      <c r="L1337" s="13"/>
      <c r="M1337" s="14"/>
      <c r="N1337" s="14"/>
      <c r="O1337" s="4"/>
    </row>
    <row r="1338" spans="1:15">
      <c r="A1338" s="15"/>
      <c r="B1338" s="17"/>
      <c r="C1338" s="18"/>
      <c r="D1338" s="19"/>
      <c r="E1338" s="20"/>
      <c r="F1338" s="21"/>
      <c r="G1338" s="21"/>
      <c r="H1338" s="21"/>
      <c r="I1338" s="21"/>
      <c r="J1338" s="19"/>
      <c r="K1338" s="19"/>
      <c r="L1338" s="13"/>
      <c r="M1338" s="14"/>
      <c r="N1338" s="14"/>
      <c r="O1338" s="4"/>
    </row>
    <row r="1339" spans="1:15">
      <c r="A1339" s="15"/>
      <c r="B1339" s="17"/>
      <c r="C1339" s="18"/>
      <c r="D1339" s="19"/>
      <c r="E1339" s="20"/>
      <c r="F1339" s="21"/>
      <c r="G1339" s="21"/>
      <c r="H1339" s="21"/>
      <c r="I1339" s="21"/>
      <c r="J1339" s="19"/>
      <c r="K1339" s="19"/>
      <c r="L1339" s="13"/>
      <c r="M1339" s="14"/>
      <c r="N1339" s="14"/>
      <c r="O1339" s="4"/>
    </row>
    <row r="1340" spans="1:15">
      <c r="A1340" s="15"/>
      <c r="B1340" s="17"/>
      <c r="C1340" s="18"/>
      <c r="D1340" s="19"/>
      <c r="E1340" s="20"/>
      <c r="F1340" s="21"/>
      <c r="G1340" s="21"/>
      <c r="H1340" s="21"/>
      <c r="I1340" s="21"/>
      <c r="J1340" s="19"/>
      <c r="K1340" s="19"/>
      <c r="L1340" s="13"/>
      <c r="M1340" s="14"/>
      <c r="N1340" s="14"/>
      <c r="O1340" s="4"/>
    </row>
    <row r="1341" spans="1:15">
      <c r="A1341" s="15"/>
      <c r="B1341" s="17"/>
      <c r="C1341" s="18"/>
      <c r="D1341" s="19"/>
      <c r="E1341" s="20"/>
      <c r="F1341" s="21"/>
      <c r="G1341" s="21"/>
      <c r="H1341" s="21"/>
      <c r="I1341" s="21"/>
      <c r="J1341" s="19"/>
      <c r="K1341" s="19"/>
      <c r="L1341" s="13"/>
      <c r="M1341" s="14"/>
      <c r="N1341" s="14"/>
      <c r="O1341" s="4"/>
    </row>
    <row r="1342" spans="1:15">
      <c r="A1342" s="15"/>
      <c r="B1342" s="17"/>
      <c r="C1342" s="18"/>
      <c r="D1342" s="19"/>
      <c r="E1342" s="20"/>
      <c r="F1342" s="21"/>
      <c r="G1342" s="21"/>
      <c r="H1342" s="21"/>
      <c r="I1342" s="21"/>
      <c r="J1342" s="19"/>
      <c r="K1342" s="19"/>
      <c r="L1342" s="13"/>
      <c r="M1342" s="14"/>
      <c r="N1342" s="14"/>
      <c r="O1342" s="4"/>
    </row>
    <row r="1343" spans="1:15">
      <c r="A1343" s="15"/>
      <c r="B1343" s="17"/>
      <c r="C1343" s="18"/>
      <c r="D1343" s="19"/>
      <c r="E1343" s="20"/>
      <c r="F1343" s="21"/>
      <c r="G1343" s="21"/>
      <c r="H1343" s="21"/>
      <c r="I1343" s="21"/>
      <c r="J1343" s="19"/>
      <c r="K1343" s="19"/>
      <c r="L1343" s="13"/>
      <c r="M1343" s="14"/>
      <c r="N1343" s="14"/>
      <c r="O1343" s="4"/>
    </row>
    <row r="1344" spans="1:15">
      <c r="A1344" s="15"/>
      <c r="B1344" s="17"/>
      <c r="C1344" s="18"/>
      <c r="D1344" s="19"/>
      <c r="E1344" s="20"/>
      <c r="F1344" s="21"/>
      <c r="G1344" s="21"/>
      <c r="H1344" s="21"/>
      <c r="I1344" s="21"/>
      <c r="J1344" s="19"/>
      <c r="K1344" s="19"/>
      <c r="L1344" s="13"/>
      <c r="M1344" s="14"/>
      <c r="N1344" s="14"/>
      <c r="O1344" s="4"/>
    </row>
    <row r="1345" spans="1:15">
      <c r="A1345" s="15"/>
      <c r="B1345" s="17"/>
      <c r="C1345" s="18"/>
      <c r="D1345" s="19"/>
      <c r="E1345" s="20"/>
      <c r="F1345" s="21"/>
      <c r="G1345" s="21"/>
      <c r="H1345" s="21"/>
      <c r="I1345" s="21"/>
      <c r="J1345" s="19"/>
      <c r="K1345" s="19"/>
      <c r="L1345" s="13"/>
      <c r="M1345" s="14"/>
      <c r="N1345" s="14"/>
      <c r="O1345" s="4"/>
    </row>
    <row r="1346" spans="1:15">
      <c r="A1346" s="15"/>
      <c r="B1346" s="17"/>
      <c r="C1346" s="18"/>
      <c r="D1346" s="19"/>
      <c r="E1346" s="20"/>
      <c r="F1346" s="21"/>
      <c r="G1346" s="21"/>
      <c r="H1346" s="21"/>
      <c r="I1346" s="21"/>
      <c r="J1346" s="19"/>
      <c r="K1346" s="19"/>
      <c r="L1346" s="13"/>
      <c r="M1346" s="14"/>
      <c r="N1346" s="14"/>
      <c r="O1346" s="4"/>
    </row>
    <row r="1347" spans="1:15">
      <c r="A1347" s="15"/>
      <c r="B1347" s="17"/>
      <c r="C1347" s="18"/>
      <c r="D1347" s="19"/>
      <c r="E1347" s="20"/>
      <c r="F1347" s="21"/>
      <c r="G1347" s="21"/>
      <c r="H1347" s="21"/>
      <c r="I1347" s="21"/>
      <c r="J1347" s="19"/>
      <c r="K1347" s="19"/>
      <c r="L1347" s="13"/>
      <c r="M1347" s="14"/>
      <c r="N1347" s="14"/>
      <c r="O1347" s="4"/>
    </row>
    <row r="1348" spans="1:15">
      <c r="A1348" s="15"/>
      <c r="B1348" s="17"/>
      <c r="C1348" s="18"/>
      <c r="D1348" s="19"/>
      <c r="E1348" s="20"/>
      <c r="F1348" s="21"/>
      <c r="G1348" s="21"/>
      <c r="H1348" s="21"/>
      <c r="I1348" s="21"/>
      <c r="J1348" s="19"/>
      <c r="K1348" s="19"/>
      <c r="L1348" s="13"/>
      <c r="M1348" s="14"/>
      <c r="N1348" s="14"/>
      <c r="O1348" s="4"/>
    </row>
    <row r="1349" spans="1:15">
      <c r="A1349" s="15"/>
      <c r="B1349" s="17"/>
      <c r="C1349" s="18"/>
      <c r="D1349" s="19"/>
      <c r="E1349" s="20"/>
      <c r="F1349" s="21"/>
      <c r="G1349" s="21"/>
      <c r="H1349" s="21"/>
      <c r="I1349" s="21"/>
      <c r="J1349" s="19"/>
      <c r="K1349" s="19"/>
      <c r="L1349" s="13"/>
      <c r="M1349" s="14"/>
      <c r="N1349" s="14"/>
      <c r="O1349" s="4"/>
    </row>
    <row r="1350" spans="1:15">
      <c r="A1350" s="15"/>
      <c r="B1350" s="17"/>
      <c r="C1350" s="18"/>
      <c r="D1350" s="19"/>
      <c r="E1350" s="20"/>
      <c r="F1350" s="21"/>
      <c r="G1350" s="21"/>
      <c r="H1350" s="21"/>
      <c r="I1350" s="21"/>
      <c r="J1350" s="19"/>
      <c r="K1350" s="19"/>
      <c r="L1350" s="13"/>
      <c r="M1350" s="14"/>
      <c r="N1350" s="14"/>
      <c r="O1350" s="4"/>
    </row>
    <row r="1351" spans="1:15">
      <c r="A1351" s="15"/>
      <c r="B1351" s="17"/>
      <c r="C1351" s="18"/>
      <c r="D1351" s="19"/>
      <c r="E1351" s="20"/>
      <c r="F1351" s="21"/>
      <c r="G1351" s="21"/>
      <c r="H1351" s="21"/>
      <c r="I1351" s="21"/>
      <c r="J1351" s="19"/>
      <c r="K1351" s="19"/>
      <c r="L1351" s="13"/>
      <c r="M1351" s="14"/>
      <c r="N1351" s="14"/>
      <c r="O1351" s="4"/>
    </row>
    <row r="1352" spans="1:15">
      <c r="A1352" s="15"/>
      <c r="B1352" s="17"/>
      <c r="C1352" s="18"/>
      <c r="D1352" s="19"/>
      <c r="E1352" s="20"/>
      <c r="F1352" s="21"/>
      <c r="G1352" s="21"/>
      <c r="H1352" s="21"/>
      <c r="I1352" s="21"/>
      <c r="J1352" s="19"/>
      <c r="K1352" s="19"/>
      <c r="L1352" s="13"/>
      <c r="M1352" s="14"/>
      <c r="N1352" s="14"/>
      <c r="O1352" s="4"/>
    </row>
    <row r="1353" spans="1:15">
      <c r="A1353" s="15"/>
      <c r="B1353" s="17"/>
      <c r="C1353" s="18"/>
      <c r="D1353" s="19"/>
      <c r="E1353" s="20"/>
      <c r="F1353" s="21"/>
      <c r="G1353" s="21"/>
      <c r="H1353" s="21"/>
      <c r="I1353" s="21"/>
      <c r="J1353" s="19"/>
      <c r="K1353" s="19"/>
      <c r="L1353" s="13"/>
      <c r="M1353" s="14"/>
      <c r="N1353" s="14"/>
      <c r="O1353" s="4"/>
    </row>
    <row r="1354" spans="1:15">
      <c r="A1354" s="15"/>
      <c r="B1354" s="17"/>
      <c r="C1354" s="18"/>
      <c r="D1354" s="19"/>
      <c r="E1354" s="20"/>
      <c r="F1354" s="21"/>
      <c r="G1354" s="21"/>
      <c r="H1354" s="21"/>
      <c r="I1354" s="21"/>
      <c r="J1354" s="19"/>
      <c r="K1354" s="19"/>
      <c r="L1354" s="13"/>
      <c r="M1354" s="14"/>
      <c r="N1354" s="14"/>
      <c r="O1354" s="4"/>
    </row>
    <row r="1355" spans="1:15">
      <c r="A1355" s="15"/>
      <c r="B1355" s="17"/>
      <c r="C1355" s="18"/>
      <c r="D1355" s="19"/>
      <c r="E1355" s="20"/>
      <c r="F1355" s="21"/>
      <c r="G1355" s="21"/>
      <c r="H1355" s="21"/>
      <c r="I1355" s="21"/>
      <c r="J1355" s="19"/>
      <c r="K1355" s="19"/>
      <c r="L1355" s="13"/>
      <c r="M1355" s="14"/>
      <c r="N1355" s="14"/>
      <c r="O1355" s="4"/>
    </row>
    <row r="1356" spans="1:15">
      <c r="A1356" s="15"/>
      <c r="B1356" s="17"/>
      <c r="C1356" s="18"/>
      <c r="D1356" s="19"/>
      <c r="E1356" s="20"/>
      <c r="F1356" s="21"/>
      <c r="G1356" s="21"/>
      <c r="H1356" s="21"/>
      <c r="I1356" s="21"/>
      <c r="J1356" s="19"/>
      <c r="K1356" s="19"/>
      <c r="L1356" s="13"/>
      <c r="M1356" s="14"/>
      <c r="N1356" s="14"/>
      <c r="O1356" s="4"/>
    </row>
    <row r="1357" spans="1:15">
      <c r="A1357" s="15"/>
      <c r="B1357" s="17"/>
      <c r="C1357" s="18"/>
      <c r="D1357" s="19"/>
      <c r="E1357" s="20"/>
      <c r="F1357" s="21"/>
      <c r="G1357" s="21"/>
      <c r="H1357" s="21"/>
      <c r="I1357" s="21"/>
      <c r="J1357" s="19"/>
      <c r="K1357" s="19"/>
      <c r="L1357" s="13"/>
      <c r="M1357" s="14"/>
      <c r="N1357" s="14"/>
      <c r="O1357" s="4"/>
    </row>
    <row r="1358" spans="1:15">
      <c r="A1358" s="15"/>
      <c r="B1358" s="17"/>
      <c r="C1358" s="18"/>
      <c r="D1358" s="19"/>
      <c r="E1358" s="20"/>
      <c r="F1358" s="21"/>
      <c r="G1358" s="21"/>
      <c r="H1358" s="21"/>
      <c r="I1358" s="21"/>
      <c r="J1358" s="19"/>
      <c r="K1358" s="19"/>
      <c r="L1358" s="13"/>
      <c r="M1358" s="14"/>
      <c r="N1358" s="14"/>
      <c r="O1358" s="4"/>
    </row>
    <row r="1359" spans="1:15">
      <c r="A1359" s="15"/>
      <c r="B1359" s="17"/>
      <c r="C1359" s="18"/>
      <c r="D1359" s="19"/>
      <c r="E1359" s="20"/>
      <c r="F1359" s="21"/>
      <c r="G1359" s="21"/>
      <c r="H1359" s="21"/>
      <c r="I1359" s="21"/>
      <c r="J1359" s="19"/>
      <c r="K1359" s="19"/>
      <c r="L1359" s="13"/>
      <c r="M1359" s="14"/>
      <c r="N1359" s="14"/>
      <c r="O1359" s="4"/>
    </row>
    <row r="1360" spans="1:15">
      <c r="A1360" s="15"/>
      <c r="B1360" s="17"/>
      <c r="C1360" s="18"/>
      <c r="D1360" s="19"/>
      <c r="E1360" s="20"/>
      <c r="F1360" s="21"/>
      <c r="G1360" s="21"/>
      <c r="H1360" s="21"/>
      <c r="I1360" s="21"/>
      <c r="J1360" s="19"/>
      <c r="K1360" s="19"/>
      <c r="L1360" s="13"/>
      <c r="M1360" s="14"/>
      <c r="N1360" s="14"/>
      <c r="O1360" s="4"/>
    </row>
    <row r="1361" spans="1:15">
      <c r="A1361" s="15"/>
      <c r="B1361" s="17"/>
      <c r="C1361" s="18"/>
      <c r="D1361" s="19"/>
      <c r="E1361" s="20"/>
      <c r="F1361" s="21"/>
      <c r="G1361" s="21"/>
      <c r="H1361" s="21"/>
      <c r="I1361" s="21"/>
      <c r="J1361" s="19"/>
      <c r="K1361" s="19"/>
      <c r="L1361" s="13"/>
      <c r="M1361" s="14"/>
      <c r="N1361" s="14"/>
      <c r="O1361" s="4"/>
    </row>
    <row r="1362" spans="1:15">
      <c r="A1362" s="15"/>
      <c r="B1362" s="17"/>
      <c r="C1362" s="18"/>
      <c r="D1362" s="19"/>
      <c r="E1362" s="20"/>
      <c r="F1362" s="21"/>
      <c r="G1362" s="21"/>
      <c r="H1362" s="21"/>
      <c r="I1362" s="21"/>
      <c r="J1362" s="19"/>
      <c r="K1362" s="19"/>
      <c r="L1362" s="13"/>
      <c r="M1362" s="14"/>
      <c r="N1362" s="14"/>
      <c r="O1362" s="4"/>
    </row>
    <row r="1363" spans="1:15">
      <c r="A1363" s="15"/>
      <c r="B1363" s="17"/>
      <c r="C1363" s="18"/>
      <c r="D1363" s="19"/>
      <c r="E1363" s="20"/>
      <c r="F1363" s="21"/>
      <c r="G1363" s="21"/>
      <c r="H1363" s="21"/>
      <c r="I1363" s="21"/>
      <c r="J1363" s="19"/>
      <c r="K1363" s="19"/>
      <c r="L1363" s="13"/>
      <c r="M1363" s="14"/>
      <c r="N1363" s="14"/>
      <c r="O1363" s="4"/>
    </row>
    <row r="1364" spans="1:15">
      <c r="A1364" s="15"/>
      <c r="B1364" s="17"/>
      <c r="C1364" s="18"/>
      <c r="D1364" s="19"/>
      <c r="E1364" s="20"/>
      <c r="F1364" s="21"/>
      <c r="G1364" s="21"/>
      <c r="H1364" s="21"/>
      <c r="I1364" s="21"/>
      <c r="J1364" s="19"/>
      <c r="K1364" s="19"/>
      <c r="L1364" s="13"/>
      <c r="M1364" s="14"/>
      <c r="N1364" s="14"/>
      <c r="O1364" s="4"/>
    </row>
    <row r="1365" spans="1:15">
      <c r="A1365" s="15"/>
      <c r="B1365" s="17"/>
      <c r="C1365" s="18"/>
      <c r="D1365" s="19"/>
      <c r="E1365" s="20"/>
      <c r="F1365" s="21"/>
      <c r="G1365" s="21"/>
      <c r="H1365" s="21"/>
      <c r="I1365" s="21"/>
      <c r="J1365" s="19"/>
      <c r="K1365" s="19"/>
      <c r="L1365" s="13"/>
      <c r="M1365" s="14"/>
      <c r="N1365" s="14"/>
      <c r="O1365" s="4"/>
    </row>
    <row r="1366" spans="1:15">
      <c r="A1366" s="15"/>
      <c r="B1366" s="17"/>
      <c r="C1366" s="18"/>
      <c r="D1366" s="19"/>
      <c r="E1366" s="20"/>
      <c r="F1366" s="21"/>
      <c r="G1366" s="21"/>
      <c r="H1366" s="21"/>
      <c r="I1366" s="21"/>
      <c r="J1366" s="19"/>
      <c r="K1366" s="19"/>
      <c r="L1366" s="13"/>
      <c r="M1366" s="14"/>
      <c r="N1366" s="14"/>
      <c r="O1366" s="4"/>
    </row>
    <row r="1367" spans="1:15">
      <c r="A1367" s="15"/>
      <c r="B1367" s="17"/>
      <c r="C1367" s="18"/>
      <c r="D1367" s="19"/>
      <c r="E1367" s="20"/>
      <c r="F1367" s="21"/>
      <c r="G1367" s="21"/>
      <c r="H1367" s="21"/>
      <c r="I1367" s="21"/>
      <c r="J1367" s="19"/>
      <c r="K1367" s="19"/>
      <c r="L1367" s="13"/>
      <c r="M1367" s="14"/>
      <c r="N1367" s="14"/>
      <c r="O1367" s="4"/>
    </row>
    <row r="1368" spans="1:15">
      <c r="A1368" s="15"/>
      <c r="B1368" s="17"/>
      <c r="C1368" s="18"/>
      <c r="D1368" s="19"/>
      <c r="E1368" s="20"/>
      <c r="F1368" s="21"/>
      <c r="G1368" s="21"/>
      <c r="H1368" s="21"/>
      <c r="I1368" s="21"/>
      <c r="J1368" s="19"/>
      <c r="K1368" s="19"/>
      <c r="L1368" s="13"/>
      <c r="M1368" s="14"/>
      <c r="N1368" s="14"/>
      <c r="O1368" s="4"/>
    </row>
    <row r="1369" spans="1:15">
      <c r="A1369" s="15"/>
      <c r="B1369" s="17"/>
      <c r="C1369" s="18"/>
      <c r="D1369" s="19"/>
      <c r="E1369" s="20"/>
      <c r="F1369" s="21"/>
      <c r="G1369" s="21"/>
      <c r="H1369" s="21"/>
      <c r="I1369" s="21"/>
      <c r="J1369" s="19"/>
      <c r="K1369" s="19"/>
      <c r="L1369" s="13"/>
      <c r="M1369" s="14"/>
      <c r="N1369" s="14"/>
      <c r="O1369" s="4"/>
    </row>
    <row r="1370" spans="1:15">
      <c r="A1370" s="15"/>
      <c r="B1370" s="17"/>
      <c r="C1370" s="18"/>
      <c r="D1370" s="19"/>
      <c r="E1370" s="20"/>
      <c r="F1370" s="21"/>
      <c r="G1370" s="21"/>
      <c r="H1370" s="21"/>
      <c r="I1370" s="21"/>
      <c r="J1370" s="19"/>
      <c r="K1370" s="19"/>
      <c r="L1370" s="13"/>
      <c r="M1370" s="14"/>
      <c r="N1370" s="14"/>
      <c r="O1370" s="4"/>
    </row>
    <row r="1371" spans="1:15">
      <c r="A1371" s="15"/>
      <c r="B1371" s="17"/>
      <c r="C1371" s="18"/>
      <c r="D1371" s="19"/>
      <c r="E1371" s="20"/>
      <c r="F1371" s="21"/>
      <c r="G1371" s="21"/>
      <c r="H1371" s="21"/>
      <c r="I1371" s="21"/>
      <c r="J1371" s="19"/>
      <c r="K1371" s="19"/>
      <c r="L1371" s="13"/>
      <c r="M1371" s="14"/>
      <c r="N1371" s="14"/>
      <c r="O1371" s="4"/>
    </row>
    <row r="1372" spans="1:15">
      <c r="A1372" s="15"/>
      <c r="B1372" s="17"/>
      <c r="C1372" s="18"/>
      <c r="D1372" s="19"/>
      <c r="E1372" s="20"/>
      <c r="F1372" s="21"/>
      <c r="G1372" s="21"/>
      <c r="H1372" s="21"/>
      <c r="I1372" s="21"/>
      <c r="J1372" s="19"/>
      <c r="K1372" s="19"/>
      <c r="L1372" s="13"/>
      <c r="M1372" s="14"/>
      <c r="N1372" s="14"/>
      <c r="O1372" s="4"/>
    </row>
    <row r="1373" spans="1:15">
      <c r="A1373" s="15"/>
      <c r="B1373" s="17"/>
      <c r="C1373" s="18"/>
      <c r="D1373" s="19"/>
      <c r="E1373" s="20"/>
      <c r="F1373" s="21"/>
      <c r="G1373" s="21"/>
      <c r="H1373" s="21"/>
      <c r="I1373" s="21"/>
      <c r="J1373" s="19"/>
      <c r="K1373" s="19"/>
      <c r="L1373" s="13"/>
      <c r="M1373" s="14"/>
      <c r="N1373" s="14"/>
      <c r="O1373" s="4"/>
    </row>
    <row r="1374" spans="1:15">
      <c r="A1374" s="15"/>
      <c r="B1374" s="17"/>
      <c r="C1374" s="18"/>
      <c r="D1374" s="19"/>
      <c r="E1374" s="20"/>
      <c r="F1374" s="21"/>
      <c r="G1374" s="21"/>
      <c r="H1374" s="21"/>
      <c r="I1374" s="21"/>
      <c r="J1374" s="19"/>
      <c r="K1374" s="19"/>
      <c r="L1374" s="13"/>
      <c r="M1374" s="14"/>
      <c r="N1374" s="14"/>
      <c r="O1374" s="4"/>
    </row>
    <row r="1375" spans="1:15">
      <c r="A1375" s="15"/>
      <c r="B1375" s="17"/>
      <c r="C1375" s="18"/>
      <c r="D1375" s="19"/>
      <c r="E1375" s="20"/>
      <c r="F1375" s="21"/>
      <c r="G1375" s="21"/>
      <c r="H1375" s="21"/>
      <c r="I1375" s="21"/>
      <c r="J1375" s="19"/>
      <c r="K1375" s="19"/>
      <c r="L1375" s="13"/>
      <c r="M1375" s="14"/>
      <c r="N1375" s="14"/>
      <c r="O1375" s="4"/>
    </row>
    <row r="1376" spans="1:15">
      <c r="A1376" s="15"/>
      <c r="B1376" s="17"/>
      <c r="C1376" s="18"/>
      <c r="D1376" s="19"/>
      <c r="E1376" s="20"/>
      <c r="F1376" s="21"/>
      <c r="G1376" s="21"/>
      <c r="H1376" s="21"/>
      <c r="I1376" s="21"/>
      <c r="J1376" s="19"/>
      <c r="K1376" s="19"/>
      <c r="L1376" s="13"/>
      <c r="M1376" s="14"/>
      <c r="N1376" s="14"/>
      <c r="O1376" s="4"/>
    </row>
    <row r="1377" spans="1:15">
      <c r="A1377" s="15"/>
      <c r="B1377" s="17"/>
      <c r="C1377" s="18"/>
      <c r="D1377" s="19"/>
      <c r="E1377" s="20"/>
      <c r="F1377" s="21"/>
      <c r="G1377" s="21"/>
      <c r="H1377" s="21"/>
      <c r="I1377" s="21"/>
      <c r="J1377" s="19"/>
      <c r="K1377" s="19"/>
      <c r="L1377" s="13"/>
      <c r="M1377" s="14"/>
      <c r="N1377" s="14"/>
      <c r="O1377" s="4"/>
    </row>
    <row r="1378" spans="1:15">
      <c r="A1378" s="15"/>
      <c r="B1378" s="17"/>
      <c r="C1378" s="18"/>
      <c r="D1378" s="19"/>
      <c r="E1378" s="20"/>
      <c r="F1378" s="21"/>
      <c r="G1378" s="21"/>
      <c r="H1378" s="21"/>
      <c r="I1378" s="21"/>
      <c r="J1378" s="19"/>
      <c r="K1378" s="19"/>
      <c r="L1378" s="13"/>
      <c r="M1378" s="14"/>
      <c r="N1378" s="14"/>
      <c r="O1378" s="4"/>
    </row>
    <row r="1379" spans="1:15">
      <c r="A1379" s="15"/>
      <c r="B1379" s="17"/>
      <c r="C1379" s="18"/>
      <c r="D1379" s="19"/>
      <c r="E1379" s="20"/>
      <c r="F1379" s="21"/>
      <c r="G1379" s="21"/>
      <c r="H1379" s="21"/>
      <c r="I1379" s="21"/>
      <c r="J1379" s="19"/>
      <c r="K1379" s="19"/>
      <c r="L1379" s="13"/>
      <c r="M1379" s="14"/>
      <c r="N1379" s="14"/>
      <c r="O1379" s="4"/>
    </row>
    <row r="1380" spans="1:15">
      <c r="A1380" s="15"/>
      <c r="B1380" s="17"/>
      <c r="C1380" s="18"/>
      <c r="D1380" s="19"/>
      <c r="E1380" s="20"/>
      <c r="F1380" s="21"/>
      <c r="G1380" s="21"/>
      <c r="H1380" s="21"/>
      <c r="I1380" s="21"/>
      <c r="J1380" s="19"/>
      <c r="K1380" s="19"/>
      <c r="L1380" s="13"/>
      <c r="M1380" s="14"/>
      <c r="N1380" s="14"/>
      <c r="O1380" s="4"/>
    </row>
    <row r="1381" spans="1:15">
      <c r="A1381" s="15"/>
      <c r="B1381" s="17"/>
      <c r="C1381" s="18"/>
      <c r="D1381" s="19"/>
      <c r="E1381" s="20"/>
      <c r="F1381" s="21"/>
      <c r="G1381" s="21"/>
      <c r="H1381" s="21"/>
      <c r="I1381" s="21"/>
      <c r="J1381" s="19"/>
      <c r="K1381" s="19"/>
      <c r="L1381" s="13"/>
      <c r="M1381" s="14"/>
      <c r="N1381" s="14"/>
      <c r="O1381" s="4"/>
    </row>
    <row r="1382" spans="1:15">
      <c r="A1382" s="15"/>
      <c r="B1382" s="17"/>
      <c r="C1382" s="18"/>
      <c r="D1382" s="19"/>
      <c r="E1382" s="20"/>
      <c r="F1382" s="21"/>
      <c r="G1382" s="21"/>
      <c r="H1382" s="21"/>
      <c r="I1382" s="21"/>
      <c r="J1382" s="19"/>
      <c r="K1382" s="19"/>
      <c r="L1382" s="13"/>
      <c r="M1382" s="14"/>
      <c r="N1382" s="14"/>
      <c r="O1382" s="4"/>
    </row>
    <row r="1383" spans="1:15">
      <c r="A1383" s="15"/>
      <c r="B1383" s="17"/>
      <c r="C1383" s="18"/>
      <c r="D1383" s="19"/>
      <c r="E1383" s="20"/>
      <c r="F1383" s="21"/>
      <c r="G1383" s="21"/>
      <c r="H1383" s="21"/>
      <c r="I1383" s="21"/>
      <c r="J1383" s="19"/>
      <c r="K1383" s="19"/>
      <c r="L1383" s="13"/>
      <c r="M1383" s="14"/>
      <c r="N1383" s="14"/>
      <c r="O1383" s="4"/>
    </row>
    <row r="1384" spans="1:15">
      <c r="A1384" s="15"/>
      <c r="B1384" s="17"/>
      <c r="C1384" s="18"/>
      <c r="D1384" s="19"/>
      <c r="E1384" s="20"/>
      <c r="F1384" s="21"/>
      <c r="G1384" s="21"/>
      <c r="H1384" s="21"/>
      <c r="I1384" s="21"/>
      <c r="J1384" s="19"/>
      <c r="K1384" s="19"/>
      <c r="L1384" s="13"/>
      <c r="M1384" s="14"/>
      <c r="N1384" s="14"/>
      <c r="O1384" s="4"/>
    </row>
    <row r="1385" spans="1:15">
      <c r="A1385" s="15"/>
      <c r="B1385" s="17"/>
      <c r="C1385" s="18"/>
      <c r="D1385" s="19"/>
      <c r="E1385" s="20"/>
      <c r="F1385" s="21"/>
      <c r="G1385" s="21"/>
      <c r="H1385" s="21"/>
      <c r="I1385" s="21"/>
      <c r="J1385" s="19"/>
      <c r="K1385" s="19"/>
      <c r="L1385" s="13"/>
      <c r="M1385" s="14"/>
      <c r="N1385" s="14"/>
      <c r="O1385" s="4"/>
    </row>
    <row r="1386" spans="1:15">
      <c r="A1386" s="15"/>
      <c r="B1386" s="17"/>
      <c r="C1386" s="18"/>
      <c r="D1386" s="19"/>
      <c r="E1386" s="20"/>
      <c r="F1386" s="21"/>
      <c r="G1386" s="21"/>
      <c r="H1386" s="21"/>
      <c r="I1386" s="21"/>
      <c r="J1386" s="19"/>
      <c r="K1386" s="19"/>
      <c r="L1386" s="13"/>
      <c r="M1386" s="14"/>
      <c r="N1386" s="14"/>
      <c r="O1386" s="4"/>
    </row>
    <row r="1387" spans="1:15">
      <c r="A1387" s="15"/>
      <c r="B1387" s="17"/>
      <c r="C1387" s="18"/>
      <c r="D1387" s="19"/>
      <c r="E1387" s="20"/>
      <c r="F1387" s="21"/>
      <c r="G1387" s="21"/>
      <c r="H1387" s="21"/>
      <c r="I1387" s="21"/>
      <c r="J1387" s="19"/>
      <c r="K1387" s="19"/>
      <c r="L1387" s="13"/>
      <c r="M1387" s="14"/>
      <c r="N1387" s="14"/>
      <c r="O1387" s="4"/>
    </row>
    <row r="1388" spans="1:15">
      <c r="A1388" s="15"/>
      <c r="B1388" s="17"/>
      <c r="C1388" s="18"/>
      <c r="D1388" s="19"/>
      <c r="E1388" s="20"/>
      <c r="F1388" s="21"/>
      <c r="G1388" s="21"/>
      <c r="H1388" s="21"/>
      <c r="I1388" s="21"/>
      <c r="J1388" s="19"/>
      <c r="K1388" s="19"/>
      <c r="L1388" s="13"/>
      <c r="M1388" s="14"/>
      <c r="N1388" s="14"/>
      <c r="O1388" s="4"/>
    </row>
    <row r="1389" spans="1:15">
      <c r="A1389" s="15"/>
      <c r="B1389" s="17"/>
      <c r="C1389" s="18"/>
      <c r="D1389" s="19"/>
      <c r="E1389" s="20"/>
      <c r="F1389" s="21"/>
      <c r="G1389" s="21"/>
      <c r="H1389" s="21"/>
      <c r="I1389" s="21"/>
      <c r="J1389" s="19"/>
      <c r="K1389" s="19"/>
      <c r="L1389" s="13"/>
      <c r="M1389" s="14"/>
      <c r="N1389" s="14"/>
      <c r="O1389" s="4"/>
    </row>
    <row r="1390" spans="1:15">
      <c r="A1390" s="15"/>
      <c r="B1390" s="17"/>
      <c r="C1390" s="18"/>
      <c r="D1390" s="19"/>
      <c r="E1390" s="20"/>
      <c r="F1390" s="21"/>
      <c r="G1390" s="21"/>
      <c r="H1390" s="21"/>
      <c r="I1390" s="21"/>
      <c r="J1390" s="19"/>
      <c r="K1390" s="19"/>
      <c r="L1390" s="13"/>
      <c r="M1390" s="14"/>
      <c r="N1390" s="14"/>
      <c r="O1390" s="4"/>
    </row>
    <row r="1391" spans="1:15">
      <c r="A1391" s="15"/>
      <c r="B1391" s="17"/>
      <c r="C1391" s="18"/>
      <c r="D1391" s="19"/>
      <c r="E1391" s="20"/>
      <c r="F1391" s="21"/>
      <c r="G1391" s="21"/>
      <c r="H1391" s="21"/>
      <c r="I1391" s="21"/>
      <c r="J1391" s="19"/>
      <c r="K1391" s="19"/>
      <c r="L1391" s="13"/>
      <c r="M1391" s="14"/>
      <c r="N1391" s="14"/>
      <c r="O1391" s="4"/>
    </row>
    <row r="1392" spans="1:15">
      <c r="A1392" s="15"/>
      <c r="B1392" s="17"/>
      <c r="C1392" s="18"/>
      <c r="D1392" s="19"/>
      <c r="E1392" s="20"/>
      <c r="F1392" s="21"/>
      <c r="G1392" s="21"/>
      <c r="H1392" s="21"/>
      <c r="I1392" s="21"/>
      <c r="J1392" s="19"/>
      <c r="K1392" s="19"/>
      <c r="L1392" s="13"/>
      <c r="M1392" s="14"/>
      <c r="N1392" s="14"/>
      <c r="O1392" s="4"/>
    </row>
    <row r="1393" spans="1:15">
      <c r="A1393" s="15"/>
      <c r="B1393" s="17"/>
      <c r="C1393" s="18"/>
      <c r="D1393" s="19"/>
      <c r="E1393" s="20"/>
      <c r="F1393" s="21"/>
      <c r="G1393" s="21"/>
      <c r="H1393" s="21"/>
      <c r="I1393" s="21"/>
      <c r="J1393" s="19"/>
      <c r="K1393" s="19"/>
      <c r="L1393" s="13"/>
      <c r="M1393" s="14"/>
      <c r="N1393" s="14"/>
      <c r="O1393" s="4"/>
    </row>
    <row r="1394" spans="1:15">
      <c r="A1394" s="15"/>
      <c r="B1394" s="17"/>
      <c r="C1394" s="18"/>
      <c r="D1394" s="19"/>
      <c r="E1394" s="20"/>
      <c r="F1394" s="21"/>
      <c r="G1394" s="21"/>
      <c r="H1394" s="21"/>
      <c r="I1394" s="21"/>
      <c r="J1394" s="19"/>
      <c r="K1394" s="19"/>
      <c r="L1394" s="13"/>
      <c r="M1394" s="14"/>
      <c r="N1394" s="14"/>
      <c r="O1394" s="4"/>
    </row>
    <row r="1395" spans="1:15">
      <c r="A1395" s="15"/>
      <c r="B1395" s="17"/>
      <c r="C1395" s="18"/>
      <c r="D1395" s="19"/>
      <c r="E1395" s="20"/>
      <c r="F1395" s="21"/>
      <c r="G1395" s="21"/>
      <c r="H1395" s="21"/>
      <c r="I1395" s="21"/>
      <c r="J1395" s="19"/>
      <c r="K1395" s="19"/>
      <c r="L1395" s="13"/>
      <c r="M1395" s="14"/>
      <c r="N1395" s="14"/>
      <c r="O1395" s="4"/>
    </row>
    <row r="1396" spans="1:15">
      <c r="A1396" s="15"/>
      <c r="B1396" s="17"/>
      <c r="C1396" s="18"/>
      <c r="D1396" s="19"/>
      <c r="E1396" s="20"/>
      <c r="F1396" s="21"/>
      <c r="G1396" s="21"/>
      <c r="H1396" s="21"/>
      <c r="I1396" s="21"/>
      <c r="J1396" s="19"/>
      <c r="K1396" s="19"/>
      <c r="L1396" s="13"/>
      <c r="M1396" s="14"/>
      <c r="N1396" s="14"/>
      <c r="O1396" s="4"/>
    </row>
    <row r="1397" spans="1:15">
      <c r="A1397" s="15"/>
      <c r="B1397" s="17"/>
      <c r="C1397" s="18"/>
      <c r="D1397" s="19"/>
      <c r="E1397" s="20"/>
      <c r="F1397" s="21"/>
      <c r="G1397" s="21"/>
      <c r="H1397" s="21"/>
      <c r="I1397" s="21"/>
      <c r="J1397" s="19"/>
      <c r="K1397" s="19"/>
      <c r="L1397" s="13"/>
      <c r="M1397" s="14"/>
      <c r="N1397" s="14"/>
      <c r="O1397" s="4"/>
    </row>
    <row r="1398" spans="1:15">
      <c r="A1398" s="15"/>
      <c r="B1398" s="17"/>
      <c r="C1398" s="18"/>
      <c r="D1398" s="19"/>
      <c r="E1398" s="20"/>
      <c r="F1398" s="21"/>
      <c r="G1398" s="21"/>
      <c r="H1398" s="21"/>
      <c r="I1398" s="21"/>
      <c r="J1398" s="19"/>
      <c r="K1398" s="19"/>
      <c r="L1398" s="13"/>
      <c r="M1398" s="14"/>
      <c r="N1398" s="14"/>
      <c r="O1398" s="4"/>
    </row>
    <row r="1399" spans="1:15">
      <c r="A1399" s="15"/>
      <c r="B1399" s="17"/>
      <c r="C1399" s="18"/>
      <c r="D1399" s="19"/>
      <c r="E1399" s="20"/>
      <c r="F1399" s="21"/>
      <c r="G1399" s="21"/>
      <c r="H1399" s="21"/>
      <c r="I1399" s="21"/>
      <c r="J1399" s="19"/>
      <c r="K1399" s="19"/>
      <c r="L1399" s="13"/>
      <c r="M1399" s="14"/>
      <c r="N1399" s="14"/>
      <c r="O1399" s="4"/>
    </row>
    <row r="1400" spans="1:15">
      <c r="A1400" s="15"/>
      <c r="B1400" s="17"/>
      <c r="C1400" s="18"/>
      <c r="D1400" s="19"/>
      <c r="E1400" s="20"/>
      <c r="F1400" s="21"/>
      <c r="G1400" s="21"/>
      <c r="H1400" s="21"/>
      <c r="I1400" s="21"/>
      <c r="J1400" s="19"/>
      <c r="K1400" s="19"/>
      <c r="L1400" s="13"/>
      <c r="M1400" s="14"/>
      <c r="N1400" s="14"/>
      <c r="O1400" s="4"/>
    </row>
    <row r="1401" spans="1:15">
      <c r="A1401" s="15"/>
      <c r="B1401" s="17"/>
      <c r="C1401" s="18"/>
      <c r="D1401" s="19"/>
      <c r="E1401" s="20"/>
      <c r="F1401" s="21"/>
      <c r="G1401" s="21"/>
      <c r="H1401" s="21"/>
      <c r="I1401" s="21"/>
      <c r="J1401" s="19"/>
      <c r="K1401" s="19"/>
      <c r="L1401" s="13"/>
      <c r="M1401" s="14"/>
      <c r="N1401" s="14"/>
      <c r="O1401" s="4"/>
    </row>
    <row r="1402" spans="1:15">
      <c r="A1402" s="15"/>
      <c r="B1402" s="17"/>
      <c r="C1402" s="18"/>
      <c r="D1402" s="19"/>
      <c r="E1402" s="20"/>
      <c r="F1402" s="21"/>
      <c r="G1402" s="21"/>
      <c r="H1402" s="21"/>
      <c r="I1402" s="21"/>
      <c r="J1402" s="19"/>
      <c r="K1402" s="19"/>
      <c r="L1402" s="13"/>
      <c r="M1402" s="14"/>
      <c r="N1402" s="14"/>
      <c r="O1402" s="4"/>
    </row>
    <row r="1403" spans="1:15">
      <c r="A1403" s="15"/>
      <c r="B1403" s="17"/>
      <c r="C1403" s="18"/>
      <c r="D1403" s="19"/>
      <c r="E1403" s="20"/>
      <c r="F1403" s="21"/>
      <c r="G1403" s="21"/>
      <c r="H1403" s="21"/>
      <c r="I1403" s="21"/>
      <c r="J1403" s="19"/>
      <c r="K1403" s="19"/>
      <c r="L1403" s="13"/>
      <c r="M1403" s="14"/>
      <c r="N1403" s="14"/>
      <c r="O1403" s="4"/>
    </row>
    <row r="1404" spans="1:15">
      <c r="A1404" s="15"/>
      <c r="B1404" s="17"/>
      <c r="C1404" s="18"/>
      <c r="D1404" s="19"/>
      <c r="E1404" s="20"/>
      <c r="F1404" s="21"/>
      <c r="G1404" s="21"/>
      <c r="H1404" s="21"/>
      <c r="I1404" s="21"/>
      <c r="J1404" s="19"/>
      <c r="K1404" s="19"/>
      <c r="L1404" s="13"/>
      <c r="M1404" s="14"/>
      <c r="N1404" s="14"/>
      <c r="O1404" s="4"/>
    </row>
    <row r="1405" spans="1:15">
      <c r="A1405" s="15"/>
      <c r="B1405" s="17"/>
      <c r="C1405" s="18"/>
      <c r="D1405" s="19"/>
      <c r="E1405" s="20"/>
      <c r="F1405" s="21"/>
      <c r="G1405" s="21"/>
      <c r="H1405" s="21"/>
      <c r="I1405" s="21"/>
      <c r="J1405" s="19"/>
      <c r="K1405" s="19"/>
      <c r="L1405" s="13"/>
      <c r="M1405" s="14"/>
      <c r="N1405" s="14"/>
      <c r="O1405" s="4"/>
    </row>
    <row r="1406" spans="1:15">
      <c r="A1406" s="15"/>
      <c r="B1406" s="17"/>
      <c r="C1406" s="18"/>
      <c r="D1406" s="19"/>
      <c r="E1406" s="20"/>
      <c r="F1406" s="21"/>
      <c r="G1406" s="21"/>
      <c r="H1406" s="21"/>
      <c r="I1406" s="21"/>
      <c r="J1406" s="19"/>
      <c r="K1406" s="19"/>
      <c r="L1406" s="13"/>
      <c r="M1406" s="14"/>
      <c r="N1406" s="14"/>
      <c r="O1406" s="4"/>
    </row>
    <row r="1407" spans="1:15">
      <c r="A1407" s="15"/>
      <c r="B1407" s="17"/>
      <c r="C1407" s="18"/>
      <c r="D1407" s="19"/>
      <c r="E1407" s="20"/>
      <c r="F1407" s="21"/>
      <c r="G1407" s="21"/>
      <c r="H1407" s="21"/>
      <c r="I1407" s="21"/>
      <c r="J1407" s="19"/>
      <c r="K1407" s="19"/>
      <c r="L1407" s="13"/>
      <c r="M1407" s="14"/>
      <c r="N1407" s="14"/>
      <c r="O1407" s="4"/>
    </row>
    <row r="1408" spans="1:15">
      <c r="A1408" s="15"/>
      <c r="B1408" s="17"/>
      <c r="C1408" s="18"/>
      <c r="D1408" s="19"/>
      <c r="E1408" s="20"/>
      <c r="F1408" s="21"/>
      <c r="G1408" s="21"/>
      <c r="H1408" s="21"/>
      <c r="I1408" s="21"/>
      <c r="J1408" s="19"/>
      <c r="K1408" s="19"/>
      <c r="L1408" s="13"/>
      <c r="M1408" s="14"/>
      <c r="N1408" s="14"/>
      <c r="O1408" s="4"/>
    </row>
    <row r="1409" spans="1:15">
      <c r="A1409" s="15"/>
      <c r="B1409" s="17"/>
      <c r="C1409" s="18"/>
      <c r="D1409" s="19"/>
      <c r="E1409" s="20"/>
      <c r="F1409" s="21"/>
      <c r="G1409" s="21"/>
      <c r="H1409" s="21"/>
      <c r="I1409" s="21"/>
      <c r="J1409" s="19"/>
      <c r="K1409" s="19"/>
      <c r="L1409" s="13"/>
      <c r="M1409" s="14"/>
      <c r="N1409" s="14"/>
      <c r="O1409" s="4"/>
    </row>
    <row r="1410" spans="1:15">
      <c r="A1410" s="15"/>
      <c r="B1410" s="17"/>
      <c r="C1410" s="18"/>
      <c r="D1410" s="19"/>
      <c r="E1410" s="20"/>
      <c r="F1410" s="21"/>
      <c r="G1410" s="21"/>
      <c r="H1410" s="21"/>
      <c r="I1410" s="21"/>
      <c r="J1410" s="19"/>
      <c r="K1410" s="19"/>
      <c r="L1410" s="13"/>
      <c r="M1410" s="14"/>
      <c r="N1410" s="14"/>
      <c r="O1410" s="4"/>
    </row>
    <row r="1411" spans="1:15">
      <c r="A1411" s="15"/>
      <c r="B1411" s="17"/>
      <c r="C1411" s="18"/>
      <c r="D1411" s="19"/>
      <c r="E1411" s="20"/>
      <c r="F1411" s="21"/>
      <c r="G1411" s="21"/>
      <c r="H1411" s="21"/>
      <c r="I1411" s="21"/>
      <c r="J1411" s="19"/>
      <c r="K1411" s="19"/>
      <c r="L1411" s="13"/>
      <c r="M1411" s="14"/>
      <c r="N1411" s="14"/>
      <c r="O1411" s="4"/>
    </row>
    <row r="1412" spans="1:15">
      <c r="A1412" s="15"/>
      <c r="B1412" s="17"/>
      <c r="C1412" s="18"/>
      <c r="D1412" s="19"/>
      <c r="E1412" s="20"/>
      <c r="F1412" s="21"/>
      <c r="G1412" s="21"/>
      <c r="H1412" s="21"/>
      <c r="I1412" s="21"/>
      <c r="J1412" s="19"/>
      <c r="K1412" s="19"/>
      <c r="L1412" s="13"/>
      <c r="M1412" s="14"/>
      <c r="N1412" s="14"/>
      <c r="O1412" s="4"/>
    </row>
    <row r="1413" spans="1:15">
      <c r="A1413" s="15"/>
      <c r="B1413" s="17"/>
      <c r="C1413" s="18"/>
      <c r="D1413" s="19"/>
      <c r="E1413" s="20"/>
      <c r="F1413" s="21"/>
      <c r="G1413" s="21"/>
      <c r="H1413" s="21"/>
      <c r="I1413" s="21"/>
      <c r="J1413" s="19"/>
      <c r="K1413" s="19"/>
      <c r="L1413" s="13"/>
      <c r="M1413" s="14"/>
      <c r="N1413" s="14"/>
      <c r="O1413" s="4"/>
    </row>
    <row r="1414" spans="1:15">
      <c r="A1414" s="15"/>
      <c r="B1414" s="17"/>
      <c r="C1414" s="18"/>
      <c r="D1414" s="19"/>
      <c r="E1414" s="20"/>
      <c r="F1414" s="21"/>
      <c r="G1414" s="21"/>
      <c r="H1414" s="21"/>
      <c r="I1414" s="21"/>
      <c r="J1414" s="19"/>
      <c r="K1414" s="19"/>
      <c r="L1414" s="13"/>
      <c r="M1414" s="14"/>
      <c r="N1414" s="14"/>
      <c r="O1414" s="4"/>
    </row>
    <row r="1415" spans="1:15">
      <c r="A1415" s="15"/>
      <c r="B1415" s="17"/>
      <c r="C1415" s="18"/>
      <c r="D1415" s="19"/>
      <c r="E1415" s="20"/>
      <c r="F1415" s="21"/>
      <c r="G1415" s="21"/>
      <c r="H1415" s="21"/>
      <c r="I1415" s="21"/>
      <c r="J1415" s="19"/>
      <c r="K1415" s="19"/>
      <c r="L1415" s="13"/>
      <c r="M1415" s="14"/>
      <c r="N1415" s="14"/>
      <c r="O1415" s="4"/>
    </row>
    <row r="1416" spans="1:15">
      <c r="A1416" s="15"/>
      <c r="B1416" s="17"/>
      <c r="C1416" s="18"/>
      <c r="D1416" s="19"/>
      <c r="E1416" s="20"/>
      <c r="F1416" s="21"/>
      <c r="G1416" s="21"/>
      <c r="H1416" s="21"/>
      <c r="I1416" s="21"/>
      <c r="J1416" s="19"/>
      <c r="K1416" s="19"/>
      <c r="L1416" s="13"/>
      <c r="M1416" s="14"/>
      <c r="N1416" s="14"/>
      <c r="O1416" s="4"/>
    </row>
    <row r="1417" spans="1:15">
      <c r="A1417" s="15"/>
      <c r="B1417" s="17"/>
      <c r="C1417" s="18"/>
      <c r="D1417" s="19"/>
      <c r="E1417" s="20"/>
      <c r="F1417" s="21"/>
      <c r="G1417" s="21"/>
      <c r="H1417" s="21"/>
      <c r="I1417" s="21"/>
      <c r="J1417" s="19"/>
      <c r="K1417" s="19"/>
      <c r="L1417" s="13"/>
      <c r="M1417" s="14"/>
      <c r="N1417" s="14"/>
      <c r="O1417" s="4"/>
    </row>
    <row r="1418" spans="1:15">
      <c r="A1418" s="15"/>
      <c r="B1418" s="17"/>
      <c r="C1418" s="18"/>
      <c r="D1418" s="19"/>
      <c r="E1418" s="20"/>
      <c r="F1418" s="21"/>
      <c r="G1418" s="21"/>
      <c r="H1418" s="21"/>
      <c r="I1418" s="21"/>
      <c r="J1418" s="19"/>
      <c r="K1418" s="19"/>
      <c r="L1418" s="13"/>
      <c r="M1418" s="14"/>
      <c r="N1418" s="14"/>
      <c r="O1418" s="4"/>
    </row>
    <row r="1419" spans="1:15">
      <c r="A1419" s="15"/>
      <c r="B1419" s="17"/>
      <c r="C1419" s="18"/>
      <c r="D1419" s="19"/>
      <c r="E1419" s="20"/>
      <c r="F1419" s="21"/>
      <c r="G1419" s="21"/>
      <c r="H1419" s="21"/>
      <c r="I1419" s="21"/>
      <c r="J1419" s="19"/>
      <c r="K1419" s="19"/>
      <c r="L1419" s="13"/>
      <c r="M1419" s="14"/>
      <c r="N1419" s="14"/>
      <c r="O1419" s="4"/>
    </row>
    <row r="1420" spans="1:15">
      <c r="A1420" s="15"/>
      <c r="B1420" s="17"/>
      <c r="C1420" s="18"/>
      <c r="D1420" s="19"/>
      <c r="E1420" s="20"/>
      <c r="F1420" s="21"/>
      <c r="G1420" s="21"/>
      <c r="H1420" s="21"/>
      <c r="I1420" s="21"/>
      <c r="J1420" s="19"/>
      <c r="K1420" s="19"/>
      <c r="L1420" s="13"/>
      <c r="M1420" s="14"/>
      <c r="N1420" s="14"/>
      <c r="O1420" s="4"/>
    </row>
    <row r="1421" spans="1:15">
      <c r="A1421" s="15"/>
      <c r="B1421" s="17"/>
      <c r="C1421" s="18"/>
      <c r="D1421" s="19"/>
      <c r="E1421" s="20"/>
      <c r="F1421" s="21"/>
      <c r="G1421" s="21"/>
      <c r="H1421" s="21"/>
      <c r="I1421" s="21"/>
      <c r="J1421" s="19"/>
      <c r="K1421" s="19"/>
      <c r="L1421" s="13"/>
      <c r="M1421" s="14"/>
      <c r="N1421" s="14"/>
      <c r="O1421" s="4"/>
    </row>
    <row r="1422" spans="1:15">
      <c r="A1422" s="15"/>
      <c r="B1422" s="17"/>
      <c r="C1422" s="18"/>
      <c r="D1422" s="19"/>
      <c r="E1422" s="20"/>
      <c r="F1422" s="21"/>
      <c r="G1422" s="21"/>
      <c r="H1422" s="21"/>
      <c r="I1422" s="21"/>
      <c r="J1422" s="19"/>
      <c r="K1422" s="19"/>
      <c r="L1422" s="13"/>
      <c r="M1422" s="14"/>
      <c r="N1422" s="14"/>
      <c r="O1422" s="4"/>
    </row>
    <row r="1423" spans="1:15">
      <c r="A1423" s="15"/>
      <c r="B1423" s="17"/>
      <c r="C1423" s="18"/>
      <c r="D1423" s="19"/>
      <c r="E1423" s="20"/>
      <c r="F1423" s="21"/>
      <c r="G1423" s="21"/>
      <c r="H1423" s="21"/>
      <c r="I1423" s="21"/>
      <c r="J1423" s="19"/>
      <c r="K1423" s="19"/>
      <c r="L1423" s="13"/>
      <c r="M1423" s="14"/>
      <c r="N1423" s="14"/>
      <c r="O1423" s="4"/>
    </row>
    <row r="1424" spans="1:15">
      <c r="A1424" s="15"/>
      <c r="B1424" s="17"/>
      <c r="C1424" s="18"/>
      <c r="D1424" s="19"/>
      <c r="E1424" s="20"/>
      <c r="F1424" s="21"/>
      <c r="G1424" s="21"/>
      <c r="H1424" s="21"/>
      <c r="I1424" s="21"/>
      <c r="J1424" s="19"/>
      <c r="K1424" s="19"/>
      <c r="L1424" s="13"/>
      <c r="M1424" s="14"/>
      <c r="N1424" s="14"/>
      <c r="O1424" s="4"/>
    </row>
    <row r="1425" spans="1:15">
      <c r="A1425" s="15"/>
      <c r="B1425" s="17"/>
      <c r="C1425" s="18"/>
      <c r="D1425" s="19"/>
      <c r="E1425" s="20"/>
      <c r="F1425" s="21"/>
      <c r="G1425" s="21"/>
      <c r="H1425" s="21"/>
      <c r="I1425" s="21"/>
      <c r="J1425" s="19"/>
      <c r="K1425" s="19"/>
      <c r="L1425" s="13"/>
      <c r="M1425" s="14"/>
      <c r="N1425" s="14"/>
      <c r="O1425" s="4"/>
    </row>
    <row r="1426" spans="1:15">
      <c r="A1426" s="15"/>
      <c r="B1426" s="17"/>
      <c r="C1426" s="18"/>
      <c r="D1426" s="19"/>
      <c r="E1426" s="20"/>
      <c r="F1426" s="21"/>
      <c r="G1426" s="21"/>
      <c r="H1426" s="21"/>
      <c r="I1426" s="21"/>
      <c r="J1426" s="19"/>
      <c r="K1426" s="19"/>
      <c r="L1426" s="13"/>
      <c r="M1426" s="14"/>
      <c r="N1426" s="14"/>
      <c r="O1426" s="4"/>
    </row>
    <row r="1427" spans="1:15">
      <c r="A1427" s="15"/>
      <c r="B1427" s="17"/>
      <c r="C1427" s="18"/>
      <c r="D1427" s="19"/>
      <c r="E1427" s="20"/>
      <c r="F1427" s="21"/>
      <c r="G1427" s="21"/>
      <c r="H1427" s="21"/>
      <c r="I1427" s="21"/>
      <c r="J1427" s="19"/>
      <c r="K1427" s="19"/>
      <c r="L1427" s="13"/>
      <c r="M1427" s="14"/>
      <c r="N1427" s="14"/>
      <c r="O1427" s="4"/>
    </row>
    <row r="1428" spans="1:15">
      <c r="A1428" s="15"/>
      <c r="B1428" s="17"/>
      <c r="C1428" s="18"/>
      <c r="D1428" s="19"/>
      <c r="E1428" s="20"/>
      <c r="F1428" s="21"/>
      <c r="G1428" s="21"/>
      <c r="H1428" s="21"/>
      <c r="I1428" s="21"/>
      <c r="J1428" s="19"/>
      <c r="K1428" s="19"/>
      <c r="L1428" s="13"/>
      <c r="M1428" s="14"/>
      <c r="N1428" s="14"/>
      <c r="O1428" s="4"/>
    </row>
    <row r="1429" spans="1:15">
      <c r="A1429" s="15"/>
      <c r="B1429" s="17"/>
      <c r="C1429" s="18"/>
      <c r="D1429" s="19"/>
      <c r="E1429" s="20"/>
      <c r="F1429" s="21"/>
      <c r="G1429" s="21"/>
      <c r="H1429" s="21"/>
      <c r="I1429" s="21"/>
      <c r="J1429" s="19"/>
      <c r="K1429" s="19"/>
      <c r="L1429" s="13"/>
      <c r="M1429" s="14"/>
      <c r="N1429" s="14"/>
      <c r="O1429" s="4"/>
    </row>
    <row r="1430" spans="1:15">
      <c r="A1430" s="15"/>
      <c r="B1430" s="17"/>
      <c r="C1430" s="18"/>
      <c r="D1430" s="19"/>
      <c r="E1430" s="20"/>
      <c r="F1430" s="21"/>
      <c r="G1430" s="21"/>
      <c r="H1430" s="21"/>
      <c r="I1430" s="21"/>
      <c r="J1430" s="19"/>
      <c r="K1430" s="19"/>
      <c r="L1430" s="13"/>
      <c r="M1430" s="14"/>
      <c r="N1430" s="14"/>
      <c r="O1430" s="4"/>
    </row>
    <row r="1431" spans="1:15">
      <c r="A1431" s="15"/>
      <c r="B1431" s="17"/>
      <c r="C1431" s="18"/>
      <c r="D1431" s="19"/>
      <c r="E1431" s="20"/>
      <c r="F1431" s="21"/>
      <c r="G1431" s="21"/>
      <c r="H1431" s="21"/>
      <c r="I1431" s="21"/>
      <c r="J1431" s="19"/>
      <c r="K1431" s="19"/>
      <c r="L1431" s="13"/>
      <c r="M1431" s="14"/>
      <c r="N1431" s="14"/>
      <c r="O1431" s="4"/>
    </row>
    <row r="1432" spans="1:15">
      <c r="A1432" s="15"/>
      <c r="B1432" s="17"/>
      <c r="C1432" s="18"/>
      <c r="D1432" s="19"/>
      <c r="E1432" s="20"/>
      <c r="F1432" s="21"/>
      <c r="G1432" s="21"/>
      <c r="H1432" s="21"/>
      <c r="I1432" s="21"/>
      <c r="J1432" s="19"/>
      <c r="K1432" s="19"/>
      <c r="L1432" s="13"/>
      <c r="M1432" s="14"/>
      <c r="N1432" s="14"/>
      <c r="O1432" s="4"/>
    </row>
    <row r="1433" spans="1:15">
      <c r="A1433" s="15"/>
      <c r="B1433" s="17"/>
      <c r="C1433" s="18"/>
      <c r="D1433" s="19"/>
      <c r="E1433" s="20"/>
      <c r="F1433" s="21"/>
      <c r="G1433" s="21"/>
      <c r="H1433" s="21"/>
      <c r="I1433" s="21"/>
      <c r="J1433" s="19"/>
      <c r="K1433" s="19"/>
      <c r="L1433" s="13"/>
      <c r="M1433" s="14"/>
      <c r="N1433" s="14"/>
      <c r="O1433" s="4"/>
    </row>
    <row r="1434" spans="1:15">
      <c r="A1434" s="15"/>
      <c r="B1434" s="17"/>
      <c r="C1434" s="18"/>
      <c r="D1434" s="19"/>
      <c r="E1434" s="20"/>
      <c r="F1434" s="21"/>
      <c r="G1434" s="21"/>
      <c r="H1434" s="21"/>
      <c r="I1434" s="21"/>
      <c r="J1434" s="19"/>
      <c r="K1434" s="19"/>
      <c r="L1434" s="13"/>
      <c r="M1434" s="14"/>
      <c r="N1434" s="14"/>
      <c r="O1434" s="4"/>
    </row>
    <row r="1435" spans="1:15">
      <c r="A1435" s="15"/>
      <c r="B1435" s="17"/>
      <c r="C1435" s="18"/>
      <c r="D1435" s="19"/>
      <c r="E1435" s="20"/>
      <c r="F1435" s="21"/>
      <c r="G1435" s="21"/>
      <c r="H1435" s="21"/>
      <c r="I1435" s="21"/>
      <c r="J1435" s="19"/>
      <c r="K1435" s="19"/>
      <c r="L1435" s="13"/>
      <c r="M1435" s="14"/>
      <c r="N1435" s="14"/>
      <c r="O1435" s="4"/>
    </row>
    <row r="1436" spans="1:15">
      <c r="A1436" s="15"/>
      <c r="B1436" s="17"/>
      <c r="C1436" s="18"/>
      <c r="D1436" s="19"/>
      <c r="E1436" s="20"/>
      <c r="F1436" s="21"/>
      <c r="G1436" s="21"/>
      <c r="H1436" s="21"/>
      <c r="I1436" s="21"/>
      <c r="J1436" s="19"/>
      <c r="K1436" s="19"/>
      <c r="L1436" s="13"/>
      <c r="M1436" s="14"/>
      <c r="N1436" s="14"/>
      <c r="O1436" s="4"/>
    </row>
    <row r="1437" spans="1:15">
      <c r="A1437" s="15"/>
      <c r="B1437" s="17"/>
      <c r="C1437" s="18"/>
      <c r="D1437" s="19"/>
      <c r="E1437" s="20"/>
      <c r="F1437" s="21"/>
      <c r="G1437" s="21"/>
      <c r="H1437" s="21"/>
      <c r="I1437" s="21"/>
      <c r="J1437" s="19"/>
      <c r="K1437" s="19"/>
      <c r="L1437" s="13"/>
      <c r="M1437" s="14"/>
      <c r="N1437" s="14"/>
      <c r="O1437" s="4"/>
    </row>
    <row r="1438" spans="1:15">
      <c r="A1438" s="15"/>
      <c r="B1438" s="17"/>
      <c r="C1438" s="18"/>
      <c r="D1438" s="19"/>
      <c r="E1438" s="20"/>
      <c r="F1438" s="21"/>
      <c r="G1438" s="21"/>
      <c r="H1438" s="21"/>
      <c r="I1438" s="21"/>
      <c r="J1438" s="19"/>
      <c r="K1438" s="19"/>
      <c r="L1438" s="13"/>
      <c r="M1438" s="14"/>
      <c r="N1438" s="14"/>
      <c r="O1438" s="4"/>
    </row>
    <row r="1439" spans="1:15">
      <c r="A1439" s="15"/>
      <c r="B1439" s="17"/>
      <c r="C1439" s="18"/>
      <c r="D1439" s="19"/>
      <c r="E1439" s="20"/>
      <c r="F1439" s="21"/>
      <c r="G1439" s="21"/>
      <c r="H1439" s="21"/>
      <c r="I1439" s="21"/>
      <c r="J1439" s="19"/>
      <c r="K1439" s="19"/>
      <c r="L1439" s="13"/>
      <c r="M1439" s="14"/>
      <c r="N1439" s="14"/>
      <c r="O1439" s="4"/>
    </row>
    <row r="1440" spans="1:15">
      <c r="A1440" s="15"/>
      <c r="B1440" s="17"/>
      <c r="C1440" s="18"/>
      <c r="D1440" s="19"/>
      <c r="E1440" s="20"/>
      <c r="F1440" s="21"/>
      <c r="G1440" s="21"/>
      <c r="H1440" s="21"/>
      <c r="I1440" s="21"/>
      <c r="J1440" s="19"/>
      <c r="K1440" s="19"/>
      <c r="L1440" s="13"/>
      <c r="M1440" s="14"/>
      <c r="N1440" s="14"/>
      <c r="O1440" s="4"/>
    </row>
    <row r="1441" spans="1:15">
      <c r="A1441" s="15"/>
      <c r="B1441" s="17"/>
      <c r="C1441" s="18"/>
      <c r="D1441" s="19"/>
      <c r="E1441" s="20"/>
      <c r="F1441" s="21"/>
      <c r="G1441" s="21"/>
      <c r="H1441" s="21"/>
      <c r="I1441" s="21"/>
      <c r="J1441" s="19"/>
      <c r="K1441" s="19"/>
      <c r="L1441" s="13"/>
      <c r="M1441" s="14"/>
      <c r="N1441" s="14"/>
      <c r="O1441" s="4"/>
    </row>
    <row r="1442" spans="1:15">
      <c r="A1442" s="15"/>
      <c r="B1442" s="17"/>
      <c r="C1442" s="18"/>
      <c r="D1442" s="19"/>
      <c r="E1442" s="20"/>
      <c r="F1442" s="21"/>
      <c r="G1442" s="21"/>
      <c r="H1442" s="21"/>
      <c r="I1442" s="21"/>
      <c r="J1442" s="19"/>
      <c r="K1442" s="19"/>
      <c r="L1442" s="13"/>
      <c r="M1442" s="14"/>
      <c r="N1442" s="14"/>
      <c r="O1442" s="4"/>
    </row>
    <row r="1443" spans="1:15">
      <c r="A1443" s="15"/>
      <c r="B1443" s="17"/>
      <c r="C1443" s="18"/>
      <c r="D1443" s="19"/>
      <c r="E1443" s="20"/>
      <c r="F1443" s="21"/>
      <c r="G1443" s="21"/>
      <c r="H1443" s="21"/>
      <c r="I1443" s="21"/>
      <c r="J1443" s="19"/>
      <c r="K1443" s="19"/>
      <c r="L1443" s="13"/>
      <c r="M1443" s="14"/>
      <c r="N1443" s="14"/>
      <c r="O1443" s="4"/>
    </row>
    <row r="1444" spans="1:15">
      <c r="A1444" s="15"/>
      <c r="B1444" s="17"/>
      <c r="C1444" s="18"/>
      <c r="D1444" s="19"/>
      <c r="E1444" s="20"/>
      <c r="F1444" s="21"/>
      <c r="G1444" s="21"/>
      <c r="H1444" s="21"/>
      <c r="I1444" s="21"/>
      <c r="J1444" s="19"/>
      <c r="K1444" s="19"/>
      <c r="L1444" s="13"/>
      <c r="M1444" s="14"/>
      <c r="N1444" s="14"/>
      <c r="O1444" s="4"/>
    </row>
    <row r="1445" spans="1:15">
      <c r="A1445" s="15"/>
      <c r="B1445" s="17"/>
      <c r="C1445" s="18"/>
      <c r="D1445" s="19"/>
      <c r="E1445" s="20"/>
      <c r="F1445" s="21"/>
      <c r="G1445" s="21"/>
      <c r="H1445" s="21"/>
      <c r="I1445" s="21"/>
      <c r="J1445" s="19"/>
      <c r="K1445" s="19"/>
      <c r="L1445" s="13"/>
      <c r="M1445" s="14"/>
      <c r="N1445" s="14"/>
      <c r="O1445" s="4"/>
    </row>
    <row r="1446" spans="1:15">
      <c r="A1446" s="15"/>
      <c r="B1446" s="17"/>
      <c r="C1446" s="18"/>
      <c r="D1446" s="19"/>
      <c r="E1446" s="20"/>
      <c r="F1446" s="21"/>
      <c r="G1446" s="21"/>
      <c r="H1446" s="21"/>
      <c r="I1446" s="21"/>
      <c r="J1446" s="19"/>
      <c r="K1446" s="19"/>
      <c r="L1446" s="13"/>
      <c r="M1446" s="14"/>
      <c r="N1446" s="14"/>
      <c r="O1446" s="4"/>
    </row>
    <row r="1447" spans="1:15">
      <c r="A1447" s="15"/>
      <c r="B1447" s="17"/>
      <c r="C1447" s="18"/>
      <c r="D1447" s="19"/>
      <c r="E1447" s="20"/>
      <c r="F1447" s="21"/>
      <c r="G1447" s="21"/>
      <c r="H1447" s="21"/>
      <c r="I1447" s="21"/>
      <c r="J1447" s="19"/>
      <c r="K1447" s="19"/>
      <c r="L1447" s="13"/>
      <c r="M1447" s="14"/>
      <c r="N1447" s="14"/>
      <c r="O1447" s="4"/>
    </row>
    <row r="1448" spans="1:15">
      <c r="A1448" s="15"/>
      <c r="B1448" s="17"/>
      <c r="C1448" s="18"/>
      <c r="D1448" s="19"/>
      <c r="E1448" s="20"/>
      <c r="F1448" s="21"/>
      <c r="G1448" s="21"/>
      <c r="H1448" s="21"/>
      <c r="I1448" s="21"/>
      <c r="J1448" s="19"/>
      <c r="K1448" s="19"/>
      <c r="L1448" s="13"/>
      <c r="M1448" s="14"/>
      <c r="N1448" s="14"/>
      <c r="O1448" s="4"/>
    </row>
    <row r="1449" spans="1:15">
      <c r="A1449" s="15"/>
      <c r="B1449" s="17"/>
      <c r="C1449" s="18"/>
      <c r="D1449" s="19"/>
      <c r="E1449" s="20"/>
      <c r="F1449" s="21"/>
      <c r="G1449" s="21"/>
      <c r="H1449" s="21"/>
      <c r="I1449" s="21"/>
      <c r="J1449" s="19"/>
      <c r="K1449" s="19"/>
      <c r="L1449" s="13"/>
      <c r="M1449" s="14"/>
      <c r="N1449" s="14"/>
      <c r="O1449" s="4"/>
    </row>
    <row r="1450" spans="1:15">
      <c r="A1450" s="15"/>
      <c r="B1450" s="17"/>
      <c r="C1450" s="18"/>
      <c r="D1450" s="19"/>
      <c r="E1450" s="20"/>
      <c r="F1450" s="21"/>
      <c r="G1450" s="21"/>
      <c r="H1450" s="21"/>
      <c r="I1450" s="21"/>
      <c r="J1450" s="19"/>
      <c r="K1450" s="19"/>
      <c r="L1450" s="13"/>
      <c r="M1450" s="14"/>
      <c r="N1450" s="14"/>
      <c r="O1450" s="4"/>
    </row>
    <row r="1451" spans="1:15">
      <c r="A1451" s="15"/>
      <c r="B1451" s="17"/>
      <c r="C1451" s="18"/>
      <c r="D1451" s="19"/>
      <c r="E1451" s="20"/>
      <c r="F1451" s="21"/>
      <c r="G1451" s="21"/>
      <c r="H1451" s="21"/>
      <c r="I1451" s="21"/>
      <c r="J1451" s="19"/>
      <c r="K1451" s="19"/>
      <c r="L1451" s="13"/>
      <c r="M1451" s="14"/>
      <c r="N1451" s="14"/>
      <c r="O1451" s="4"/>
    </row>
    <row r="1452" spans="1:15">
      <c r="A1452" s="15"/>
      <c r="B1452" s="17"/>
      <c r="C1452" s="18"/>
      <c r="D1452" s="19"/>
      <c r="E1452" s="20"/>
      <c r="F1452" s="21"/>
      <c r="G1452" s="21"/>
      <c r="H1452" s="21"/>
      <c r="I1452" s="21"/>
      <c r="J1452" s="19"/>
      <c r="K1452" s="19"/>
      <c r="L1452" s="13"/>
      <c r="M1452" s="14"/>
      <c r="N1452" s="14"/>
      <c r="O1452" s="4"/>
    </row>
    <row r="1453" spans="1:15">
      <c r="A1453" s="15"/>
      <c r="B1453" s="17"/>
      <c r="C1453" s="18"/>
      <c r="D1453" s="19"/>
      <c r="E1453" s="20"/>
      <c r="F1453" s="21"/>
      <c r="G1453" s="21"/>
      <c r="H1453" s="21"/>
      <c r="I1453" s="21"/>
      <c r="J1453" s="19"/>
      <c r="K1453" s="19"/>
      <c r="L1453" s="13"/>
      <c r="M1453" s="14"/>
      <c r="N1453" s="14"/>
      <c r="O1453" s="4"/>
    </row>
    <row r="1454" spans="1:15">
      <c r="A1454" s="15"/>
      <c r="B1454" s="17"/>
      <c r="C1454" s="18"/>
      <c r="D1454" s="19"/>
      <c r="E1454" s="20"/>
      <c r="F1454" s="21"/>
      <c r="G1454" s="21"/>
      <c r="H1454" s="21"/>
      <c r="I1454" s="21"/>
      <c r="J1454" s="19"/>
      <c r="K1454" s="19"/>
      <c r="L1454" s="13"/>
      <c r="M1454" s="14"/>
      <c r="N1454" s="14"/>
      <c r="O1454" s="4"/>
    </row>
    <row r="1455" spans="1:15">
      <c r="A1455" s="15"/>
      <c r="B1455" s="17"/>
      <c r="C1455" s="18"/>
      <c r="D1455" s="19"/>
      <c r="E1455" s="20"/>
      <c r="F1455" s="21"/>
      <c r="G1455" s="21"/>
      <c r="H1455" s="21"/>
      <c r="I1455" s="21"/>
      <c r="J1455" s="19"/>
      <c r="K1455" s="19"/>
      <c r="L1455" s="13"/>
      <c r="M1455" s="14"/>
      <c r="N1455" s="14"/>
      <c r="O1455" s="4"/>
    </row>
    <row r="1456" spans="1:15">
      <c r="A1456" s="15"/>
      <c r="B1456" s="17"/>
      <c r="C1456" s="18"/>
      <c r="D1456" s="19"/>
      <c r="E1456" s="20"/>
      <c r="F1456" s="21"/>
      <c r="G1456" s="21"/>
      <c r="H1456" s="21"/>
      <c r="I1456" s="21"/>
      <c r="J1456" s="19"/>
      <c r="K1456" s="19"/>
      <c r="L1456" s="13"/>
      <c r="M1456" s="14"/>
      <c r="N1456" s="14"/>
      <c r="O1456" s="4"/>
    </row>
    <row r="1457" spans="1:15">
      <c r="A1457" s="15"/>
      <c r="B1457" s="17"/>
      <c r="C1457" s="18"/>
      <c r="D1457" s="19"/>
      <c r="E1457" s="20"/>
      <c r="F1457" s="21"/>
      <c r="G1457" s="21"/>
      <c r="H1457" s="21"/>
      <c r="I1457" s="21"/>
      <c r="J1457" s="19"/>
      <c r="K1457" s="19"/>
      <c r="L1457" s="13"/>
      <c r="M1457" s="14"/>
      <c r="N1457" s="14"/>
      <c r="O1457" s="4"/>
    </row>
    <row r="1458" spans="1:15">
      <c r="A1458" s="15"/>
      <c r="B1458" s="17"/>
      <c r="C1458" s="18"/>
      <c r="D1458" s="19"/>
      <c r="E1458" s="20"/>
      <c r="F1458" s="21"/>
      <c r="G1458" s="21"/>
      <c r="H1458" s="21"/>
      <c r="I1458" s="21"/>
      <c r="J1458" s="19"/>
      <c r="K1458" s="19"/>
      <c r="L1458" s="13"/>
      <c r="M1458" s="14"/>
      <c r="N1458" s="14"/>
      <c r="O1458" s="4"/>
    </row>
    <row r="1459" spans="1:15">
      <c r="A1459" s="15"/>
      <c r="B1459" s="17"/>
      <c r="C1459" s="18"/>
      <c r="D1459" s="19"/>
      <c r="E1459" s="20"/>
      <c r="F1459" s="21"/>
      <c r="G1459" s="21"/>
      <c r="H1459" s="21"/>
      <c r="I1459" s="21"/>
      <c r="J1459" s="19"/>
      <c r="K1459" s="19"/>
      <c r="L1459" s="13"/>
      <c r="M1459" s="14"/>
      <c r="N1459" s="14"/>
      <c r="O1459" s="4"/>
    </row>
    <row r="1460" spans="1:15">
      <c r="A1460" s="15"/>
      <c r="B1460" s="17"/>
      <c r="C1460" s="18"/>
      <c r="D1460" s="19"/>
      <c r="E1460" s="20"/>
      <c r="F1460" s="21"/>
      <c r="G1460" s="21"/>
      <c r="H1460" s="21"/>
      <c r="I1460" s="21"/>
      <c r="J1460" s="19"/>
      <c r="K1460" s="19"/>
      <c r="L1460" s="13"/>
      <c r="M1460" s="14"/>
      <c r="N1460" s="14"/>
      <c r="O1460" s="4"/>
    </row>
    <row r="1461" spans="1:15">
      <c r="A1461" s="15"/>
      <c r="B1461" s="17"/>
      <c r="C1461" s="18"/>
      <c r="D1461" s="19"/>
      <c r="E1461" s="20"/>
      <c r="F1461" s="21"/>
      <c r="G1461" s="21"/>
      <c r="H1461" s="21"/>
      <c r="I1461" s="21"/>
      <c r="J1461" s="19"/>
      <c r="K1461" s="19"/>
      <c r="L1461" s="13"/>
      <c r="M1461" s="14"/>
      <c r="N1461" s="14"/>
      <c r="O1461" s="4"/>
    </row>
    <row r="1462" spans="1:15">
      <c r="A1462" s="15"/>
      <c r="B1462" s="17"/>
      <c r="C1462" s="18"/>
      <c r="D1462" s="19"/>
      <c r="E1462" s="20"/>
      <c r="F1462" s="21"/>
      <c r="G1462" s="21"/>
      <c r="H1462" s="21"/>
      <c r="I1462" s="21"/>
      <c r="J1462" s="19"/>
      <c r="K1462" s="19"/>
      <c r="L1462" s="13"/>
      <c r="M1462" s="14"/>
      <c r="N1462" s="14"/>
      <c r="O1462" s="4"/>
    </row>
    <row r="1463" spans="1:15">
      <c r="A1463" s="15"/>
      <c r="B1463" s="17"/>
      <c r="C1463" s="18"/>
      <c r="D1463" s="19"/>
      <c r="E1463" s="20"/>
      <c r="F1463" s="21"/>
      <c r="G1463" s="21"/>
      <c r="H1463" s="21"/>
      <c r="I1463" s="21"/>
      <c r="J1463" s="19"/>
      <c r="K1463" s="19"/>
      <c r="L1463" s="13"/>
      <c r="M1463" s="14"/>
      <c r="N1463" s="14"/>
      <c r="O1463" s="4"/>
    </row>
    <row r="1464" spans="1:15">
      <c r="A1464" s="15"/>
      <c r="B1464" s="17"/>
      <c r="C1464" s="18"/>
      <c r="D1464" s="19"/>
      <c r="E1464" s="20"/>
      <c r="F1464" s="21"/>
      <c r="G1464" s="21"/>
      <c r="H1464" s="21"/>
      <c r="I1464" s="21"/>
      <c r="J1464" s="19"/>
      <c r="K1464" s="19"/>
      <c r="L1464" s="13"/>
      <c r="M1464" s="14"/>
      <c r="N1464" s="14"/>
      <c r="O1464" s="4"/>
    </row>
    <row r="1465" spans="1:15">
      <c r="A1465" s="15"/>
      <c r="B1465" s="17"/>
      <c r="C1465" s="18"/>
      <c r="D1465" s="19"/>
      <c r="E1465" s="20"/>
      <c r="F1465" s="21"/>
      <c r="G1465" s="21"/>
      <c r="H1465" s="21"/>
      <c r="I1465" s="21"/>
      <c r="J1465" s="19"/>
      <c r="K1465" s="19"/>
      <c r="L1465" s="13"/>
      <c r="M1465" s="14"/>
      <c r="N1465" s="14"/>
      <c r="O1465" s="4"/>
    </row>
    <row r="1466" spans="1:15">
      <c r="A1466" s="15"/>
      <c r="B1466" s="17"/>
      <c r="C1466" s="18"/>
      <c r="D1466" s="19"/>
      <c r="E1466" s="20"/>
      <c r="F1466" s="21"/>
      <c r="G1466" s="21"/>
      <c r="H1466" s="21"/>
      <c r="I1466" s="21"/>
      <c r="J1466" s="19"/>
      <c r="K1466" s="19"/>
      <c r="L1466" s="13"/>
      <c r="M1466" s="14"/>
      <c r="N1466" s="14"/>
      <c r="O1466" s="4"/>
    </row>
    <row r="1467" spans="1:15">
      <c r="A1467" s="15"/>
      <c r="B1467" s="17"/>
      <c r="C1467" s="18"/>
      <c r="D1467" s="19"/>
      <c r="E1467" s="20"/>
      <c r="F1467" s="21"/>
      <c r="G1467" s="21"/>
      <c r="H1467" s="21"/>
      <c r="I1467" s="21"/>
      <c r="J1467" s="19"/>
      <c r="K1467" s="19"/>
      <c r="L1467" s="13"/>
      <c r="M1467" s="14"/>
      <c r="N1467" s="14"/>
      <c r="O1467" s="4"/>
    </row>
    <row r="1468" spans="1:15">
      <c r="A1468" s="15"/>
      <c r="B1468" s="17"/>
      <c r="C1468" s="18"/>
      <c r="D1468" s="19"/>
      <c r="E1468" s="20"/>
      <c r="F1468" s="21"/>
      <c r="G1468" s="21"/>
      <c r="H1468" s="21"/>
      <c r="I1468" s="21"/>
      <c r="J1468" s="19"/>
      <c r="K1468" s="19"/>
      <c r="L1468" s="13"/>
      <c r="M1468" s="14"/>
      <c r="N1468" s="14"/>
      <c r="O1468" s="4"/>
    </row>
    <row r="1469" spans="1:15">
      <c r="A1469" s="15"/>
      <c r="B1469" s="17"/>
      <c r="C1469" s="18"/>
      <c r="D1469" s="19"/>
      <c r="E1469" s="20"/>
      <c r="F1469" s="21"/>
      <c r="G1469" s="21"/>
      <c r="H1469" s="21"/>
      <c r="I1469" s="21"/>
      <c r="J1469" s="19"/>
      <c r="K1469" s="19"/>
      <c r="L1469" s="13"/>
      <c r="M1469" s="14"/>
      <c r="N1469" s="14"/>
      <c r="O1469" s="4"/>
    </row>
    <row r="1470" spans="1:15">
      <c r="A1470" s="15"/>
      <c r="B1470" s="17"/>
      <c r="C1470" s="18"/>
      <c r="D1470" s="19"/>
      <c r="E1470" s="20"/>
      <c r="F1470" s="21"/>
      <c r="G1470" s="21"/>
      <c r="H1470" s="21"/>
      <c r="I1470" s="21"/>
      <c r="J1470" s="19"/>
      <c r="K1470" s="19"/>
      <c r="L1470" s="13"/>
      <c r="M1470" s="14"/>
      <c r="N1470" s="14"/>
      <c r="O1470" s="4"/>
    </row>
    <row r="1471" spans="1:15">
      <c r="A1471" s="15"/>
      <c r="B1471" s="17"/>
      <c r="C1471" s="18"/>
      <c r="D1471" s="19"/>
      <c r="E1471" s="20"/>
      <c r="F1471" s="21"/>
      <c r="G1471" s="21"/>
      <c r="H1471" s="21"/>
      <c r="I1471" s="21"/>
      <c r="J1471" s="19"/>
      <c r="K1471" s="19"/>
      <c r="L1471" s="13"/>
      <c r="M1471" s="14"/>
      <c r="N1471" s="14"/>
      <c r="O1471" s="4"/>
    </row>
    <row r="1472" spans="1:15">
      <c r="A1472" s="15"/>
      <c r="B1472" s="17"/>
      <c r="C1472" s="18"/>
      <c r="D1472" s="19"/>
      <c r="E1472" s="20"/>
      <c r="F1472" s="21"/>
      <c r="G1472" s="21"/>
      <c r="H1472" s="21"/>
      <c r="I1472" s="21"/>
      <c r="J1472" s="19"/>
      <c r="K1472" s="19"/>
      <c r="L1472" s="13"/>
      <c r="M1472" s="14"/>
      <c r="N1472" s="14"/>
      <c r="O1472" s="4"/>
    </row>
    <row r="1473" spans="1:15">
      <c r="A1473" s="15"/>
      <c r="B1473" s="17"/>
      <c r="C1473" s="18"/>
      <c r="D1473" s="19"/>
      <c r="E1473" s="20"/>
      <c r="F1473" s="21"/>
      <c r="G1473" s="21"/>
      <c r="H1473" s="21"/>
      <c r="I1473" s="21"/>
      <c r="J1473" s="19"/>
      <c r="K1473" s="19"/>
      <c r="L1473" s="13"/>
      <c r="M1473" s="14"/>
      <c r="N1473" s="14"/>
      <c r="O1473" s="4"/>
    </row>
    <row r="1474" spans="1:15">
      <c r="A1474" s="15"/>
      <c r="B1474" s="17"/>
      <c r="C1474" s="18"/>
      <c r="D1474" s="19"/>
      <c r="E1474" s="20"/>
      <c r="F1474" s="21"/>
      <c r="G1474" s="21"/>
      <c r="H1474" s="21"/>
      <c r="I1474" s="21"/>
      <c r="J1474" s="19"/>
      <c r="K1474" s="19"/>
      <c r="L1474" s="13"/>
      <c r="M1474" s="14"/>
      <c r="N1474" s="14"/>
      <c r="O1474" s="4"/>
    </row>
    <row r="1475" spans="1:15">
      <c r="A1475" s="15"/>
      <c r="B1475" s="17"/>
      <c r="C1475" s="18"/>
      <c r="D1475" s="19"/>
      <c r="E1475" s="20"/>
      <c r="F1475" s="21"/>
      <c r="G1475" s="21"/>
      <c r="H1475" s="21"/>
      <c r="I1475" s="21"/>
      <c r="J1475" s="19"/>
      <c r="K1475" s="19"/>
      <c r="L1475" s="13"/>
      <c r="M1475" s="14"/>
      <c r="N1475" s="14"/>
      <c r="O1475" s="4"/>
    </row>
    <row r="1476" spans="1:15">
      <c r="A1476" s="15"/>
      <c r="B1476" s="17"/>
      <c r="C1476" s="18"/>
      <c r="D1476" s="19"/>
      <c r="E1476" s="20"/>
      <c r="F1476" s="21"/>
      <c r="G1476" s="21"/>
      <c r="H1476" s="21"/>
      <c r="I1476" s="21"/>
      <c r="J1476" s="19"/>
      <c r="K1476" s="19"/>
      <c r="L1476" s="13"/>
      <c r="M1476" s="14"/>
      <c r="N1476" s="14"/>
      <c r="O1476" s="4"/>
    </row>
    <row r="1477" spans="1:15">
      <c r="A1477" s="15"/>
      <c r="B1477" s="17"/>
      <c r="C1477" s="18"/>
      <c r="D1477" s="19"/>
      <c r="E1477" s="20"/>
      <c r="F1477" s="21"/>
      <c r="G1477" s="21"/>
      <c r="H1477" s="21"/>
      <c r="I1477" s="21"/>
      <c r="J1477" s="19"/>
      <c r="K1477" s="19"/>
      <c r="L1477" s="13"/>
      <c r="M1477" s="14"/>
      <c r="N1477" s="14"/>
      <c r="O1477" s="4"/>
    </row>
    <row r="1478" spans="1:15">
      <c r="A1478" s="15"/>
      <c r="B1478" s="17"/>
      <c r="C1478" s="18"/>
      <c r="D1478" s="19"/>
      <c r="E1478" s="20"/>
      <c r="F1478" s="21"/>
      <c r="G1478" s="21"/>
      <c r="H1478" s="21"/>
      <c r="I1478" s="21"/>
      <c r="J1478" s="19"/>
      <c r="K1478" s="19"/>
      <c r="L1478" s="13"/>
      <c r="M1478" s="14"/>
      <c r="N1478" s="14"/>
      <c r="O1478" s="4"/>
    </row>
    <row r="1479" spans="1:15">
      <c r="A1479" s="15"/>
      <c r="B1479" s="17"/>
      <c r="C1479" s="18"/>
      <c r="D1479" s="19"/>
      <c r="E1479" s="20"/>
      <c r="F1479" s="21"/>
      <c r="G1479" s="21"/>
      <c r="H1479" s="21"/>
      <c r="I1479" s="21"/>
      <c r="J1479" s="19"/>
      <c r="K1479" s="19"/>
      <c r="L1479" s="13"/>
      <c r="M1479" s="14"/>
      <c r="N1479" s="14"/>
      <c r="O1479" s="4"/>
    </row>
    <row r="1480" spans="1:15">
      <c r="A1480" s="15"/>
      <c r="B1480" s="17"/>
      <c r="C1480" s="18"/>
      <c r="D1480" s="19"/>
      <c r="E1480" s="20"/>
      <c r="F1480" s="21"/>
      <c r="G1480" s="21"/>
      <c r="H1480" s="21"/>
      <c r="I1480" s="21"/>
      <c r="J1480" s="19"/>
      <c r="K1480" s="19"/>
      <c r="L1480" s="13"/>
      <c r="M1480" s="14"/>
      <c r="N1480" s="14"/>
      <c r="O1480" s="4"/>
    </row>
    <row r="1481" spans="1:15">
      <c r="A1481" s="15"/>
      <c r="B1481" s="17"/>
      <c r="C1481" s="18"/>
      <c r="D1481" s="19"/>
      <c r="E1481" s="20"/>
      <c r="F1481" s="21"/>
      <c r="G1481" s="21"/>
      <c r="H1481" s="21"/>
      <c r="I1481" s="21"/>
      <c r="J1481" s="19"/>
      <c r="K1481" s="19"/>
      <c r="L1481" s="13"/>
      <c r="M1481" s="14"/>
      <c r="N1481" s="14"/>
      <c r="O1481" s="4"/>
    </row>
    <row r="1482" spans="1:15">
      <c r="A1482" s="15"/>
      <c r="B1482" s="17"/>
      <c r="C1482" s="18"/>
      <c r="D1482" s="19"/>
      <c r="E1482" s="20"/>
      <c r="F1482" s="21"/>
      <c r="G1482" s="21"/>
      <c r="H1482" s="21"/>
      <c r="I1482" s="21"/>
      <c r="J1482" s="19"/>
      <c r="K1482" s="19"/>
      <c r="L1482" s="13"/>
      <c r="M1482" s="14"/>
      <c r="N1482" s="14"/>
      <c r="O1482" s="4"/>
    </row>
    <row r="1483" spans="1:15">
      <c r="A1483" s="15"/>
      <c r="B1483" s="17"/>
      <c r="C1483" s="18"/>
      <c r="D1483" s="19"/>
      <c r="E1483" s="20"/>
      <c r="F1483" s="21"/>
      <c r="G1483" s="21"/>
      <c r="H1483" s="21"/>
      <c r="I1483" s="21"/>
      <c r="J1483" s="19"/>
      <c r="K1483" s="19"/>
      <c r="L1483" s="13"/>
      <c r="M1483" s="14"/>
      <c r="N1483" s="14"/>
      <c r="O1483" s="4"/>
    </row>
    <row r="1484" spans="1:15">
      <c r="A1484" s="15"/>
      <c r="B1484" s="17"/>
      <c r="C1484" s="18"/>
      <c r="D1484" s="19"/>
      <c r="E1484" s="20"/>
      <c r="F1484" s="21"/>
      <c r="G1484" s="21"/>
      <c r="H1484" s="21"/>
      <c r="I1484" s="21"/>
      <c r="J1484" s="19"/>
      <c r="K1484" s="19"/>
      <c r="L1484" s="13"/>
      <c r="M1484" s="14"/>
      <c r="N1484" s="14"/>
      <c r="O1484" s="4"/>
    </row>
    <row r="1485" spans="1:15">
      <c r="A1485" s="15"/>
      <c r="B1485" s="17"/>
      <c r="C1485" s="18"/>
      <c r="D1485" s="19"/>
      <c r="E1485" s="20"/>
      <c r="F1485" s="21"/>
      <c r="G1485" s="21"/>
      <c r="H1485" s="21"/>
      <c r="I1485" s="21"/>
      <c r="J1485" s="19"/>
      <c r="K1485" s="19"/>
      <c r="L1485" s="13"/>
      <c r="M1485" s="14"/>
      <c r="N1485" s="14"/>
      <c r="O1485" s="4"/>
    </row>
    <row r="1486" spans="1:15">
      <c r="A1486" s="15"/>
      <c r="B1486" s="17"/>
      <c r="C1486" s="18"/>
      <c r="D1486" s="19"/>
      <c r="E1486" s="20"/>
      <c r="F1486" s="21"/>
      <c r="G1486" s="21"/>
      <c r="H1486" s="21"/>
      <c r="I1486" s="21"/>
      <c r="J1486" s="19"/>
      <c r="K1486" s="19"/>
      <c r="L1486" s="13"/>
      <c r="M1486" s="14"/>
      <c r="N1486" s="14"/>
      <c r="O1486" s="4"/>
    </row>
    <row r="1487" spans="1:15">
      <c r="A1487" s="15"/>
      <c r="B1487" s="17"/>
      <c r="C1487" s="18"/>
      <c r="D1487" s="19"/>
      <c r="E1487" s="20"/>
      <c r="F1487" s="21"/>
      <c r="G1487" s="21"/>
      <c r="H1487" s="21"/>
      <c r="I1487" s="21"/>
      <c r="J1487" s="19"/>
      <c r="K1487" s="19"/>
      <c r="L1487" s="13"/>
      <c r="M1487" s="14"/>
      <c r="N1487" s="14"/>
      <c r="O1487" s="4"/>
    </row>
    <row r="1488" spans="1:15">
      <c r="A1488" s="15"/>
      <c r="B1488" s="17"/>
      <c r="C1488" s="18"/>
      <c r="D1488" s="19"/>
      <c r="E1488" s="20"/>
      <c r="F1488" s="21"/>
      <c r="G1488" s="21"/>
      <c r="H1488" s="21"/>
      <c r="I1488" s="21"/>
      <c r="J1488" s="19"/>
      <c r="K1488" s="19"/>
      <c r="L1488" s="13"/>
      <c r="M1488" s="14"/>
      <c r="N1488" s="14"/>
      <c r="O1488" s="4"/>
    </row>
    <row r="1489" spans="1:15">
      <c r="A1489" s="15"/>
      <c r="B1489" s="17"/>
      <c r="C1489" s="18"/>
      <c r="D1489" s="19"/>
      <c r="E1489" s="20"/>
      <c r="F1489" s="21"/>
      <c r="G1489" s="21"/>
      <c r="H1489" s="21"/>
      <c r="I1489" s="21"/>
      <c r="J1489" s="19"/>
      <c r="K1489" s="19"/>
      <c r="L1489" s="13"/>
      <c r="M1489" s="14"/>
      <c r="N1489" s="14"/>
      <c r="O1489" s="4"/>
    </row>
    <row r="1490" spans="1:15">
      <c r="A1490" s="15"/>
      <c r="B1490" s="17"/>
      <c r="C1490" s="18"/>
      <c r="D1490" s="19"/>
      <c r="E1490" s="20"/>
      <c r="F1490" s="21"/>
      <c r="G1490" s="21"/>
      <c r="H1490" s="21"/>
      <c r="I1490" s="21"/>
      <c r="J1490" s="19"/>
      <c r="K1490" s="19"/>
      <c r="L1490" s="13"/>
      <c r="M1490" s="14"/>
      <c r="N1490" s="14"/>
      <c r="O1490" s="4"/>
    </row>
    <row r="1491" spans="1:15">
      <c r="A1491" s="15"/>
      <c r="B1491" s="17"/>
      <c r="C1491" s="18"/>
      <c r="D1491" s="19"/>
      <c r="E1491" s="20"/>
      <c r="F1491" s="21"/>
      <c r="G1491" s="21"/>
      <c r="H1491" s="21"/>
      <c r="I1491" s="21"/>
      <c r="J1491" s="19"/>
      <c r="K1491" s="19"/>
      <c r="L1491" s="13"/>
      <c r="M1491" s="14"/>
      <c r="N1491" s="14"/>
      <c r="O1491" s="4"/>
    </row>
    <row r="1492" spans="1:15">
      <c r="A1492" s="15"/>
      <c r="B1492" s="17"/>
      <c r="C1492" s="18"/>
      <c r="D1492" s="19"/>
      <c r="E1492" s="20"/>
      <c r="F1492" s="21"/>
      <c r="G1492" s="21"/>
      <c r="H1492" s="21"/>
      <c r="I1492" s="21"/>
      <c r="J1492" s="19"/>
      <c r="K1492" s="19"/>
      <c r="L1492" s="13"/>
      <c r="M1492" s="14"/>
      <c r="N1492" s="14"/>
      <c r="O1492" s="4"/>
    </row>
    <row r="1493" spans="1:15">
      <c r="A1493" s="15"/>
      <c r="B1493" s="17"/>
      <c r="C1493" s="18"/>
      <c r="D1493" s="19"/>
      <c r="E1493" s="20"/>
      <c r="F1493" s="21"/>
      <c r="G1493" s="21"/>
      <c r="H1493" s="21"/>
      <c r="I1493" s="21"/>
      <c r="J1493" s="19"/>
      <c r="K1493" s="19"/>
      <c r="L1493" s="13"/>
      <c r="M1493" s="14"/>
      <c r="N1493" s="14"/>
      <c r="O1493" s="4"/>
    </row>
    <row r="1494" spans="1:15">
      <c r="A1494" s="15"/>
      <c r="B1494" s="17"/>
      <c r="C1494" s="18"/>
      <c r="D1494" s="19"/>
      <c r="E1494" s="20"/>
      <c r="F1494" s="21"/>
      <c r="G1494" s="21"/>
      <c r="H1494" s="21"/>
      <c r="I1494" s="21"/>
      <c r="J1494" s="19"/>
      <c r="K1494" s="19"/>
      <c r="L1494" s="13"/>
      <c r="M1494" s="14"/>
      <c r="N1494" s="14"/>
      <c r="O1494" s="4"/>
    </row>
    <row r="1495" spans="1:15">
      <c r="A1495" s="15"/>
      <c r="B1495" s="17"/>
      <c r="C1495" s="18"/>
      <c r="D1495" s="19"/>
      <c r="E1495" s="20"/>
      <c r="F1495" s="21"/>
      <c r="G1495" s="21"/>
      <c r="H1495" s="21"/>
      <c r="I1495" s="21"/>
      <c r="J1495" s="19"/>
      <c r="K1495" s="19"/>
      <c r="L1495" s="13"/>
      <c r="M1495" s="14"/>
      <c r="N1495" s="14"/>
      <c r="O1495" s="4"/>
    </row>
    <row r="1496" spans="1:15">
      <c r="A1496" s="15"/>
      <c r="B1496" s="17"/>
      <c r="C1496" s="18"/>
      <c r="D1496" s="19"/>
      <c r="E1496" s="20"/>
      <c r="F1496" s="21"/>
      <c r="G1496" s="21"/>
      <c r="H1496" s="21"/>
      <c r="I1496" s="21"/>
      <c r="J1496" s="19"/>
      <c r="K1496" s="19"/>
      <c r="L1496" s="13"/>
      <c r="M1496" s="14"/>
      <c r="N1496" s="14"/>
      <c r="O1496" s="4"/>
    </row>
    <row r="1497" spans="1:15">
      <c r="A1497" s="15"/>
      <c r="B1497" s="17"/>
      <c r="C1497" s="18"/>
      <c r="D1497" s="19"/>
      <c r="E1497" s="20"/>
      <c r="F1497" s="21"/>
      <c r="G1497" s="21"/>
      <c r="H1497" s="21"/>
      <c r="I1497" s="21"/>
      <c r="J1497" s="19"/>
      <c r="K1497" s="19"/>
      <c r="L1497" s="13"/>
      <c r="M1497" s="14"/>
      <c r="N1497" s="14"/>
      <c r="O1497" s="4"/>
    </row>
    <row r="1498" spans="1:15">
      <c r="A1498" s="15"/>
      <c r="B1498" s="17"/>
      <c r="C1498" s="18"/>
      <c r="D1498" s="19"/>
      <c r="E1498" s="20"/>
      <c r="F1498" s="21"/>
      <c r="G1498" s="21"/>
      <c r="H1498" s="21"/>
      <c r="I1498" s="21"/>
      <c r="J1498" s="19"/>
      <c r="K1498" s="19"/>
      <c r="L1498" s="13"/>
      <c r="M1498" s="14"/>
      <c r="N1498" s="14"/>
      <c r="O1498" s="4"/>
    </row>
    <row r="1499" spans="1:15">
      <c r="A1499" s="15"/>
      <c r="B1499" s="17"/>
      <c r="C1499" s="18"/>
      <c r="D1499" s="19"/>
      <c r="E1499" s="20"/>
      <c r="F1499" s="21"/>
      <c r="G1499" s="21"/>
      <c r="H1499" s="21"/>
      <c r="I1499" s="21"/>
      <c r="J1499" s="19"/>
      <c r="K1499" s="19"/>
      <c r="L1499" s="13"/>
      <c r="M1499" s="14"/>
      <c r="N1499" s="14"/>
      <c r="O1499" s="4"/>
    </row>
    <row r="1500" spans="1:15">
      <c r="A1500" s="15"/>
      <c r="B1500" s="17"/>
      <c r="C1500" s="18"/>
      <c r="D1500" s="19"/>
      <c r="E1500" s="20"/>
      <c r="F1500" s="21"/>
      <c r="G1500" s="21"/>
      <c r="H1500" s="21"/>
      <c r="I1500" s="21"/>
      <c r="J1500" s="19"/>
      <c r="K1500" s="19"/>
      <c r="L1500" s="13"/>
      <c r="M1500" s="14"/>
      <c r="N1500" s="14"/>
      <c r="O1500" s="4"/>
    </row>
    <row r="1501" spans="1:15">
      <c r="A1501" s="15"/>
      <c r="B1501" s="17"/>
      <c r="C1501" s="18"/>
      <c r="D1501" s="19"/>
      <c r="E1501" s="20"/>
      <c r="F1501" s="21"/>
      <c r="G1501" s="21"/>
      <c r="H1501" s="21"/>
      <c r="I1501" s="21"/>
      <c r="J1501" s="19"/>
      <c r="K1501" s="19"/>
      <c r="L1501" s="13"/>
      <c r="M1501" s="14"/>
      <c r="N1501" s="14"/>
      <c r="O1501" s="4"/>
    </row>
    <row r="1502" spans="1:15">
      <c r="A1502" s="15"/>
      <c r="B1502" s="17"/>
      <c r="C1502" s="18"/>
      <c r="D1502" s="19"/>
      <c r="E1502" s="20"/>
      <c r="F1502" s="21"/>
      <c r="G1502" s="21"/>
      <c r="H1502" s="21"/>
      <c r="I1502" s="21"/>
      <c r="J1502" s="19"/>
      <c r="K1502" s="19"/>
      <c r="L1502" s="13"/>
      <c r="M1502" s="14"/>
      <c r="N1502" s="14"/>
      <c r="O1502" s="4"/>
    </row>
    <row r="1503" spans="1:15">
      <c r="A1503" s="15"/>
      <c r="B1503" s="17"/>
      <c r="C1503" s="18"/>
      <c r="D1503" s="19"/>
      <c r="E1503" s="20"/>
      <c r="F1503" s="21"/>
      <c r="G1503" s="21"/>
      <c r="H1503" s="21"/>
      <c r="I1503" s="21"/>
      <c r="J1503" s="19"/>
      <c r="K1503" s="19"/>
      <c r="L1503" s="13"/>
      <c r="M1503" s="14"/>
      <c r="N1503" s="14"/>
      <c r="O1503" s="4"/>
    </row>
    <row r="1504" spans="1:15">
      <c r="A1504" s="15"/>
      <c r="B1504" s="17"/>
      <c r="C1504" s="18"/>
      <c r="D1504" s="19"/>
      <c r="E1504" s="20"/>
      <c r="F1504" s="21"/>
      <c r="G1504" s="21"/>
      <c r="H1504" s="21"/>
      <c r="I1504" s="21"/>
      <c r="J1504" s="19"/>
      <c r="K1504" s="19"/>
      <c r="L1504" s="13"/>
      <c r="M1504" s="14"/>
      <c r="N1504" s="14"/>
      <c r="O1504" s="4"/>
    </row>
    <row r="1505" spans="1:15">
      <c r="A1505" s="15"/>
      <c r="B1505" s="17"/>
      <c r="C1505" s="18"/>
      <c r="D1505" s="19"/>
      <c r="E1505" s="20"/>
      <c r="F1505" s="21"/>
      <c r="G1505" s="21"/>
      <c r="H1505" s="21"/>
      <c r="I1505" s="21"/>
      <c r="J1505" s="19"/>
      <c r="K1505" s="19"/>
      <c r="L1505" s="13"/>
      <c r="M1505" s="14"/>
      <c r="N1505" s="14"/>
      <c r="O1505" s="4"/>
    </row>
    <row r="1506" spans="1:15">
      <c r="A1506" s="15"/>
      <c r="B1506" s="17"/>
      <c r="C1506" s="18"/>
      <c r="D1506" s="19"/>
      <c r="E1506" s="20"/>
      <c r="F1506" s="21"/>
      <c r="G1506" s="21"/>
      <c r="H1506" s="21"/>
      <c r="I1506" s="21"/>
      <c r="J1506" s="19"/>
      <c r="K1506" s="19"/>
      <c r="L1506" s="13"/>
      <c r="M1506" s="14"/>
      <c r="N1506" s="14"/>
      <c r="O1506" s="4"/>
    </row>
    <row r="1507" spans="1:15">
      <c r="A1507" s="15"/>
      <c r="B1507" s="17"/>
      <c r="C1507" s="18"/>
      <c r="D1507" s="19"/>
      <c r="E1507" s="20"/>
      <c r="F1507" s="21"/>
      <c r="G1507" s="21"/>
      <c r="H1507" s="21"/>
      <c r="I1507" s="21"/>
      <c r="J1507" s="19"/>
      <c r="K1507" s="19"/>
      <c r="L1507" s="13"/>
      <c r="M1507" s="14"/>
      <c r="N1507" s="14"/>
      <c r="O1507" s="4"/>
    </row>
    <row r="1508" spans="1:15">
      <c r="A1508" s="15"/>
      <c r="B1508" s="17"/>
      <c r="C1508" s="18"/>
      <c r="D1508" s="19"/>
      <c r="E1508" s="20"/>
      <c r="F1508" s="21"/>
      <c r="G1508" s="21"/>
      <c r="H1508" s="21"/>
      <c r="I1508" s="21"/>
      <c r="J1508" s="19"/>
      <c r="K1508" s="19"/>
      <c r="L1508" s="13"/>
      <c r="M1508" s="14"/>
      <c r="N1508" s="14"/>
      <c r="O1508" s="4"/>
    </row>
    <row r="1509" spans="1:15">
      <c r="A1509" s="15"/>
      <c r="B1509" s="17"/>
      <c r="C1509" s="18"/>
      <c r="D1509" s="19"/>
      <c r="E1509" s="20"/>
      <c r="F1509" s="21"/>
      <c r="G1509" s="21"/>
      <c r="H1509" s="21"/>
      <c r="I1509" s="21"/>
      <c r="J1509" s="19"/>
      <c r="K1509" s="19"/>
      <c r="L1509" s="13"/>
      <c r="M1509" s="14"/>
      <c r="N1509" s="14"/>
      <c r="O1509" s="4"/>
    </row>
    <row r="1510" spans="1:15">
      <c r="A1510" s="15"/>
      <c r="B1510" s="17"/>
      <c r="C1510" s="18"/>
      <c r="D1510" s="19"/>
      <c r="E1510" s="20"/>
      <c r="F1510" s="21"/>
      <c r="G1510" s="21"/>
      <c r="H1510" s="21"/>
      <c r="I1510" s="21"/>
      <c r="J1510" s="19"/>
      <c r="K1510" s="19"/>
      <c r="L1510" s="13"/>
      <c r="M1510" s="14"/>
      <c r="N1510" s="14"/>
      <c r="O1510" s="4"/>
    </row>
    <row r="1511" spans="1:15">
      <c r="A1511" s="15"/>
      <c r="B1511" s="17"/>
      <c r="C1511" s="18"/>
      <c r="D1511" s="19"/>
      <c r="E1511" s="20"/>
      <c r="F1511" s="21"/>
      <c r="G1511" s="21"/>
      <c r="H1511" s="21"/>
      <c r="I1511" s="21"/>
      <c r="J1511" s="19"/>
      <c r="K1511" s="19"/>
      <c r="L1511" s="13"/>
      <c r="M1511" s="14"/>
      <c r="N1511" s="14"/>
      <c r="O1511" s="4"/>
    </row>
    <row r="1512" spans="1:15">
      <c r="A1512" s="15"/>
      <c r="B1512" s="17"/>
      <c r="C1512" s="18"/>
      <c r="D1512" s="19"/>
      <c r="E1512" s="20"/>
      <c r="F1512" s="21"/>
      <c r="G1512" s="21"/>
      <c r="H1512" s="21"/>
      <c r="I1512" s="21"/>
      <c r="J1512" s="19"/>
      <c r="K1512" s="19"/>
      <c r="L1512" s="13"/>
      <c r="M1512" s="14"/>
      <c r="N1512" s="14"/>
      <c r="O1512" s="4"/>
    </row>
    <row r="1513" spans="1:15">
      <c r="A1513" s="15"/>
      <c r="B1513" s="17"/>
      <c r="C1513" s="18"/>
      <c r="D1513" s="19"/>
      <c r="E1513" s="20"/>
      <c r="F1513" s="21"/>
      <c r="G1513" s="21"/>
      <c r="H1513" s="21"/>
      <c r="I1513" s="21"/>
      <c r="J1513" s="19"/>
      <c r="K1513" s="19"/>
      <c r="L1513" s="13"/>
      <c r="M1513" s="14"/>
      <c r="N1513" s="14"/>
      <c r="O1513" s="4"/>
    </row>
    <row r="1514" spans="1:15">
      <c r="A1514" s="15"/>
      <c r="B1514" s="17"/>
      <c r="C1514" s="18"/>
      <c r="D1514" s="19"/>
      <c r="E1514" s="20"/>
      <c r="F1514" s="21"/>
      <c r="G1514" s="21"/>
      <c r="H1514" s="21"/>
      <c r="I1514" s="21"/>
      <c r="J1514" s="19"/>
      <c r="K1514" s="19"/>
      <c r="L1514" s="13"/>
      <c r="M1514" s="14"/>
      <c r="N1514" s="14"/>
      <c r="O1514" s="4"/>
    </row>
    <row r="1515" spans="1:15">
      <c r="A1515" s="15"/>
      <c r="B1515" s="17"/>
      <c r="C1515" s="18"/>
      <c r="D1515" s="19"/>
      <c r="E1515" s="20"/>
      <c r="F1515" s="21"/>
      <c r="G1515" s="21"/>
      <c r="H1515" s="21"/>
      <c r="I1515" s="21"/>
      <c r="J1515" s="19"/>
      <c r="K1515" s="19"/>
      <c r="L1515" s="13"/>
      <c r="M1515" s="14"/>
      <c r="N1515" s="14"/>
      <c r="O1515" s="4"/>
    </row>
    <row r="1516" spans="1:15">
      <c r="A1516" s="15"/>
      <c r="B1516" s="17"/>
      <c r="C1516" s="18"/>
      <c r="D1516" s="19"/>
      <c r="E1516" s="20"/>
      <c r="F1516" s="21"/>
      <c r="G1516" s="21"/>
      <c r="H1516" s="21"/>
      <c r="I1516" s="21"/>
      <c r="J1516" s="19"/>
      <c r="K1516" s="19"/>
      <c r="L1516" s="13"/>
      <c r="M1516" s="14"/>
      <c r="N1516" s="14"/>
      <c r="O1516" s="4"/>
    </row>
    <row r="1517" spans="1:15">
      <c r="A1517" s="15"/>
      <c r="B1517" s="17"/>
      <c r="C1517" s="18"/>
      <c r="D1517" s="19"/>
      <c r="E1517" s="20"/>
      <c r="F1517" s="21"/>
      <c r="G1517" s="21"/>
      <c r="H1517" s="21"/>
      <c r="I1517" s="21"/>
      <c r="J1517" s="19"/>
      <c r="K1517" s="19"/>
      <c r="L1517" s="13"/>
      <c r="M1517" s="14"/>
      <c r="N1517" s="14"/>
      <c r="O1517" s="4"/>
    </row>
    <row r="1518" spans="1:15">
      <c r="A1518" s="15"/>
      <c r="B1518" s="17"/>
      <c r="C1518" s="18"/>
      <c r="D1518" s="19"/>
      <c r="E1518" s="20"/>
      <c r="F1518" s="21"/>
      <c r="G1518" s="21"/>
      <c r="H1518" s="21"/>
      <c r="I1518" s="21"/>
      <c r="J1518" s="19"/>
      <c r="K1518" s="19"/>
      <c r="L1518" s="13"/>
      <c r="M1518" s="14"/>
      <c r="N1518" s="14"/>
      <c r="O1518" s="4"/>
    </row>
    <row r="1519" spans="1:15">
      <c r="A1519" s="15"/>
      <c r="B1519" s="17"/>
      <c r="C1519" s="18"/>
      <c r="D1519" s="19"/>
      <c r="E1519" s="20"/>
      <c r="F1519" s="21"/>
      <c r="G1519" s="21"/>
      <c r="H1519" s="21"/>
      <c r="I1519" s="21"/>
      <c r="J1519" s="19"/>
      <c r="K1519" s="19"/>
      <c r="L1519" s="13"/>
      <c r="M1519" s="14"/>
      <c r="N1519" s="14"/>
      <c r="O1519" s="4"/>
    </row>
    <row r="1520" spans="1:15">
      <c r="A1520" s="15"/>
      <c r="B1520" s="17"/>
      <c r="C1520" s="18"/>
      <c r="D1520" s="19"/>
      <c r="E1520" s="20"/>
      <c r="F1520" s="21"/>
      <c r="G1520" s="21"/>
      <c r="H1520" s="21"/>
      <c r="I1520" s="21"/>
      <c r="J1520" s="19"/>
      <c r="K1520" s="19"/>
      <c r="L1520" s="13"/>
      <c r="M1520" s="14"/>
      <c r="N1520" s="14"/>
      <c r="O1520" s="4"/>
    </row>
    <row r="1521" spans="1:15">
      <c r="A1521" s="15"/>
      <c r="B1521" s="17"/>
      <c r="C1521" s="18"/>
      <c r="D1521" s="19"/>
      <c r="E1521" s="20"/>
      <c r="F1521" s="21"/>
      <c r="G1521" s="21"/>
      <c r="H1521" s="21"/>
      <c r="I1521" s="21"/>
      <c r="J1521" s="19"/>
      <c r="K1521" s="19"/>
      <c r="L1521" s="13"/>
      <c r="M1521" s="14"/>
      <c r="N1521" s="14"/>
      <c r="O1521" s="4"/>
    </row>
    <row r="1522" spans="1:15">
      <c r="A1522" s="15"/>
      <c r="B1522" s="17"/>
      <c r="C1522" s="18"/>
      <c r="D1522" s="19"/>
      <c r="E1522" s="20"/>
      <c r="F1522" s="21"/>
      <c r="G1522" s="21"/>
      <c r="H1522" s="21"/>
      <c r="I1522" s="21"/>
      <c r="J1522" s="19"/>
      <c r="K1522" s="19"/>
      <c r="L1522" s="13"/>
      <c r="M1522" s="14"/>
      <c r="N1522" s="14"/>
      <c r="O1522" s="4"/>
    </row>
    <row r="1523" spans="1:15">
      <c r="A1523" s="15"/>
      <c r="B1523" s="17"/>
      <c r="C1523" s="18"/>
      <c r="D1523" s="19"/>
      <c r="E1523" s="20"/>
      <c r="F1523" s="21"/>
      <c r="G1523" s="21"/>
      <c r="H1523" s="21"/>
      <c r="I1523" s="21"/>
      <c r="J1523" s="19"/>
      <c r="K1523" s="19"/>
      <c r="L1523" s="13"/>
      <c r="M1523" s="14"/>
      <c r="N1523" s="14"/>
      <c r="O1523" s="4"/>
    </row>
    <row r="1524" spans="1:15">
      <c r="A1524" s="15"/>
      <c r="B1524" s="17"/>
      <c r="C1524" s="18"/>
      <c r="D1524" s="19"/>
      <c r="E1524" s="20"/>
      <c r="F1524" s="21"/>
      <c r="G1524" s="21"/>
      <c r="H1524" s="21"/>
      <c r="I1524" s="21"/>
      <c r="J1524" s="19"/>
      <c r="K1524" s="19"/>
      <c r="L1524" s="13"/>
      <c r="M1524" s="14"/>
      <c r="N1524" s="14"/>
      <c r="O1524" s="4"/>
    </row>
    <row r="1525" spans="1:15">
      <c r="A1525" s="15"/>
      <c r="B1525" s="17"/>
      <c r="C1525" s="18"/>
      <c r="D1525" s="19"/>
      <c r="E1525" s="20"/>
      <c r="F1525" s="21"/>
      <c r="G1525" s="21"/>
      <c r="H1525" s="21"/>
      <c r="I1525" s="21"/>
      <c r="J1525" s="19"/>
      <c r="K1525" s="19"/>
      <c r="L1525" s="13"/>
      <c r="M1525" s="14"/>
      <c r="N1525" s="14"/>
      <c r="O1525" s="4"/>
    </row>
    <row r="1526" spans="1:15">
      <c r="A1526" s="15"/>
      <c r="B1526" s="17"/>
      <c r="C1526" s="18"/>
      <c r="D1526" s="19"/>
      <c r="E1526" s="20"/>
      <c r="F1526" s="21"/>
      <c r="G1526" s="21"/>
      <c r="H1526" s="21"/>
      <c r="I1526" s="21"/>
      <c r="J1526" s="19"/>
      <c r="K1526" s="19"/>
      <c r="L1526" s="13"/>
      <c r="M1526" s="14"/>
      <c r="N1526" s="14"/>
      <c r="O1526" s="4"/>
    </row>
    <row r="1527" spans="1:15">
      <c r="A1527" s="15"/>
      <c r="B1527" s="17"/>
      <c r="C1527" s="18"/>
      <c r="D1527" s="19"/>
      <c r="E1527" s="20"/>
      <c r="F1527" s="21"/>
      <c r="G1527" s="21"/>
      <c r="H1527" s="21"/>
      <c r="I1527" s="21"/>
      <c r="J1527" s="19"/>
      <c r="K1527" s="19"/>
      <c r="L1527" s="13"/>
      <c r="M1527" s="14"/>
      <c r="N1527" s="14"/>
      <c r="O1527" s="4"/>
    </row>
    <row r="1528" spans="1:15">
      <c r="A1528" s="15"/>
      <c r="B1528" s="17"/>
      <c r="C1528" s="18"/>
      <c r="D1528" s="19"/>
      <c r="E1528" s="20"/>
      <c r="F1528" s="21"/>
      <c r="G1528" s="21"/>
      <c r="H1528" s="21"/>
      <c r="I1528" s="21"/>
      <c r="J1528" s="19"/>
      <c r="K1528" s="19"/>
      <c r="L1528" s="13"/>
      <c r="M1528" s="14"/>
      <c r="N1528" s="14"/>
      <c r="O1528" s="4"/>
    </row>
    <row r="1529" spans="1:15">
      <c r="A1529" s="15"/>
      <c r="B1529" s="17"/>
      <c r="C1529" s="18"/>
      <c r="D1529" s="19"/>
      <c r="E1529" s="20"/>
      <c r="F1529" s="21"/>
      <c r="G1529" s="21"/>
      <c r="H1529" s="21"/>
      <c r="I1529" s="21"/>
      <c r="J1529" s="19"/>
      <c r="K1529" s="19"/>
      <c r="L1529" s="13"/>
      <c r="M1529" s="14"/>
      <c r="N1529" s="14"/>
      <c r="O1529" s="4"/>
    </row>
    <row r="1530" spans="1:15">
      <c r="A1530" s="15"/>
      <c r="B1530" s="17"/>
      <c r="C1530" s="18"/>
      <c r="D1530" s="19"/>
      <c r="E1530" s="20"/>
      <c r="F1530" s="21"/>
      <c r="G1530" s="21"/>
      <c r="H1530" s="21"/>
      <c r="I1530" s="21"/>
      <c r="J1530" s="19"/>
      <c r="K1530" s="19"/>
      <c r="L1530" s="13"/>
      <c r="M1530" s="14"/>
      <c r="N1530" s="14"/>
      <c r="O1530" s="4"/>
    </row>
    <row r="1531" spans="1:15">
      <c r="A1531" s="15"/>
      <c r="B1531" s="17"/>
      <c r="C1531" s="18"/>
      <c r="D1531" s="19"/>
      <c r="E1531" s="20"/>
      <c r="F1531" s="21"/>
      <c r="G1531" s="21"/>
      <c r="H1531" s="21"/>
      <c r="I1531" s="21"/>
      <c r="J1531" s="19"/>
      <c r="K1531" s="19"/>
      <c r="L1531" s="13"/>
      <c r="M1531" s="14"/>
      <c r="N1531" s="14"/>
      <c r="O1531" s="4"/>
    </row>
    <row r="1532" spans="1:15">
      <c r="A1532" s="15"/>
      <c r="B1532" s="17"/>
      <c r="C1532" s="18"/>
      <c r="D1532" s="19"/>
      <c r="E1532" s="20"/>
      <c r="F1532" s="21"/>
      <c r="G1532" s="21"/>
      <c r="H1532" s="21"/>
      <c r="I1532" s="21"/>
      <c r="J1532" s="19"/>
      <c r="K1532" s="19"/>
      <c r="L1532" s="13"/>
      <c r="M1532" s="14"/>
      <c r="N1532" s="14"/>
      <c r="O1532" s="4"/>
    </row>
    <row r="1533" spans="1:15">
      <c r="A1533" s="15"/>
      <c r="B1533" s="17"/>
      <c r="C1533" s="18"/>
      <c r="D1533" s="19"/>
      <c r="E1533" s="20"/>
      <c r="F1533" s="21"/>
      <c r="G1533" s="21"/>
      <c r="H1533" s="21"/>
      <c r="I1533" s="21"/>
      <c r="J1533" s="19"/>
      <c r="K1533" s="19"/>
      <c r="L1533" s="13"/>
      <c r="M1533" s="14"/>
      <c r="N1533" s="14"/>
      <c r="O1533" s="4"/>
    </row>
    <row r="1534" spans="1:15">
      <c r="A1534" s="15"/>
      <c r="B1534" s="17"/>
      <c r="C1534" s="18"/>
      <c r="D1534" s="19"/>
      <c r="E1534" s="20"/>
      <c r="F1534" s="21"/>
      <c r="G1534" s="21"/>
      <c r="H1534" s="21"/>
      <c r="I1534" s="21"/>
      <c r="J1534" s="19"/>
      <c r="K1534" s="19"/>
      <c r="L1534" s="13"/>
      <c r="M1534" s="14"/>
      <c r="N1534" s="14"/>
      <c r="O1534" s="4"/>
    </row>
    <row r="1535" spans="1:15">
      <c r="A1535" s="15"/>
      <c r="B1535" s="17"/>
      <c r="C1535" s="18"/>
      <c r="D1535" s="19"/>
      <c r="E1535" s="20"/>
      <c r="F1535" s="21"/>
      <c r="G1535" s="21"/>
      <c r="H1535" s="21"/>
      <c r="I1535" s="21"/>
      <c r="J1535" s="19"/>
      <c r="K1535" s="19"/>
      <c r="L1535" s="13"/>
      <c r="M1535" s="14"/>
      <c r="N1535" s="14"/>
      <c r="O1535" s="4"/>
    </row>
    <row r="1536" spans="1:15">
      <c r="A1536" s="15"/>
      <c r="B1536" s="17"/>
      <c r="C1536" s="18"/>
      <c r="D1536" s="19"/>
      <c r="E1536" s="20"/>
      <c r="F1536" s="21"/>
      <c r="G1536" s="21"/>
      <c r="H1536" s="21"/>
      <c r="I1536" s="21"/>
      <c r="J1536" s="19"/>
      <c r="K1536" s="19"/>
      <c r="L1536" s="13"/>
      <c r="M1536" s="14"/>
      <c r="N1536" s="14"/>
      <c r="O1536" s="4"/>
    </row>
    <row r="1537" spans="1:15">
      <c r="A1537" s="15"/>
      <c r="B1537" s="17"/>
      <c r="C1537" s="18"/>
      <c r="D1537" s="19"/>
      <c r="E1537" s="20"/>
      <c r="F1537" s="21"/>
      <c r="G1537" s="21"/>
      <c r="H1537" s="21"/>
      <c r="I1537" s="21"/>
      <c r="J1537" s="19"/>
      <c r="K1537" s="19"/>
      <c r="L1537" s="13"/>
      <c r="M1537" s="14"/>
      <c r="N1537" s="14"/>
      <c r="O1537" s="4"/>
    </row>
    <row r="1538" spans="1:15">
      <c r="A1538" s="15"/>
      <c r="B1538" s="17"/>
      <c r="C1538" s="18"/>
      <c r="D1538" s="19"/>
      <c r="E1538" s="20"/>
      <c r="F1538" s="21"/>
      <c r="G1538" s="21"/>
      <c r="H1538" s="21"/>
      <c r="I1538" s="21"/>
      <c r="J1538" s="19"/>
      <c r="K1538" s="19"/>
      <c r="L1538" s="13"/>
      <c r="M1538" s="14"/>
      <c r="N1538" s="14"/>
      <c r="O1538" s="4"/>
    </row>
    <row r="1539" spans="1:15">
      <c r="A1539" s="15"/>
      <c r="B1539" s="17"/>
      <c r="C1539" s="18"/>
      <c r="D1539" s="19"/>
      <c r="E1539" s="20"/>
      <c r="F1539" s="21"/>
      <c r="G1539" s="21"/>
      <c r="H1539" s="21"/>
      <c r="I1539" s="21"/>
      <c r="J1539" s="19"/>
      <c r="K1539" s="19"/>
      <c r="L1539" s="13"/>
      <c r="M1539" s="14"/>
      <c r="N1539" s="14"/>
      <c r="O1539" s="4"/>
    </row>
    <row r="1540" spans="1:15">
      <c r="A1540" s="15"/>
      <c r="B1540" s="17"/>
      <c r="C1540" s="18"/>
      <c r="D1540" s="19"/>
      <c r="E1540" s="20"/>
      <c r="F1540" s="21"/>
      <c r="G1540" s="21"/>
      <c r="H1540" s="21"/>
      <c r="I1540" s="21"/>
      <c r="J1540" s="19"/>
      <c r="K1540" s="19"/>
      <c r="L1540" s="13"/>
      <c r="M1540" s="14"/>
      <c r="N1540" s="14"/>
      <c r="O1540" s="4"/>
    </row>
    <row r="1541" spans="1:15">
      <c r="A1541" s="15"/>
      <c r="B1541" s="17"/>
      <c r="C1541" s="18"/>
      <c r="D1541" s="19"/>
      <c r="E1541" s="20"/>
      <c r="F1541" s="21"/>
      <c r="G1541" s="21"/>
      <c r="H1541" s="21"/>
      <c r="I1541" s="21"/>
      <c r="J1541" s="19"/>
      <c r="K1541" s="19"/>
      <c r="L1541" s="13"/>
      <c r="M1541" s="14"/>
      <c r="N1541" s="14"/>
      <c r="O1541" s="4"/>
    </row>
    <row r="1542" spans="1:15">
      <c r="A1542" s="15"/>
      <c r="B1542" s="17"/>
      <c r="C1542" s="18"/>
      <c r="D1542" s="19"/>
      <c r="E1542" s="20"/>
      <c r="F1542" s="21"/>
      <c r="G1542" s="21"/>
      <c r="H1542" s="21"/>
      <c r="I1542" s="21"/>
      <c r="J1542" s="19"/>
      <c r="K1542" s="19"/>
      <c r="L1542" s="13"/>
      <c r="M1542" s="14"/>
      <c r="N1542" s="14"/>
      <c r="O1542" s="4"/>
    </row>
    <row r="1543" spans="1:15">
      <c r="A1543" s="15"/>
      <c r="B1543" s="17"/>
      <c r="C1543" s="18"/>
      <c r="D1543" s="19"/>
      <c r="E1543" s="20"/>
      <c r="F1543" s="21"/>
      <c r="G1543" s="21"/>
      <c r="H1543" s="21"/>
      <c r="I1543" s="21"/>
      <c r="J1543" s="19"/>
      <c r="K1543" s="19"/>
      <c r="L1543" s="13"/>
      <c r="M1543" s="14"/>
      <c r="N1543" s="14"/>
      <c r="O1543" s="4"/>
    </row>
    <row r="1544" spans="1:15">
      <c r="A1544" s="15"/>
      <c r="B1544" s="17"/>
      <c r="C1544" s="18"/>
      <c r="D1544" s="19"/>
      <c r="E1544" s="20"/>
      <c r="F1544" s="21"/>
      <c r="G1544" s="21"/>
      <c r="H1544" s="21"/>
      <c r="I1544" s="21"/>
      <c r="J1544" s="19"/>
      <c r="K1544" s="19"/>
      <c r="L1544" s="13"/>
      <c r="M1544" s="14"/>
      <c r="N1544" s="14"/>
      <c r="O1544" s="4"/>
    </row>
    <row r="1545" spans="1:15">
      <c r="A1545" s="15"/>
      <c r="B1545" s="17"/>
      <c r="C1545" s="18"/>
      <c r="D1545" s="19"/>
      <c r="E1545" s="20"/>
      <c r="F1545" s="21"/>
      <c r="G1545" s="21"/>
      <c r="H1545" s="21"/>
      <c r="I1545" s="21"/>
      <c r="J1545" s="19"/>
      <c r="K1545" s="19"/>
      <c r="L1545" s="13"/>
      <c r="M1545" s="14"/>
      <c r="N1545" s="14"/>
      <c r="O1545" s="4"/>
    </row>
    <row r="1546" spans="1:15">
      <c r="A1546" s="15"/>
      <c r="B1546" s="17"/>
      <c r="C1546" s="18"/>
      <c r="D1546" s="19"/>
      <c r="E1546" s="20"/>
      <c r="F1546" s="21"/>
      <c r="G1546" s="21"/>
      <c r="H1546" s="21"/>
      <c r="I1546" s="21"/>
      <c r="J1546" s="19"/>
      <c r="K1546" s="19"/>
      <c r="L1546" s="13"/>
      <c r="M1546" s="14"/>
      <c r="N1546" s="14"/>
      <c r="O1546" s="4"/>
    </row>
    <row r="1547" spans="1:15">
      <c r="A1547" s="15"/>
      <c r="B1547" s="17"/>
      <c r="C1547" s="18"/>
      <c r="D1547" s="19"/>
      <c r="E1547" s="20"/>
      <c r="F1547" s="21"/>
      <c r="G1547" s="21"/>
      <c r="H1547" s="21"/>
      <c r="I1547" s="21"/>
      <c r="J1547" s="19"/>
      <c r="K1547" s="19"/>
      <c r="L1547" s="13"/>
      <c r="M1547" s="14"/>
      <c r="N1547" s="14"/>
      <c r="O1547" s="4"/>
    </row>
    <row r="1548" spans="1:15">
      <c r="A1548" s="15"/>
      <c r="B1548" s="17"/>
      <c r="C1548" s="18"/>
      <c r="D1548" s="19"/>
      <c r="E1548" s="20"/>
      <c r="F1548" s="21"/>
      <c r="G1548" s="21"/>
      <c r="H1548" s="21"/>
      <c r="I1548" s="21"/>
      <c r="J1548" s="19"/>
      <c r="K1548" s="19"/>
      <c r="L1548" s="13"/>
      <c r="M1548" s="14"/>
      <c r="N1548" s="14"/>
      <c r="O1548" s="4"/>
    </row>
    <row r="1549" spans="1:15">
      <c r="A1549" s="15"/>
      <c r="B1549" s="17"/>
      <c r="C1549" s="18"/>
      <c r="D1549" s="19"/>
      <c r="E1549" s="20"/>
      <c r="F1549" s="21"/>
      <c r="G1549" s="21"/>
      <c r="H1549" s="21"/>
      <c r="I1549" s="21"/>
      <c r="J1549" s="19"/>
      <c r="K1549" s="19"/>
      <c r="L1549" s="13"/>
      <c r="M1549" s="14"/>
      <c r="N1549" s="14"/>
      <c r="O1549" s="4"/>
    </row>
    <row r="1550" spans="1:15">
      <c r="A1550" s="15"/>
      <c r="B1550" s="17"/>
      <c r="C1550" s="18"/>
      <c r="D1550" s="19"/>
      <c r="E1550" s="20"/>
      <c r="F1550" s="21"/>
      <c r="G1550" s="21"/>
      <c r="H1550" s="21"/>
      <c r="I1550" s="21"/>
      <c r="J1550" s="19"/>
      <c r="K1550" s="19"/>
      <c r="L1550" s="13"/>
      <c r="M1550" s="14"/>
      <c r="N1550" s="14"/>
      <c r="O1550" s="4"/>
    </row>
    <row r="1551" spans="1:15">
      <c r="A1551" s="15"/>
      <c r="B1551" s="17"/>
      <c r="C1551" s="18"/>
      <c r="D1551" s="19"/>
      <c r="E1551" s="20"/>
      <c r="F1551" s="21"/>
      <c r="G1551" s="21"/>
      <c r="H1551" s="21"/>
      <c r="I1551" s="21"/>
      <c r="J1551" s="19"/>
      <c r="K1551" s="19"/>
      <c r="L1551" s="13"/>
      <c r="M1551" s="14"/>
      <c r="N1551" s="14"/>
      <c r="O1551" s="4"/>
    </row>
    <row r="1552" spans="1:15">
      <c r="A1552" s="15"/>
      <c r="B1552" s="17"/>
      <c r="C1552" s="18"/>
      <c r="D1552" s="19"/>
      <c r="E1552" s="20"/>
      <c r="F1552" s="21"/>
      <c r="G1552" s="21"/>
      <c r="H1552" s="21"/>
      <c r="I1552" s="21"/>
      <c r="J1552" s="19"/>
      <c r="K1552" s="19"/>
      <c r="L1552" s="13"/>
      <c r="M1552" s="14"/>
      <c r="N1552" s="14"/>
      <c r="O1552" s="4"/>
    </row>
    <row r="1553" spans="1:15">
      <c r="A1553" s="15"/>
      <c r="B1553" s="17"/>
      <c r="C1553" s="18"/>
      <c r="D1553" s="19"/>
      <c r="E1553" s="20"/>
      <c r="F1553" s="21"/>
      <c r="G1553" s="21"/>
      <c r="H1553" s="21"/>
      <c r="I1553" s="21"/>
      <c r="J1553" s="19"/>
      <c r="K1553" s="19"/>
      <c r="L1553" s="13"/>
      <c r="M1553" s="14"/>
      <c r="N1553" s="14"/>
      <c r="O1553" s="4"/>
    </row>
    <row r="1554" spans="1:15">
      <c r="A1554" s="15"/>
      <c r="B1554" s="17"/>
      <c r="C1554" s="18"/>
      <c r="D1554" s="19"/>
      <c r="E1554" s="20"/>
      <c r="F1554" s="21"/>
      <c r="G1554" s="21"/>
      <c r="H1554" s="21"/>
      <c r="I1554" s="21"/>
      <c r="J1554" s="19"/>
      <c r="K1554" s="19"/>
      <c r="L1554" s="13"/>
      <c r="M1554" s="14"/>
      <c r="N1554" s="14"/>
      <c r="O1554" s="4"/>
    </row>
    <row r="1555" spans="1:15">
      <c r="A1555" s="15"/>
      <c r="B1555" s="17"/>
      <c r="C1555" s="18"/>
      <c r="D1555" s="19"/>
      <c r="E1555" s="20"/>
      <c r="F1555" s="21"/>
      <c r="G1555" s="21"/>
      <c r="H1555" s="21"/>
      <c r="I1555" s="21"/>
      <c r="J1555" s="19"/>
      <c r="K1555" s="19"/>
      <c r="L1555" s="13"/>
      <c r="M1555" s="14"/>
      <c r="N1555" s="14"/>
      <c r="O1555" s="4"/>
    </row>
    <row r="1556" spans="1:15">
      <c r="A1556" s="15"/>
      <c r="B1556" s="17"/>
      <c r="C1556" s="18"/>
      <c r="D1556" s="19"/>
      <c r="E1556" s="20"/>
      <c r="F1556" s="21"/>
      <c r="G1556" s="21"/>
      <c r="H1556" s="21"/>
      <c r="I1556" s="21"/>
      <c r="J1556" s="19"/>
      <c r="K1556" s="19"/>
      <c r="L1556" s="13"/>
      <c r="M1556" s="14"/>
      <c r="N1556" s="14"/>
      <c r="O1556" s="4"/>
    </row>
    <row r="1557" spans="1:15">
      <c r="A1557" s="15"/>
      <c r="B1557" s="17"/>
      <c r="C1557" s="18"/>
      <c r="D1557" s="19"/>
      <c r="E1557" s="20"/>
      <c r="F1557" s="21"/>
      <c r="G1557" s="21"/>
      <c r="H1557" s="21"/>
      <c r="I1557" s="21"/>
      <c r="J1557" s="19"/>
      <c r="K1557" s="19"/>
      <c r="L1557" s="13"/>
      <c r="M1557" s="14"/>
      <c r="N1557" s="14"/>
      <c r="O1557" s="4"/>
    </row>
    <row r="1558" spans="1:15">
      <c r="A1558" s="15"/>
      <c r="B1558" s="17"/>
      <c r="C1558" s="18"/>
      <c r="D1558" s="19"/>
      <c r="E1558" s="20"/>
      <c r="F1558" s="21"/>
      <c r="G1558" s="21"/>
      <c r="H1558" s="21"/>
      <c r="I1558" s="21"/>
      <c r="J1558" s="19"/>
      <c r="K1558" s="19"/>
      <c r="L1558" s="13"/>
      <c r="M1558" s="14"/>
      <c r="N1558" s="14"/>
      <c r="O1558" s="4"/>
    </row>
    <row r="1559" spans="1:15">
      <c r="A1559" s="15"/>
      <c r="B1559" s="17"/>
      <c r="C1559" s="18"/>
      <c r="D1559" s="19"/>
      <c r="E1559" s="20"/>
      <c r="F1559" s="21"/>
      <c r="G1559" s="21"/>
      <c r="H1559" s="21"/>
      <c r="I1559" s="21"/>
      <c r="J1559" s="19"/>
      <c r="K1559" s="19"/>
      <c r="L1559" s="13"/>
      <c r="M1559" s="14"/>
      <c r="N1559" s="14"/>
      <c r="O1559" s="4"/>
    </row>
    <row r="1560" spans="1:15">
      <c r="A1560" s="15"/>
      <c r="B1560" s="17"/>
      <c r="C1560" s="18"/>
      <c r="D1560" s="19"/>
      <c r="E1560" s="20"/>
      <c r="F1560" s="21"/>
      <c r="G1560" s="21"/>
      <c r="H1560" s="21"/>
      <c r="I1560" s="21"/>
      <c r="J1560" s="19"/>
      <c r="K1560" s="19"/>
      <c r="L1560" s="13"/>
      <c r="M1560" s="14"/>
      <c r="N1560" s="14"/>
      <c r="O1560" s="4"/>
    </row>
    <row r="1561" spans="1:15">
      <c r="A1561" s="15"/>
      <c r="B1561" s="17"/>
      <c r="C1561" s="18"/>
      <c r="D1561" s="19"/>
      <c r="E1561" s="20"/>
      <c r="F1561" s="21"/>
      <c r="G1561" s="21"/>
      <c r="H1561" s="21"/>
      <c r="I1561" s="21"/>
      <c r="J1561" s="19"/>
      <c r="K1561" s="19"/>
      <c r="L1561" s="13"/>
      <c r="M1561" s="14"/>
      <c r="N1561" s="14"/>
      <c r="O1561" s="4"/>
    </row>
    <row r="1562" spans="1:15">
      <c r="A1562" s="15"/>
      <c r="B1562" s="17"/>
      <c r="C1562" s="18"/>
      <c r="D1562" s="19"/>
      <c r="E1562" s="20"/>
      <c r="F1562" s="21"/>
      <c r="G1562" s="21"/>
      <c r="H1562" s="21"/>
      <c r="I1562" s="21"/>
      <c r="J1562" s="19"/>
      <c r="K1562" s="19"/>
      <c r="L1562" s="13"/>
      <c r="M1562" s="14"/>
      <c r="N1562" s="14"/>
      <c r="O1562" s="4"/>
    </row>
    <row r="1563" spans="1:15">
      <c r="A1563" s="15"/>
      <c r="B1563" s="17"/>
      <c r="C1563" s="18"/>
      <c r="D1563" s="19"/>
      <c r="E1563" s="20"/>
      <c r="F1563" s="21"/>
      <c r="G1563" s="21"/>
      <c r="H1563" s="21"/>
      <c r="I1563" s="21"/>
      <c r="J1563" s="19"/>
      <c r="K1563" s="19"/>
      <c r="L1563" s="13"/>
      <c r="M1563" s="14"/>
      <c r="N1563" s="14"/>
      <c r="O1563" s="4"/>
    </row>
    <row r="1564" spans="1:15">
      <c r="A1564" s="15"/>
      <c r="B1564" s="17"/>
      <c r="C1564" s="18"/>
      <c r="D1564" s="19"/>
      <c r="E1564" s="20"/>
      <c r="F1564" s="21"/>
      <c r="G1564" s="21"/>
      <c r="H1564" s="21"/>
      <c r="I1564" s="21"/>
      <c r="J1564" s="19"/>
      <c r="K1564" s="19"/>
      <c r="L1564" s="13"/>
      <c r="M1564" s="14"/>
      <c r="N1564" s="14"/>
      <c r="O1564" s="4"/>
    </row>
    <row r="1565" spans="1:15">
      <c r="A1565" s="15"/>
      <c r="B1565" s="17"/>
      <c r="C1565" s="18"/>
      <c r="D1565" s="19"/>
      <c r="E1565" s="20"/>
      <c r="F1565" s="21"/>
      <c r="G1565" s="21"/>
      <c r="H1565" s="21"/>
      <c r="I1565" s="21"/>
      <c r="J1565" s="19"/>
      <c r="K1565" s="19"/>
      <c r="L1565" s="13"/>
      <c r="M1565" s="14"/>
      <c r="N1565" s="14"/>
      <c r="O1565" s="4"/>
    </row>
    <row r="1566" spans="1:15">
      <c r="A1566" s="15"/>
      <c r="B1566" s="17"/>
      <c r="C1566" s="18"/>
      <c r="D1566" s="19"/>
      <c r="E1566" s="20"/>
      <c r="F1566" s="21"/>
      <c r="G1566" s="21"/>
      <c r="H1566" s="21"/>
      <c r="I1566" s="21"/>
      <c r="J1566" s="19"/>
      <c r="K1566" s="19"/>
      <c r="L1566" s="13"/>
      <c r="M1566" s="14"/>
      <c r="N1566" s="14"/>
      <c r="O1566" s="4"/>
    </row>
    <row r="1567" spans="1:15">
      <c r="A1567" s="15"/>
      <c r="B1567" s="17"/>
      <c r="C1567" s="18"/>
      <c r="D1567" s="19"/>
      <c r="E1567" s="20"/>
      <c r="F1567" s="21"/>
      <c r="G1567" s="21"/>
      <c r="H1567" s="21"/>
      <c r="I1567" s="21"/>
      <c r="J1567" s="19"/>
      <c r="K1567" s="19"/>
      <c r="L1567" s="13"/>
      <c r="M1567" s="14"/>
      <c r="N1567" s="14"/>
      <c r="O1567" s="4"/>
    </row>
    <row r="1568" spans="1:15">
      <c r="A1568" s="15"/>
      <c r="B1568" s="17"/>
      <c r="C1568" s="18"/>
      <c r="D1568" s="19"/>
      <c r="E1568" s="20"/>
      <c r="F1568" s="21"/>
      <c r="G1568" s="21"/>
      <c r="H1568" s="21"/>
      <c r="I1568" s="21"/>
      <c r="J1568" s="19"/>
      <c r="K1568" s="19"/>
      <c r="L1568" s="13"/>
      <c r="M1568" s="14"/>
      <c r="N1568" s="14"/>
      <c r="O1568" s="4"/>
    </row>
    <row r="1569" spans="1:15">
      <c r="A1569" s="15"/>
      <c r="B1569" s="17"/>
      <c r="C1569" s="18"/>
      <c r="D1569" s="19"/>
      <c r="E1569" s="20"/>
      <c r="F1569" s="21"/>
      <c r="G1569" s="21"/>
      <c r="H1569" s="21"/>
      <c r="I1569" s="21"/>
      <c r="J1569" s="19"/>
      <c r="K1569" s="19"/>
      <c r="L1569" s="13"/>
      <c r="M1569" s="14"/>
      <c r="N1569" s="14"/>
      <c r="O1569" s="4"/>
    </row>
    <row r="1570" spans="1:15">
      <c r="A1570" s="15"/>
      <c r="B1570" s="17"/>
      <c r="C1570" s="18"/>
      <c r="D1570" s="19"/>
      <c r="E1570" s="20"/>
      <c r="F1570" s="21"/>
      <c r="G1570" s="21"/>
      <c r="H1570" s="21"/>
      <c r="I1570" s="21"/>
      <c r="J1570" s="19"/>
      <c r="K1570" s="19"/>
      <c r="L1570" s="13"/>
      <c r="M1570" s="14"/>
      <c r="N1570" s="14"/>
      <c r="O1570" s="4"/>
    </row>
    <row r="1571" spans="1:15">
      <c r="A1571" s="15"/>
      <c r="B1571" s="17"/>
      <c r="C1571" s="18"/>
      <c r="D1571" s="19"/>
      <c r="E1571" s="20"/>
      <c r="F1571" s="21"/>
      <c r="G1571" s="21"/>
      <c r="H1571" s="21"/>
      <c r="I1571" s="21"/>
      <c r="J1571" s="19"/>
      <c r="K1571" s="19"/>
      <c r="L1571" s="13"/>
      <c r="M1571" s="14"/>
      <c r="N1571" s="14"/>
      <c r="O1571" s="4"/>
    </row>
    <row r="1572" spans="1:15">
      <c r="A1572" s="15"/>
      <c r="B1572" s="17"/>
      <c r="C1572" s="18"/>
      <c r="D1572" s="19"/>
      <c r="E1572" s="20"/>
      <c r="F1572" s="21"/>
      <c r="G1572" s="21"/>
      <c r="H1572" s="21"/>
      <c r="I1572" s="21"/>
      <c r="J1572" s="19"/>
      <c r="K1572" s="19"/>
      <c r="L1572" s="13"/>
      <c r="M1572" s="14"/>
      <c r="N1572" s="14"/>
      <c r="O1572" s="4"/>
    </row>
    <row r="1573" spans="1:15">
      <c r="A1573" s="15"/>
      <c r="B1573" s="17"/>
      <c r="C1573" s="18"/>
      <c r="D1573" s="19"/>
      <c r="E1573" s="20"/>
      <c r="F1573" s="21"/>
      <c r="G1573" s="21"/>
      <c r="H1573" s="21"/>
      <c r="I1573" s="21"/>
      <c r="J1573" s="19"/>
      <c r="K1573" s="19"/>
      <c r="L1573" s="13"/>
      <c r="M1573" s="14"/>
      <c r="N1573" s="14"/>
      <c r="O1573" s="4"/>
    </row>
    <row r="1574" spans="1:15">
      <c r="A1574" s="15"/>
      <c r="B1574" s="17"/>
      <c r="C1574" s="18"/>
      <c r="D1574" s="19"/>
      <c r="E1574" s="20"/>
      <c r="F1574" s="21"/>
      <c r="G1574" s="21"/>
      <c r="H1574" s="21"/>
      <c r="I1574" s="21"/>
      <c r="J1574" s="19"/>
      <c r="K1574" s="19"/>
      <c r="L1574" s="13"/>
      <c r="M1574" s="14"/>
      <c r="N1574" s="14"/>
      <c r="O1574" s="4"/>
    </row>
    <row r="1575" spans="1:15">
      <c r="A1575" s="15"/>
      <c r="B1575" s="17"/>
      <c r="C1575" s="18"/>
      <c r="D1575" s="19"/>
      <c r="E1575" s="20"/>
      <c r="F1575" s="21"/>
      <c r="G1575" s="21"/>
      <c r="H1575" s="21"/>
      <c r="I1575" s="21"/>
      <c r="J1575" s="19"/>
      <c r="K1575" s="19"/>
      <c r="L1575" s="13"/>
      <c r="M1575" s="14"/>
      <c r="N1575" s="14"/>
      <c r="O1575" s="4"/>
    </row>
    <row r="1576" spans="1:15">
      <c r="A1576" s="15"/>
      <c r="B1576" s="17"/>
      <c r="C1576" s="18"/>
      <c r="D1576" s="19"/>
      <c r="E1576" s="20"/>
      <c r="F1576" s="21"/>
      <c r="G1576" s="21"/>
      <c r="H1576" s="21"/>
      <c r="I1576" s="21"/>
      <c r="J1576" s="19"/>
      <c r="K1576" s="19"/>
      <c r="L1576" s="13"/>
      <c r="M1576" s="14"/>
      <c r="N1576" s="14"/>
      <c r="O1576" s="4"/>
    </row>
    <row r="1577" spans="1:15">
      <c r="A1577" s="15"/>
      <c r="B1577" s="17"/>
      <c r="C1577" s="18"/>
      <c r="D1577" s="19"/>
      <c r="E1577" s="20"/>
      <c r="F1577" s="21"/>
      <c r="G1577" s="21"/>
      <c r="H1577" s="21"/>
      <c r="I1577" s="21"/>
      <c r="J1577" s="19"/>
      <c r="K1577" s="19"/>
      <c r="L1577" s="13"/>
      <c r="M1577" s="14"/>
      <c r="N1577" s="14"/>
      <c r="O1577" s="4"/>
    </row>
    <row r="1578" spans="1:15">
      <c r="A1578" s="15"/>
      <c r="B1578" s="17"/>
      <c r="C1578" s="18"/>
      <c r="D1578" s="19"/>
      <c r="E1578" s="20"/>
      <c r="F1578" s="21"/>
      <c r="G1578" s="21"/>
      <c r="H1578" s="21"/>
      <c r="I1578" s="21"/>
      <c r="J1578" s="19"/>
      <c r="K1578" s="19"/>
      <c r="L1578" s="13"/>
      <c r="M1578" s="14"/>
      <c r="N1578" s="14"/>
      <c r="O1578" s="4"/>
    </row>
  </sheetData>
  <autoFilter ref="A1:O1"/>
  <phoneticPr fontId="2" type="noConversion"/>
  <conditionalFormatting sqref="B2:B1578">
    <cfRule type="cellIs" dxfId="0" priority="1" operator="greaterThan">
      <formula>10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EF1FE9-311D-4D3B-81FA-1EAD2795B1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封面</vt:lpstr>
      <vt:lpstr>有公式</vt:lpstr>
      <vt:lpstr>5-12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韩博</dc:creator>
  <cp:lastModifiedBy>靳剑飞</cp:lastModifiedBy>
  <dcterms:created xsi:type="dcterms:W3CDTF">2016-02-02T09:24:52Z</dcterms:created>
  <dcterms:modified xsi:type="dcterms:W3CDTF">2017-09-11T06:06:20Z</dcterms:modified>
</cp:coreProperties>
</file>